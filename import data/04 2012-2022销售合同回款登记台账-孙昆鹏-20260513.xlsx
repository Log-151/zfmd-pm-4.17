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/>
  <mc:AlternateContent xmlns:mc="http://schemas.openxmlformats.org/markup-compatibility/2006">
    <mc:Choice Requires="x15">
      <x15ac:absPath xmlns:x15ac="http://schemas.microsoft.com/office/spreadsheetml/2010/11/ac" url="F:\项目执行-孙昆鹏\3 合同项目-1\1 统计文件\"/>
    </mc:Choice>
  </mc:AlternateContent>
  <xr:revisionPtr revIDLastSave="0" documentId="13_ncr:1_{2F86003F-78F8-4496-B2C7-3CBA8A4F113A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6年回款" sheetId="25" r:id="rId1"/>
    <sheet name="2025年回款" sheetId="24" r:id="rId2"/>
    <sheet name="2024年回款" sheetId="23" r:id="rId3"/>
    <sheet name="2023年回款" sheetId="22" r:id="rId4"/>
    <sheet name="2022年回款" sheetId="21" r:id="rId5"/>
    <sheet name="2021年回款  " sheetId="20" r:id="rId6"/>
    <sheet name="2020年回款 " sheetId="19" r:id="rId7"/>
    <sheet name="2019年回款" sheetId="18" r:id="rId8"/>
    <sheet name="2018年回款" sheetId="16" r:id="rId9"/>
    <sheet name="2017年回款" sheetId="15" r:id="rId10"/>
    <sheet name="2016年回款" sheetId="14" r:id="rId11"/>
    <sheet name="2015年回款" sheetId="2" r:id="rId12"/>
    <sheet name="2014年" sheetId="11" r:id="rId13"/>
    <sheet name="2013年" sheetId="12" r:id="rId14"/>
    <sheet name="2012年" sheetId="13" r:id="rId15"/>
    <sheet name="Sheet1" sheetId="17" r:id="rId16"/>
  </sheets>
  <definedNames>
    <definedName name="_xlnm._FilterDatabase" localSheetId="12" hidden="1">'2014年'!$C$1:$C$135</definedName>
    <definedName name="_xlnm._FilterDatabase" localSheetId="11" hidden="1">'2015年回款'!$C$1:$C$146</definedName>
    <definedName name="_xlnm._FilterDatabase" localSheetId="10" hidden="1">'2016年回款'!$A$2:$G$189</definedName>
    <definedName name="_xlnm._FilterDatabase" localSheetId="9" hidden="1">'2017年回款'!$C$1:$C$218</definedName>
    <definedName name="_xlnm._FilterDatabase" localSheetId="8" hidden="1">'2018年回款'!$A$2:$J$305</definedName>
    <definedName name="_xlnm._FilterDatabase" localSheetId="7" hidden="1">'2019年回款'!$A$2:$O$87</definedName>
    <definedName name="_xlnm._FilterDatabase" localSheetId="6" hidden="1">'2020年回款 '!$A$2:$O$319</definedName>
    <definedName name="_xlnm._FilterDatabase" localSheetId="5" hidden="1">'2021年回款  '!$A$2:$O$371</definedName>
    <definedName name="_xlnm._FilterDatabase" localSheetId="4" hidden="1">'2022年回款'!$A$2:$O$332</definedName>
    <definedName name="_xlnm._FilterDatabase" localSheetId="3" hidden="1">'2023年回款'!$A$2:$O$38</definedName>
    <definedName name="_xlnm._FilterDatabase" localSheetId="2" hidden="1">'2024年回款'!$A$2:$O$470</definedName>
    <definedName name="_xlnm._FilterDatabase" localSheetId="1" hidden="1">'2025年回款'!$A$2:$O$568</definedName>
    <definedName name="_xlnm._FilterDatabase" localSheetId="0" hidden="1">'2026年回款'!$A$2:$O$23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43" i="25" l="1"/>
  <c r="I143" i="25"/>
  <c r="J572" i="24" l="1"/>
  <c r="I572" i="24"/>
  <c r="I476" i="23" l="1"/>
  <c r="J476" i="23"/>
  <c r="J321" i="22" l="1"/>
  <c r="I321" i="22"/>
  <c r="J335" i="21" l="1"/>
  <c r="I335" i="21"/>
  <c r="J373" i="20"/>
  <c r="I373" i="20"/>
  <c r="J321" i="19" l="1"/>
  <c r="I321" i="19"/>
  <c r="J308" i="18" l="1"/>
  <c r="I308" i="18"/>
  <c r="F314" i="16" l="1"/>
  <c r="E48" i="16" l="1"/>
  <c r="E314" i="16" s="1"/>
  <c r="E217" i="15" l="1"/>
  <c r="F32" i="15"/>
  <c r="F217" i="15" s="1"/>
  <c r="E188" i="14"/>
  <c r="E105" i="13" l="1"/>
  <c r="E68" i="12"/>
  <c r="E121" i="12" s="1"/>
  <c r="E75" i="11"/>
  <c r="E134" i="11" s="1"/>
  <c r="E144" i="2"/>
  <c r="E14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167" authorId="0" shapeId="0" xr:uid="{C972C7F2-895D-4B79-B466-B262F42484CC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哈密红星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K88" authorId="0" shapeId="0" xr:uid="{EEC42D79-F2FE-4BF3-9F9F-9D0717DAB6B8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合同额5万元，共2.5万元奖金。共计回款7.5万元。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LiYan</author>
  </authors>
  <commentList>
    <comment ref="E214" authorId="0" shapeId="0" xr:uid="{DD73B9A9-E3B6-4EAB-9571-18B79FBE2C07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林口大丰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</author>
  </authors>
  <commentList>
    <comment ref="E224" authorId="0" shapeId="0" xr:uid="{4549A879-5D5D-458E-9197-575AD6A22F1A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东营大唐
</t>
        </r>
      </text>
    </comment>
    <comment ref="E306" authorId="0" shapeId="0" xr:uid="{84ED9302-395D-4094-B60F-68008D14FE6B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大庆宏伟风电场为大庆银浪风电场二期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LiYan</author>
    <author>xmzx</author>
    <author>Microsoft</author>
  </authors>
  <commentList>
    <comment ref="H60" authorId="0" shapeId="0" xr:uid="{99B11264-04D2-4C19-8E9E-485ED11B9462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自动进入入下一个预测服务年，共续</t>
        </r>
        <r>
          <rPr>
            <sz val="9"/>
            <color indexed="81"/>
            <rFont val="Tahoma"/>
            <family val="2"/>
          </rPr>
          <t>20</t>
        </r>
        <r>
          <rPr>
            <sz val="9"/>
            <color indexed="81"/>
            <rFont val="宋体"/>
            <family val="3"/>
            <charset val="134"/>
          </rPr>
          <t>年。</t>
        </r>
      </text>
    </comment>
    <comment ref="H68" authorId="1" shapeId="0" xr:uid="{37E5FB24-63F7-4BCF-881C-A8127068F9EF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自动进入入下一个预测服务年</t>
        </r>
      </text>
    </comment>
    <comment ref="E130" authorId="0" shapeId="0" xr:uid="{60E3878D-6854-4013-884C-9FB789B1FF4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含二期</t>
        </r>
      </text>
    </comment>
    <comment ref="E239" authorId="2" shapeId="0" xr:uid="{E419A279-250D-4BD7-A2A6-10697C2F7881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赠送一年服务，具体开始时间已开始预报时间为准</t>
        </r>
      </text>
    </comment>
    <comment ref="E280" authorId="1" shapeId="0" xr:uid="{23EE88F9-7F3D-47EC-9603-082E6DBF80AC}">
      <text>
        <r>
          <rPr>
            <b/>
            <sz val="9"/>
            <color indexed="81"/>
            <rFont val="宋体"/>
            <family val="3"/>
            <charset val="134"/>
          </rPr>
          <t>xmzx一期+二期+三期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xmzx</author>
  </authors>
  <commentList>
    <comment ref="K271" authorId="0" shapeId="0" xr:uid="{90888CCE-F948-432C-A962-51D17AC5476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实际为除12万元预测服务费后，95%验收款</t>
        </r>
      </text>
    </comment>
    <comment ref="L271" authorId="0" shapeId="0" xr:uid="{4AB53533-523F-4A36-970A-11BD1985AEE1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实际为除12万元预测服务费后，95%验收款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</author>
    <author>LiYan</author>
  </authors>
  <commentList>
    <comment ref="F3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分两笔回款</t>
        </r>
        <r>
          <rPr>
            <sz val="9"/>
            <color indexed="81"/>
            <rFont val="Tahoma"/>
            <family val="2"/>
          </rPr>
          <t>90700</t>
        </r>
        <r>
          <rPr>
            <sz val="9"/>
            <color indexed="81"/>
            <rFont val="宋体"/>
            <family val="3"/>
            <charset val="134"/>
          </rPr>
          <t>和</t>
        </r>
        <r>
          <rPr>
            <sz val="9"/>
            <color indexed="81"/>
            <rFont val="Tahoma"/>
            <family val="2"/>
          </rPr>
          <t>6500</t>
        </r>
      </text>
    </comment>
    <comment ref="F33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两年质保款</t>
        </r>
      </text>
    </comment>
    <comment ref="C51" authorId="1" shapeId="0" xr:uid="{00000000-0006-0000-0200-000003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省山又名龙海新村、新厝、港尾</t>
        </r>
      </text>
    </comment>
    <comment ref="C82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泽库大唐</t>
        </r>
      </text>
    </comment>
    <comment ref="C94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东营大唐
</t>
        </r>
      </text>
    </comment>
    <comment ref="C95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泽库大唐</t>
        </r>
      </text>
    </comment>
    <comment ref="F116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回了两笔</t>
        </r>
        <r>
          <rPr>
            <sz val="9"/>
            <color indexed="81"/>
            <rFont val="Tahoma"/>
            <family val="2"/>
          </rPr>
          <t>15655</t>
        </r>
        <r>
          <rPr>
            <sz val="9"/>
            <color indexed="81"/>
            <rFont val="宋体"/>
            <family val="3"/>
            <charset val="134"/>
          </rPr>
          <t>元和</t>
        </r>
        <r>
          <rPr>
            <sz val="9"/>
            <color indexed="81"/>
            <rFont val="Tahoma"/>
            <family val="2"/>
          </rPr>
          <t>64400</t>
        </r>
        <r>
          <rPr>
            <sz val="9"/>
            <color indexed="81"/>
            <rFont val="宋体"/>
            <family val="3"/>
            <charset val="134"/>
          </rPr>
          <t>元</t>
        </r>
      </text>
    </comment>
    <comment ref="F12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2017.9.21</t>
        </r>
        <r>
          <rPr>
            <sz val="9"/>
            <color indexed="81"/>
            <rFont val="宋体"/>
            <family val="3"/>
            <charset val="134"/>
          </rPr>
          <t>回款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>笔</t>
        </r>
        <r>
          <rPr>
            <sz val="9"/>
            <color indexed="81"/>
            <rFont val="Tahoma"/>
            <family val="2"/>
          </rPr>
          <t xml:space="preserve"> 6102.75</t>
        </r>
        <r>
          <rPr>
            <sz val="9"/>
            <color indexed="81"/>
            <rFont val="宋体"/>
            <family val="3"/>
            <charset val="134"/>
          </rPr>
          <t>和</t>
        </r>
        <r>
          <rPr>
            <sz val="9"/>
            <color indexed="81"/>
            <rFont val="Tahoma"/>
            <family val="2"/>
          </rPr>
          <t>55907.25</t>
        </r>
      </text>
    </comment>
    <comment ref="D194" authorId="1" shapeId="0" xr:uid="{00000000-0006-0000-0200-000009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自动进入入下一个预测服务年，共续</t>
        </r>
        <r>
          <rPr>
            <sz val="9"/>
            <color indexed="81"/>
            <rFont val="Tahoma"/>
            <family val="2"/>
          </rPr>
          <t>20</t>
        </r>
        <r>
          <rPr>
            <sz val="9"/>
            <color indexed="81"/>
            <rFont val="宋体"/>
            <family val="3"/>
            <charset val="134"/>
          </rPr>
          <t>年。</t>
        </r>
      </text>
    </comment>
    <comment ref="D195" authorId="1" shapeId="0" xr:uid="{00000000-0006-0000-0200-00000A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自动进入入下一个预测服务年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华能国际电子商务平台</author>
  </authors>
  <commentList>
    <comment ref="B4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合同甲方：新疆华电吐鲁番发电有限责任公司</t>
        </r>
      </text>
    </comment>
    <comment ref="F12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按比例，验收款多回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宋体"/>
            <family val="3"/>
            <charset val="134"/>
          </rPr>
          <t>元。</t>
        </r>
      </text>
    </comment>
    <comment ref="E81" authorId="1" shapeId="0" xr:uid="{00000000-0006-0000-0300-000003000000}">
      <text>
        <r>
          <rPr>
            <sz val="9"/>
            <color indexed="81"/>
            <rFont val="宋体"/>
            <family val="3"/>
            <charset val="134"/>
          </rPr>
          <t xml:space="preserve">承兑汇票
</t>
        </r>
      </text>
    </comment>
    <comment ref="E84" authorId="1" shapeId="0" xr:uid="{00000000-0006-0000-0300-000004000000}">
      <text>
        <r>
          <rPr>
            <b/>
            <sz val="9"/>
            <color indexed="81"/>
            <rFont val="宋体"/>
            <family val="3"/>
            <charset val="134"/>
          </rPr>
          <t>承兑汇票</t>
        </r>
      </text>
    </comment>
    <comment ref="E93" authorId="1" shapeId="0" xr:uid="{00000000-0006-0000-0300-000005000000}">
      <text>
        <r>
          <rPr>
            <b/>
            <sz val="9"/>
            <color indexed="81"/>
            <rFont val="宋体"/>
            <family val="3"/>
            <charset val="134"/>
          </rPr>
          <t>该合同质保款94折后价格124324.84（降价协议）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微软用户</author>
  </authors>
  <commentList>
    <comment ref="B87" authorId="0" shapeId="0" xr:uid="{00000000-0006-0000-0600-000001000000}">
      <text>
        <r>
          <rPr>
            <b/>
            <sz val="9"/>
            <color indexed="81"/>
            <rFont val="宋体"/>
            <family val="3"/>
            <charset val="134"/>
          </rPr>
          <t>最终用户：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银川瑞明太阳能有限公司</t>
        </r>
      </text>
    </comment>
  </commentList>
</comments>
</file>

<file path=xl/sharedStrings.xml><?xml version="1.0" encoding="utf-8"?>
<sst xmlns="http://schemas.openxmlformats.org/spreadsheetml/2006/main" count="35730" uniqueCount="7770">
  <si>
    <t>大唐桦南风力发电有限公司</t>
  </si>
  <si>
    <t>北架山</t>
  </si>
  <si>
    <t>郭文明</t>
  </si>
  <si>
    <t>大唐依兰风力发电有限公司</t>
  </si>
  <si>
    <t>富强</t>
  </si>
  <si>
    <t>晨光</t>
  </si>
  <si>
    <t>华电虎林风力发电有限公司</t>
  </si>
  <si>
    <t>石青山</t>
  </si>
  <si>
    <t>白山</t>
  </si>
  <si>
    <t>驿马山</t>
  </si>
  <si>
    <t>大唐桦川风力发电有限公司</t>
  </si>
  <si>
    <t>苏家店</t>
  </si>
  <si>
    <t>大唐集贤风力发电有限公司</t>
  </si>
  <si>
    <t>太阳山</t>
  </si>
  <si>
    <t>依兰龙源风力发电有限公司</t>
  </si>
  <si>
    <t>马鞍山</t>
  </si>
  <si>
    <t>双鸭山龙源风力发电有限公司</t>
  </si>
  <si>
    <t>蝙蝠山</t>
  </si>
  <si>
    <t>伊春龙源风力发电有限公司</t>
  </si>
  <si>
    <t>小城山</t>
  </si>
  <si>
    <t>黑河龙源风力发电有限公司</t>
  </si>
  <si>
    <t>大黑山</t>
  </si>
  <si>
    <t>克山龙源风力发电有限公司</t>
  </si>
  <si>
    <t>曙光</t>
  </si>
  <si>
    <t>鹤岗龙源风力发电有限公司</t>
  </si>
  <si>
    <t>望云峰</t>
  </si>
  <si>
    <t>桦南龙源风力发电有限公司</t>
  </si>
  <si>
    <t>横岱山</t>
  </si>
  <si>
    <t>三峡新能源调兵山风电有限公司</t>
  </si>
  <si>
    <t>调兵山</t>
  </si>
  <si>
    <t>华能同江风力发电有限公司</t>
  </si>
  <si>
    <t>街津山</t>
  </si>
  <si>
    <t>华电铁岭风力发电有限公司</t>
  </si>
  <si>
    <t>镇西堡</t>
  </si>
  <si>
    <t>风水山</t>
  </si>
  <si>
    <t>华能启东风力发电有限公司</t>
  </si>
  <si>
    <t>黑龙江富龙风力发电有限责任公司</t>
  </si>
  <si>
    <t>乌尔古力</t>
  </si>
  <si>
    <t>黑龙江北方风力发电有限公司</t>
  </si>
  <si>
    <t>兴凯湖</t>
  </si>
  <si>
    <t>查干浩特</t>
  </si>
  <si>
    <t>平顶堡</t>
  </si>
  <si>
    <t>华电吉林双辽风力发电有限公司</t>
  </si>
  <si>
    <t>那木斯</t>
  </si>
  <si>
    <t>伊春兴安岭风力发电有限公司</t>
  </si>
  <si>
    <t>大箐山/石帽顶子/耳朵眼</t>
  </si>
  <si>
    <t>大蜂山</t>
  </si>
  <si>
    <t>小锅盔</t>
  </si>
  <si>
    <t>伊春龙源金山风力发电有限公司</t>
  </si>
  <si>
    <t>桦南龙源雄亚风力发电有限公司</t>
  </si>
  <si>
    <t>李家屯</t>
  </si>
  <si>
    <t>张北华实建投风能有限公司</t>
  </si>
  <si>
    <t>曹碾沟</t>
  </si>
  <si>
    <t>国电和风风电开发有限公司桦川分公司</t>
  </si>
  <si>
    <t>大青背</t>
  </si>
  <si>
    <t>亚洲风力发电（牡丹江）有限公司</t>
  </si>
  <si>
    <t>代马沟</t>
  </si>
  <si>
    <t>香港风力发电（穆棱）有限公司</t>
  </si>
  <si>
    <t>平阴一期</t>
  </si>
  <si>
    <t>国电物资山东配送有限公司</t>
  </si>
  <si>
    <t>招远夏甸</t>
  </si>
  <si>
    <t>大唐集贤太平风力发电有限公司</t>
  </si>
  <si>
    <t>太平</t>
  </si>
  <si>
    <t>潍坊滨海</t>
  </si>
  <si>
    <t>湘电风能有限公司</t>
  </si>
  <si>
    <t>王龙波</t>
  </si>
  <si>
    <t>文登</t>
  </si>
  <si>
    <t>爱华</t>
  </si>
  <si>
    <t>大庆绿源风力发电有限公司</t>
  </si>
  <si>
    <t>黑龙江东方风力发电有限公司</t>
  </si>
  <si>
    <t>柳毛</t>
  </si>
  <si>
    <t>蜂蜜山</t>
  </si>
  <si>
    <t>三峡新能源尚义风电有限公司</t>
  </si>
  <si>
    <t>华电汤原风力发电有限公司</t>
  </si>
  <si>
    <t>汤原渠首</t>
  </si>
  <si>
    <t>七台河宏浩风力发电有限公司</t>
  </si>
  <si>
    <t>七里嘎山</t>
  </si>
  <si>
    <t>大唐华安（齐齐哈尔）风力发电有限公司</t>
  </si>
  <si>
    <t>碾子山</t>
  </si>
  <si>
    <t>福能（漳州）风力发电有限责任公司</t>
  </si>
  <si>
    <t>七台河丰润风力发电有限公司</t>
  </si>
  <si>
    <t>泡崖大北山</t>
  </si>
  <si>
    <t>锅盔山</t>
  </si>
  <si>
    <t>黑山龙湾</t>
  </si>
  <si>
    <t>乾安腾字</t>
  </si>
  <si>
    <t>中广核安丘风力发电有限公司</t>
  </si>
  <si>
    <t>安丘摘月山</t>
  </si>
  <si>
    <t>中航龙腾风力发电有限公司</t>
  </si>
  <si>
    <t>龙腾</t>
  </si>
  <si>
    <t>岔林河</t>
  </si>
  <si>
    <t>带岭东山</t>
  </si>
  <si>
    <t>国华（东台）风电有限公司</t>
  </si>
  <si>
    <t>中核国电漳州能源有限公司</t>
  </si>
  <si>
    <t>云霄青径</t>
  </si>
  <si>
    <t>海林中电海浪风力发电有限公司</t>
  </si>
  <si>
    <t>新誉集团有限公司</t>
  </si>
  <si>
    <t>到保</t>
  </si>
  <si>
    <t>镇西堡、李家屯、心田堡</t>
  </si>
  <si>
    <t>大蚶山</t>
  </si>
  <si>
    <t>开原威远</t>
  </si>
  <si>
    <t>国电联合动力技术（长春）有限公司</t>
  </si>
  <si>
    <t>金紫山</t>
  </si>
  <si>
    <t>中广核盖州风力发电有限公司</t>
  </si>
  <si>
    <t>大庆龙江风电有限责任公司</t>
  </si>
  <si>
    <t>大庆瑞好</t>
  </si>
  <si>
    <t>小草湖</t>
  </si>
  <si>
    <t>衡水双利风电设备制造有限公司</t>
  </si>
  <si>
    <t>烟墩</t>
  </si>
  <si>
    <t>南京国电南自新能源工程技术有限公司</t>
  </si>
  <si>
    <t>文特客</t>
  </si>
  <si>
    <t>哈密苦水</t>
  </si>
  <si>
    <t>同江临江、江胜</t>
  </si>
  <si>
    <t>大庆兴隆、新海</t>
  </si>
  <si>
    <t>义县天润风电有限公司</t>
  </si>
  <si>
    <t>留龙沟</t>
  </si>
  <si>
    <t>调兵山一期</t>
  </si>
  <si>
    <t>调兵山二期泉眼沟</t>
  </si>
  <si>
    <t>杨木岗</t>
  </si>
  <si>
    <t>老平岗</t>
  </si>
  <si>
    <t>南京国电南自风电自动化技术有限公司</t>
  </si>
  <si>
    <t>东方民生石城子</t>
  </si>
  <si>
    <t>龙源靖边风力发电有限公司</t>
  </si>
  <si>
    <t>中卫香山</t>
  </si>
  <si>
    <t>苇湖梁</t>
  </si>
  <si>
    <t>福能草山</t>
  </si>
  <si>
    <t>十三间房</t>
  </si>
  <si>
    <t>2014年合计</t>
  </si>
  <si>
    <t>日  期</t>
  </si>
  <si>
    <t>付款单位</t>
  </si>
  <si>
    <t>风电场名称</t>
  </si>
  <si>
    <t>合同号</t>
  </si>
  <si>
    <t>金  额</t>
  </si>
  <si>
    <t>备     注</t>
  </si>
  <si>
    <t>业务员</t>
  </si>
  <si>
    <t>制表：黄向楠</t>
  </si>
  <si>
    <t>2014.12.31</t>
  </si>
  <si>
    <t>2012.04.27</t>
  </si>
  <si>
    <t>2014.05.30</t>
  </si>
  <si>
    <t>2012.10.18</t>
  </si>
  <si>
    <t>2014.10.17</t>
  </si>
  <si>
    <t>大唐平阴清洁能源开发有限公司</t>
  </si>
  <si>
    <t>铁岭心田堡</t>
  </si>
  <si>
    <t>海林海浪</t>
  </si>
  <si>
    <t>2013.12.18</t>
  </si>
  <si>
    <t>2014.12.17</t>
  </si>
  <si>
    <t>2013.12.20</t>
  </si>
  <si>
    <t>华能大庆和平</t>
  </si>
  <si>
    <t>2013.12.30</t>
  </si>
  <si>
    <t>2014.12.30</t>
  </si>
  <si>
    <t>2013.12.24</t>
  </si>
  <si>
    <t>2013.04.25</t>
  </si>
  <si>
    <t>2013.12.27</t>
  </si>
  <si>
    <t>邵  楠</t>
    <phoneticPr fontId="11" type="noConversion"/>
  </si>
  <si>
    <t>陈慧群</t>
    <phoneticPr fontId="11" type="noConversion"/>
  </si>
  <si>
    <t>王  维</t>
    <phoneticPr fontId="11" type="noConversion"/>
  </si>
  <si>
    <t>韩志宇</t>
    <phoneticPr fontId="11" type="noConversion"/>
  </si>
  <si>
    <t>2014.04.01</t>
    <phoneticPr fontId="11" type="noConversion"/>
  </si>
  <si>
    <t>张  霞</t>
    <phoneticPr fontId="11" type="noConversion"/>
  </si>
  <si>
    <t>王龙波</t>
    <phoneticPr fontId="11" type="noConversion"/>
  </si>
  <si>
    <t>中国华电集团物资有限公司</t>
    <phoneticPr fontId="11" type="noConversion"/>
  </si>
  <si>
    <t xml:space="preserve">福能（仙游）风力发电有限责任公司 </t>
    <phoneticPr fontId="11" type="noConversion"/>
  </si>
  <si>
    <t>大唐华安（齐齐哈尔）风力发电有限公司</t>
    <phoneticPr fontId="11" type="noConversion"/>
  </si>
  <si>
    <t>郭文明</t>
    <phoneticPr fontId="11" type="noConversion"/>
  </si>
  <si>
    <t>晨光</t>
    <phoneticPr fontId="11" type="noConversion"/>
  </si>
  <si>
    <t>富强</t>
    <phoneticPr fontId="11" type="noConversion"/>
  </si>
  <si>
    <t>贾本玉</t>
    <phoneticPr fontId="11" type="noConversion"/>
  </si>
  <si>
    <t>陈慧群</t>
    <phoneticPr fontId="11" type="noConversion"/>
  </si>
  <si>
    <t>黑龙江富龙风力发电有限责任公司</t>
    <phoneticPr fontId="11" type="noConversion"/>
  </si>
  <si>
    <t>龙腾</t>
    <phoneticPr fontId="11" type="noConversion"/>
  </si>
  <si>
    <t>蒋公岭</t>
  </si>
  <si>
    <t>秦英飞</t>
    <phoneticPr fontId="11" type="noConversion"/>
  </si>
  <si>
    <t>贾本玉</t>
    <phoneticPr fontId="11" type="noConversion"/>
  </si>
  <si>
    <t>韩志宇</t>
    <phoneticPr fontId="11" type="noConversion"/>
  </si>
  <si>
    <t>黑龙江龙源风力发电有限公司</t>
    <phoneticPr fontId="11" type="noConversion"/>
  </si>
  <si>
    <t>依兰龙源风力发电有限公司</t>
    <phoneticPr fontId="11" type="noConversion"/>
  </si>
  <si>
    <t>蝙蝠山</t>
    <phoneticPr fontId="11" type="noConversion"/>
  </si>
  <si>
    <t>华能江西清洁能源有限责任公司</t>
    <phoneticPr fontId="11" type="noConversion"/>
  </si>
  <si>
    <t>桦南</t>
    <phoneticPr fontId="11" type="noConversion"/>
  </si>
  <si>
    <t>郭文明</t>
    <phoneticPr fontId="11" type="noConversion"/>
  </si>
  <si>
    <t>大唐集贤风力发电有限公司</t>
    <phoneticPr fontId="11" type="noConversion"/>
  </si>
  <si>
    <t>大唐桦南风力发电有限公司</t>
    <phoneticPr fontId="11" type="noConversion"/>
  </si>
  <si>
    <t>桦南</t>
    <phoneticPr fontId="11" type="noConversion"/>
  </si>
  <si>
    <t>调兵山一期、二期</t>
    <phoneticPr fontId="11" type="noConversion"/>
  </si>
  <si>
    <t>贾本玉</t>
    <phoneticPr fontId="11" type="noConversion"/>
  </si>
  <si>
    <t>三峡新能源开原风电有限公司</t>
    <phoneticPr fontId="11" type="noConversion"/>
  </si>
  <si>
    <t>2014.08.08</t>
    <phoneticPr fontId="11" type="noConversion"/>
  </si>
  <si>
    <t>天山达坂城</t>
    <phoneticPr fontId="11" type="noConversion"/>
  </si>
  <si>
    <t>彰武王家</t>
    <phoneticPr fontId="11" type="noConversion"/>
  </si>
  <si>
    <t>林甸东明园风力发电有限公司</t>
    <phoneticPr fontId="11" type="noConversion"/>
  </si>
  <si>
    <t>芦河</t>
    <phoneticPr fontId="11" type="noConversion"/>
  </si>
  <si>
    <t>杨振坤</t>
    <phoneticPr fontId="11" type="noConversion"/>
  </si>
  <si>
    <t>王龙波</t>
    <phoneticPr fontId="11" type="noConversion"/>
  </si>
  <si>
    <t>华电铁岭风力发电有限公司</t>
    <phoneticPr fontId="11" type="noConversion"/>
  </si>
  <si>
    <t>吐鲁番</t>
    <phoneticPr fontId="11" type="noConversion"/>
  </si>
  <si>
    <t>新疆华电吐鲁番发电有限责任公司</t>
    <phoneticPr fontId="11" type="noConversion"/>
  </si>
  <si>
    <t>国华（乾安）风电有限公司</t>
    <phoneticPr fontId="11" type="noConversion"/>
  </si>
  <si>
    <t>陈慧群</t>
    <phoneticPr fontId="11" type="noConversion"/>
  </si>
  <si>
    <t>新疆天电达坂城风力发电有限责任公司</t>
    <phoneticPr fontId="11" type="noConversion"/>
  </si>
  <si>
    <t>2014.10.22</t>
    <phoneticPr fontId="11" type="noConversion"/>
  </si>
  <si>
    <t>密山潘家店风力发电有限公司</t>
    <phoneticPr fontId="11" type="noConversion"/>
  </si>
  <si>
    <t>潘家店</t>
    <phoneticPr fontId="11" type="noConversion"/>
  </si>
  <si>
    <t>南京南瑞继保工程技术有限公司</t>
    <phoneticPr fontId="11" type="noConversion"/>
  </si>
  <si>
    <t>密山临河风力发电有限公司</t>
    <phoneticPr fontId="11" type="noConversion"/>
  </si>
  <si>
    <t>临河（兴凯湖三、四期）</t>
    <phoneticPr fontId="11" type="noConversion"/>
  </si>
  <si>
    <t>宣化阳城子</t>
    <phoneticPr fontId="11" type="noConversion"/>
  </si>
  <si>
    <t>尚义二工地</t>
    <phoneticPr fontId="11" type="noConversion"/>
  </si>
  <si>
    <t>陈慧群</t>
    <phoneticPr fontId="11" type="noConversion"/>
  </si>
  <si>
    <t>沾化</t>
    <phoneticPr fontId="11" type="noConversion"/>
  </si>
  <si>
    <t>木垒一期</t>
    <phoneticPr fontId="11" type="noConversion"/>
  </si>
  <si>
    <t>郭文明</t>
    <phoneticPr fontId="11" type="noConversion"/>
  </si>
  <si>
    <t>狄青塬</t>
    <phoneticPr fontId="11" type="noConversion"/>
  </si>
  <si>
    <t>新疆高岸电子科技有限公司</t>
    <phoneticPr fontId="11" type="noConversion"/>
  </si>
  <si>
    <t>龙江杏山风力发电有限公司</t>
    <phoneticPr fontId="11" type="noConversion"/>
  </si>
  <si>
    <t>杏山（龙腾二期）</t>
    <phoneticPr fontId="11" type="noConversion"/>
  </si>
  <si>
    <t>潘家店（兴凯湖三、四期）</t>
    <phoneticPr fontId="11" type="noConversion"/>
  </si>
  <si>
    <t>华电虎林风力发电有限公司</t>
    <phoneticPr fontId="11" type="noConversion"/>
  </si>
  <si>
    <t>石青山</t>
    <phoneticPr fontId="11" type="noConversion"/>
  </si>
  <si>
    <t>华电汤原风力发电有限公司</t>
    <phoneticPr fontId="11" type="noConversion"/>
  </si>
  <si>
    <t>汤原渠首</t>
    <phoneticPr fontId="11" type="noConversion"/>
  </si>
  <si>
    <t>七台河丰润风力发电有限公司</t>
    <phoneticPr fontId="11" type="noConversion"/>
  </si>
  <si>
    <t>前锋</t>
    <phoneticPr fontId="11" type="noConversion"/>
  </si>
  <si>
    <t>七台河宏浩风力发电有限公司</t>
    <phoneticPr fontId="11" type="noConversion"/>
  </si>
  <si>
    <t>七里嘎山</t>
    <phoneticPr fontId="11" type="noConversion"/>
  </si>
  <si>
    <t>乌伊岭阿廷河</t>
    <phoneticPr fontId="11" type="noConversion"/>
  </si>
  <si>
    <t>吉林中广核风力发电有限公司</t>
    <phoneticPr fontId="11" type="noConversion"/>
  </si>
  <si>
    <t>2015年销售合同回款统计表</t>
    <phoneticPr fontId="11" type="noConversion"/>
  </si>
  <si>
    <t>三峡新能源调兵山风电有限公司</t>
    <phoneticPr fontId="11" type="noConversion"/>
  </si>
  <si>
    <t>新疆华电苇湖梁新能源有限公司</t>
    <phoneticPr fontId="11" type="noConversion"/>
  </si>
  <si>
    <t>2015.01.07</t>
    <phoneticPr fontId="11" type="noConversion"/>
  </si>
  <si>
    <t>韩志宇</t>
    <phoneticPr fontId="11" type="noConversion"/>
  </si>
  <si>
    <t>部分合同款</t>
    <phoneticPr fontId="11" type="noConversion"/>
  </si>
  <si>
    <t>2015.01.16</t>
    <phoneticPr fontId="11" type="noConversion"/>
  </si>
  <si>
    <t>王  维</t>
    <phoneticPr fontId="11" type="noConversion"/>
  </si>
  <si>
    <t>东营</t>
    <phoneticPr fontId="11" type="noConversion"/>
  </si>
  <si>
    <t>合同款60%</t>
    <phoneticPr fontId="11" type="noConversion"/>
  </si>
  <si>
    <t>2015.01.29</t>
    <phoneticPr fontId="11" type="noConversion"/>
  </si>
  <si>
    <t>大岗子</t>
    <phoneticPr fontId="11" type="noConversion"/>
  </si>
  <si>
    <t>陈慧群</t>
    <phoneticPr fontId="11" type="noConversion"/>
  </si>
  <si>
    <t>合同款100%</t>
    <phoneticPr fontId="11" type="noConversion"/>
  </si>
  <si>
    <t>2015.02.04</t>
    <phoneticPr fontId="11" type="noConversion"/>
  </si>
  <si>
    <t>预付款50%</t>
    <phoneticPr fontId="11" type="noConversion"/>
  </si>
  <si>
    <t>北京科东电力控制系统有限责任公司</t>
    <phoneticPr fontId="11" type="noConversion"/>
  </si>
  <si>
    <t>2015.01.19</t>
    <phoneticPr fontId="11" type="noConversion"/>
  </si>
  <si>
    <t>合同款100%</t>
    <phoneticPr fontId="11" type="noConversion"/>
  </si>
  <si>
    <t>黑龙江富龙风力发电有限责任公司</t>
    <phoneticPr fontId="11" type="noConversion"/>
  </si>
  <si>
    <t>山东大唐国际东营风电有限责任公司</t>
    <phoneticPr fontId="11" type="noConversion"/>
  </si>
  <si>
    <t>陈慧群</t>
    <phoneticPr fontId="11" type="noConversion"/>
  </si>
  <si>
    <t>2015.02.05</t>
    <phoneticPr fontId="11" type="noConversion"/>
  </si>
  <si>
    <t>华电吉林大安风力发电有限公司</t>
    <phoneticPr fontId="11" type="noConversion"/>
  </si>
  <si>
    <t>部分到货款</t>
    <phoneticPr fontId="11" type="noConversion"/>
  </si>
  <si>
    <t>2015.02.09</t>
    <phoneticPr fontId="11" type="noConversion"/>
  </si>
  <si>
    <t>郭文明</t>
    <phoneticPr fontId="11" type="noConversion"/>
  </si>
  <si>
    <t>合同款25%</t>
    <phoneticPr fontId="11" type="noConversion"/>
  </si>
  <si>
    <t>2015.02.11</t>
    <phoneticPr fontId="11" type="noConversion"/>
  </si>
  <si>
    <t>大唐依兰风力发电有限公司</t>
    <phoneticPr fontId="11" type="noConversion"/>
  </si>
  <si>
    <t>泰来</t>
    <phoneticPr fontId="11" type="noConversion"/>
  </si>
  <si>
    <t>部分合同款</t>
    <phoneticPr fontId="11" type="noConversion"/>
  </si>
  <si>
    <t>2015.02.12</t>
    <phoneticPr fontId="11" type="noConversion"/>
  </si>
  <si>
    <t>沙岗子</t>
    <phoneticPr fontId="11" type="noConversion"/>
  </si>
  <si>
    <t>合同款30%</t>
    <phoneticPr fontId="11" type="noConversion"/>
  </si>
  <si>
    <t>贾本玉</t>
    <phoneticPr fontId="11" type="noConversion"/>
  </si>
  <si>
    <t>银行承兑汇票1张，2015.8.9到期</t>
    <phoneticPr fontId="11" type="noConversion"/>
  </si>
  <si>
    <t>银行承兑汇票1张，2015.8.5到期</t>
    <phoneticPr fontId="11" type="noConversion"/>
  </si>
  <si>
    <t>合同款50%</t>
    <phoneticPr fontId="11" type="noConversion"/>
  </si>
  <si>
    <t>2015.02.13</t>
  </si>
  <si>
    <t>新疆华电吐鲁番发电有限责任公司</t>
    <phoneticPr fontId="11" type="noConversion"/>
  </si>
  <si>
    <t>合同款40%</t>
    <phoneticPr fontId="11" type="noConversion"/>
  </si>
  <si>
    <t>王龙波</t>
    <phoneticPr fontId="11" type="noConversion"/>
  </si>
  <si>
    <t>2015.02.16</t>
    <phoneticPr fontId="11" type="noConversion"/>
  </si>
  <si>
    <t>华能同江风力发电有限公司</t>
    <phoneticPr fontId="11" type="noConversion"/>
  </si>
  <si>
    <t>2015.02.27</t>
    <phoneticPr fontId="11" type="noConversion"/>
  </si>
  <si>
    <t>半年服务费</t>
    <phoneticPr fontId="11" type="noConversion"/>
  </si>
  <si>
    <t>龙腾</t>
    <phoneticPr fontId="11" type="noConversion"/>
  </si>
  <si>
    <t>1年服务费</t>
    <phoneticPr fontId="11" type="noConversion"/>
  </si>
  <si>
    <t>2015.03.11</t>
    <phoneticPr fontId="11" type="noConversion"/>
  </si>
  <si>
    <t>太阳山</t>
    <phoneticPr fontId="11" type="noConversion"/>
  </si>
  <si>
    <t>2015.03.12</t>
    <phoneticPr fontId="11" type="noConversion"/>
  </si>
  <si>
    <t>2015.03.12</t>
    <phoneticPr fontId="11" type="noConversion"/>
  </si>
  <si>
    <t>验收款60%</t>
    <phoneticPr fontId="11" type="noConversion"/>
  </si>
  <si>
    <t>收银行承兑汇票1张466000元，2015.8.15到期，现金560元。</t>
    <phoneticPr fontId="11" type="noConversion"/>
  </si>
  <si>
    <t>2015.03.19</t>
    <phoneticPr fontId="11" type="noConversion"/>
  </si>
  <si>
    <t>1年服务费</t>
    <phoneticPr fontId="11" type="noConversion"/>
  </si>
  <si>
    <t>湘电风能有限公司</t>
    <phoneticPr fontId="11" type="noConversion"/>
  </si>
  <si>
    <t>2015.03.24</t>
    <phoneticPr fontId="11" type="noConversion"/>
  </si>
  <si>
    <t>华能哈密风力发电有限公司</t>
    <phoneticPr fontId="11" type="noConversion"/>
  </si>
  <si>
    <t>服务费</t>
    <phoneticPr fontId="11" type="noConversion"/>
  </si>
  <si>
    <t>王龙波</t>
    <phoneticPr fontId="11" type="noConversion"/>
  </si>
  <si>
    <t>2015.03.25</t>
  </si>
  <si>
    <t>大唐集贤风力发电有限公司</t>
    <phoneticPr fontId="11" type="noConversion"/>
  </si>
  <si>
    <t>大唐集贤太平风力发电有限公司</t>
    <phoneticPr fontId="11" type="noConversion"/>
  </si>
  <si>
    <t>大唐华安（齐齐哈尔）风力发电有限公司</t>
    <phoneticPr fontId="11" type="noConversion"/>
  </si>
  <si>
    <t>双鸭山杨木岗风力发电有限公司</t>
    <phoneticPr fontId="11" type="noConversion"/>
  </si>
  <si>
    <t>双鸭山锅盔山风力发电有限公司</t>
    <phoneticPr fontId="11" type="noConversion"/>
  </si>
  <si>
    <t>双鸭山老平岗风力发电有限公司</t>
    <phoneticPr fontId="11" type="noConversion"/>
  </si>
  <si>
    <t>华能哈密风力发电有限公司</t>
    <phoneticPr fontId="11" type="noConversion"/>
  </si>
  <si>
    <t>乌尔古力、五顶山</t>
    <phoneticPr fontId="11" type="noConversion"/>
  </si>
  <si>
    <t>龙江哈拉海乡</t>
    <phoneticPr fontId="11" type="noConversion"/>
  </si>
  <si>
    <t>石青山二期</t>
    <phoneticPr fontId="11" type="noConversion"/>
  </si>
  <si>
    <t>2015.04.17</t>
    <phoneticPr fontId="11" type="noConversion"/>
  </si>
  <si>
    <t>合同款90%</t>
    <phoneticPr fontId="11" type="noConversion"/>
  </si>
  <si>
    <t>中航龙腾风力发电有限公司</t>
    <phoneticPr fontId="11" type="noConversion"/>
  </si>
  <si>
    <t>柳毛</t>
    <phoneticPr fontId="11" type="noConversion"/>
  </si>
  <si>
    <t>蜂蜜山</t>
    <phoneticPr fontId="11" type="noConversion"/>
  </si>
  <si>
    <t>半年服务费</t>
    <phoneticPr fontId="11" type="noConversion"/>
  </si>
  <si>
    <t>2015.04.24</t>
    <phoneticPr fontId="11" type="noConversion"/>
  </si>
  <si>
    <t>合同款91.8%</t>
    <phoneticPr fontId="11" type="noConversion"/>
  </si>
  <si>
    <t>杨振坤</t>
    <phoneticPr fontId="11" type="noConversion"/>
  </si>
  <si>
    <t>黑龙江东方风力发电有限公司</t>
    <phoneticPr fontId="11" type="noConversion"/>
  </si>
  <si>
    <t>2015.04.27</t>
    <phoneticPr fontId="11" type="noConversion"/>
  </si>
  <si>
    <t>合同款61.7%</t>
    <phoneticPr fontId="11" type="noConversion"/>
  </si>
  <si>
    <t>黑龙江北方风力发电有限公司</t>
    <phoneticPr fontId="11" type="noConversion"/>
  </si>
  <si>
    <t>林口胜利</t>
    <phoneticPr fontId="11" type="noConversion"/>
  </si>
  <si>
    <t>榆林国远风电有限公司</t>
    <phoneticPr fontId="11" type="noConversion"/>
  </si>
  <si>
    <t>国电物资集团有限公司西北物资配送中心</t>
    <phoneticPr fontId="11" type="noConversion"/>
  </si>
  <si>
    <t>2015.05.08</t>
    <phoneticPr fontId="11" type="noConversion"/>
  </si>
  <si>
    <t>2015.05.11</t>
    <phoneticPr fontId="11" type="noConversion"/>
  </si>
  <si>
    <t>2015.05.11</t>
    <phoneticPr fontId="11" type="noConversion"/>
  </si>
  <si>
    <t>2015.05.12</t>
    <phoneticPr fontId="11" type="noConversion"/>
  </si>
  <si>
    <t>2015.05.14</t>
  </si>
  <si>
    <t>2015.05.14</t>
    <phoneticPr fontId="11" type="noConversion"/>
  </si>
  <si>
    <t>质保金10%</t>
    <phoneticPr fontId="11" type="noConversion"/>
  </si>
  <si>
    <t>2015.05.15</t>
    <phoneticPr fontId="11" type="noConversion"/>
  </si>
  <si>
    <t>2015.05.18</t>
    <phoneticPr fontId="11" type="noConversion"/>
  </si>
  <si>
    <t>2015.05.29</t>
    <phoneticPr fontId="11" type="noConversion"/>
  </si>
  <si>
    <t>王龙波</t>
    <phoneticPr fontId="11" type="noConversion"/>
  </si>
  <si>
    <t>合同款50%</t>
    <phoneticPr fontId="11" type="noConversion"/>
  </si>
  <si>
    <t>龙江杏山风力发电有限公司</t>
    <phoneticPr fontId="11" type="noConversion"/>
  </si>
  <si>
    <t>黑龙江东方风力发电有限公司</t>
    <phoneticPr fontId="11" type="noConversion"/>
  </si>
  <si>
    <t xml:space="preserve">三峡新能源彰武发电有限公司 </t>
    <phoneticPr fontId="11" type="noConversion"/>
  </si>
  <si>
    <t>大唐依兰风力发电有限公司</t>
    <phoneticPr fontId="11" type="noConversion"/>
  </si>
  <si>
    <t>大唐依兰风力发电有限公司</t>
    <phoneticPr fontId="11" type="noConversion"/>
  </si>
  <si>
    <t>大唐桦川风力发电有限公司</t>
    <phoneticPr fontId="11" type="noConversion"/>
  </si>
  <si>
    <t>大唐集贤风力发电有限公司</t>
    <phoneticPr fontId="11" type="noConversion"/>
  </si>
  <si>
    <t>大唐桦南风力发电有限公司</t>
    <phoneticPr fontId="11" type="noConversion"/>
  </si>
  <si>
    <t>中航龙腾风力发电有限公司</t>
    <phoneticPr fontId="11" type="noConversion"/>
  </si>
  <si>
    <t>密山临河风力发电有限公司</t>
    <phoneticPr fontId="11" type="noConversion"/>
  </si>
  <si>
    <t>密山潘家店风力发电有限公司</t>
    <phoneticPr fontId="11" type="noConversion"/>
  </si>
  <si>
    <t>双鸭山老平岗风力发电有限公司</t>
    <phoneticPr fontId="11" type="noConversion"/>
  </si>
  <si>
    <t>双鸭山杨木岗风力发电有限公司</t>
    <phoneticPr fontId="11" type="noConversion"/>
  </si>
  <si>
    <t>新疆高岸电子科技有限公司</t>
    <phoneticPr fontId="11" type="noConversion"/>
  </si>
  <si>
    <t>抚远龙源风力发电有限公司</t>
    <phoneticPr fontId="11" type="noConversion"/>
  </si>
  <si>
    <t>大蜂山</t>
    <phoneticPr fontId="11" type="noConversion"/>
  </si>
  <si>
    <t>海林龙源风力发电有限公司</t>
    <phoneticPr fontId="11" type="noConversion"/>
  </si>
  <si>
    <t>伊春兴安岭风力发电有限公司</t>
    <phoneticPr fontId="11" type="noConversion"/>
  </si>
  <si>
    <t>2015.06.11</t>
    <phoneticPr fontId="11" type="noConversion"/>
  </si>
  <si>
    <t>2015.06.12</t>
  </si>
  <si>
    <t>宁夏华创风能有限公司</t>
    <phoneticPr fontId="11" type="noConversion"/>
  </si>
  <si>
    <t>王龙波</t>
    <phoneticPr fontId="11" type="noConversion"/>
  </si>
  <si>
    <t>部分合同款</t>
    <phoneticPr fontId="11" type="noConversion"/>
  </si>
  <si>
    <t>秦英飞</t>
    <phoneticPr fontId="11" type="noConversion"/>
  </si>
  <si>
    <t>蒋公岭</t>
    <phoneticPr fontId="11" type="noConversion"/>
  </si>
  <si>
    <t>2015.06.19</t>
    <phoneticPr fontId="11" type="noConversion"/>
  </si>
  <si>
    <t>黑龙江富龙风力发电有限责任公司</t>
    <phoneticPr fontId="11" type="noConversion"/>
  </si>
  <si>
    <t>2015.06.26</t>
    <phoneticPr fontId="11" type="noConversion"/>
  </si>
  <si>
    <t>华能江西清洁能源有限责任公司</t>
    <phoneticPr fontId="11" type="noConversion"/>
  </si>
  <si>
    <t>秦英飞</t>
    <phoneticPr fontId="11" type="noConversion"/>
  </si>
  <si>
    <t>合同款30%</t>
    <phoneticPr fontId="11" type="noConversion"/>
  </si>
  <si>
    <t>北京博风慧能软件有限责任公司</t>
    <phoneticPr fontId="11" type="noConversion"/>
  </si>
  <si>
    <t>大庆绿源风力发电有限公司</t>
    <phoneticPr fontId="11" type="noConversion"/>
  </si>
  <si>
    <t>中国大唐集团财务有限公司</t>
    <phoneticPr fontId="11" type="noConversion"/>
  </si>
  <si>
    <t>黑龙江富龙风能科技开发有限责任公司</t>
    <phoneticPr fontId="11" type="noConversion"/>
  </si>
  <si>
    <t>2015.07.02</t>
    <phoneticPr fontId="11" type="noConversion"/>
  </si>
  <si>
    <t>林口胜利风力发电有限公司</t>
    <phoneticPr fontId="11" type="noConversion"/>
  </si>
  <si>
    <t>预付款30%</t>
    <phoneticPr fontId="11" type="noConversion"/>
  </si>
  <si>
    <t>中广核大北山（瓦房店）风力发电有限公司</t>
    <phoneticPr fontId="11" type="noConversion"/>
  </si>
  <si>
    <t>2015.07.09</t>
    <phoneticPr fontId="11" type="noConversion"/>
  </si>
  <si>
    <t>2015.07.21</t>
    <phoneticPr fontId="11" type="noConversion"/>
  </si>
  <si>
    <t>补充设备款90%</t>
    <phoneticPr fontId="11" type="noConversion"/>
  </si>
  <si>
    <t>三塘湖东方民生四期</t>
    <phoneticPr fontId="11" type="noConversion"/>
  </si>
  <si>
    <t>三塘湖浦类海一期</t>
    <phoneticPr fontId="11" type="noConversion"/>
  </si>
  <si>
    <t>2015.07.22</t>
    <phoneticPr fontId="11" type="noConversion"/>
  </si>
  <si>
    <t>2015.07.23</t>
    <phoneticPr fontId="11" type="noConversion"/>
  </si>
  <si>
    <t>北京博风慧能软件有限责任公司</t>
    <phoneticPr fontId="11" type="noConversion"/>
  </si>
  <si>
    <t>14051/14071/14072</t>
    <phoneticPr fontId="11" type="noConversion"/>
  </si>
  <si>
    <t>苇湖梁东区、中区、西区</t>
    <phoneticPr fontId="11" type="noConversion"/>
  </si>
  <si>
    <t>合同款75%</t>
    <phoneticPr fontId="11" type="noConversion"/>
  </si>
  <si>
    <t>部分合同款79%</t>
    <phoneticPr fontId="11" type="noConversion"/>
  </si>
  <si>
    <t>代马沟</t>
    <phoneticPr fontId="11" type="noConversion"/>
  </si>
  <si>
    <t>华电虎林风力发电有限公司</t>
    <phoneticPr fontId="11" type="noConversion"/>
  </si>
  <si>
    <t>合同款70%</t>
    <phoneticPr fontId="11" type="noConversion"/>
  </si>
  <si>
    <t>2015.07.29</t>
    <phoneticPr fontId="11" type="noConversion"/>
  </si>
  <si>
    <t>已用</t>
    <phoneticPr fontId="11" type="noConversion"/>
  </si>
  <si>
    <t>黑山龙湾</t>
    <phoneticPr fontId="11" type="noConversion"/>
  </si>
  <si>
    <t>2015.08.07</t>
    <phoneticPr fontId="11" type="noConversion"/>
  </si>
  <si>
    <t>补充合同款</t>
    <phoneticPr fontId="11" type="noConversion"/>
  </si>
  <si>
    <t>2015.08.12</t>
    <phoneticPr fontId="11" type="noConversion"/>
  </si>
  <si>
    <t>心田堡D5000</t>
    <phoneticPr fontId="11" type="noConversion"/>
  </si>
  <si>
    <t>2015.08.13</t>
  </si>
  <si>
    <t>1年服务费</t>
  </si>
  <si>
    <t>亚洲风力发电（牡丹江）有限公司香港风力发电（穆棱）有限公司</t>
    <phoneticPr fontId="11" type="noConversion"/>
  </si>
  <si>
    <t>亚洲风力发电（牡丹江）有限公司</t>
    <phoneticPr fontId="11" type="noConversion"/>
  </si>
  <si>
    <t>香港风力发电（穆棱）有限公司</t>
    <phoneticPr fontId="11" type="noConversion"/>
  </si>
  <si>
    <t>合同款25%</t>
    <phoneticPr fontId="11" type="noConversion"/>
  </si>
  <si>
    <t>2015.8.13进账</t>
    <phoneticPr fontId="11" type="noConversion"/>
  </si>
  <si>
    <t>2015.08.14</t>
  </si>
  <si>
    <t>预付款30%</t>
    <phoneticPr fontId="11" type="noConversion"/>
  </si>
  <si>
    <t>王龙波</t>
    <phoneticPr fontId="11" type="noConversion"/>
  </si>
  <si>
    <t>2015.08.21</t>
    <phoneticPr fontId="11" type="noConversion"/>
  </si>
  <si>
    <t>半年服务费</t>
    <phoneticPr fontId="11" type="noConversion"/>
  </si>
  <si>
    <t>贾本玉</t>
    <phoneticPr fontId="11" type="noConversion"/>
  </si>
  <si>
    <t>2015.08.19</t>
  </si>
  <si>
    <t>2015.08.20</t>
  </si>
  <si>
    <t>2015.08.20</t>
    <phoneticPr fontId="11" type="noConversion"/>
  </si>
  <si>
    <t>华电汤原风力发电有限公司</t>
    <phoneticPr fontId="11" type="noConversion"/>
  </si>
  <si>
    <t>2015.8.18进账</t>
    <phoneticPr fontId="11" type="noConversion"/>
  </si>
  <si>
    <t>2015.08.19</t>
    <phoneticPr fontId="11" type="noConversion"/>
  </si>
  <si>
    <t>补充合同款</t>
    <phoneticPr fontId="11" type="noConversion"/>
  </si>
  <si>
    <t>2015.08.25</t>
    <phoneticPr fontId="11" type="noConversion"/>
  </si>
  <si>
    <t>大唐SIS</t>
    <phoneticPr fontId="11" type="noConversion"/>
  </si>
  <si>
    <t>新誉集团有限公司</t>
    <phoneticPr fontId="11" type="noConversion"/>
  </si>
  <si>
    <t>大庆龙江风电有限责任公司</t>
    <phoneticPr fontId="11" type="noConversion"/>
  </si>
  <si>
    <t>中国软件与技术服务股份有限公司</t>
    <phoneticPr fontId="11" type="noConversion"/>
  </si>
  <si>
    <t>2015.09.16</t>
    <phoneticPr fontId="11" type="noConversion"/>
  </si>
  <si>
    <t>收银行承兑汇票1张，2015.10.29到期。</t>
    <phoneticPr fontId="11" type="noConversion"/>
  </si>
  <si>
    <t>部分合同款</t>
    <phoneticPr fontId="11" type="noConversion"/>
  </si>
  <si>
    <t xml:space="preserve">三峡新能源调兵山风电有限公司 </t>
    <phoneticPr fontId="11" type="noConversion"/>
  </si>
  <si>
    <t>2015.09.18</t>
    <phoneticPr fontId="11" type="noConversion"/>
  </si>
  <si>
    <t>王  维</t>
    <phoneticPr fontId="11" type="noConversion"/>
  </si>
  <si>
    <t>达标款20%</t>
    <phoneticPr fontId="11" type="noConversion"/>
  </si>
  <si>
    <t>2015.09.21</t>
    <phoneticPr fontId="11" type="noConversion"/>
  </si>
  <si>
    <t>2015.09.22</t>
  </si>
  <si>
    <t>大唐SIS</t>
    <phoneticPr fontId="11" type="noConversion"/>
  </si>
  <si>
    <t>部分合同款</t>
    <phoneticPr fontId="11" type="noConversion"/>
  </si>
  <si>
    <t>2015.09.22</t>
    <phoneticPr fontId="11" type="noConversion"/>
  </si>
  <si>
    <t>合同款70%</t>
    <phoneticPr fontId="11" type="noConversion"/>
  </si>
  <si>
    <t>吉林省加禧电力工程技术有限公司</t>
    <phoneticPr fontId="11" type="noConversion"/>
  </si>
  <si>
    <t>2015.09.24</t>
    <phoneticPr fontId="11" type="noConversion"/>
  </si>
  <si>
    <t>2015.09.25</t>
  </si>
  <si>
    <t>富裕友谊一期</t>
    <phoneticPr fontId="11" type="noConversion"/>
  </si>
  <si>
    <t>中广核安丘风力发电有限公司</t>
    <phoneticPr fontId="11" type="noConversion"/>
  </si>
  <si>
    <t>双鸭山锅盔山风力发电有限公司</t>
    <phoneticPr fontId="11" type="noConversion"/>
  </si>
  <si>
    <t>双鸭山老平岗风力发电有限公司</t>
    <phoneticPr fontId="11" type="noConversion"/>
  </si>
  <si>
    <t>双鸭山杨木岗风力发电有限公司</t>
    <phoneticPr fontId="11" type="noConversion"/>
  </si>
  <si>
    <t>宁夏华创风能有限公司</t>
    <phoneticPr fontId="11" type="noConversion"/>
  </si>
  <si>
    <t>SIS项目</t>
    <phoneticPr fontId="11" type="noConversion"/>
  </si>
  <si>
    <t>2015.10.15</t>
    <phoneticPr fontId="11" type="noConversion"/>
  </si>
  <si>
    <t>2015.10.20</t>
    <phoneticPr fontId="11" type="noConversion"/>
  </si>
  <si>
    <t>2015.10.23</t>
    <phoneticPr fontId="11" type="noConversion"/>
  </si>
  <si>
    <t>合同款90%</t>
    <phoneticPr fontId="11" type="noConversion"/>
  </si>
  <si>
    <t>王龙波</t>
    <phoneticPr fontId="11" type="noConversion"/>
  </si>
  <si>
    <t>2015.10.29</t>
    <phoneticPr fontId="11" type="noConversion"/>
  </si>
  <si>
    <t>大唐集贤风力发电有限公司</t>
    <phoneticPr fontId="11" type="noConversion"/>
  </si>
  <si>
    <t>2015.11.02</t>
    <phoneticPr fontId="11" type="noConversion"/>
  </si>
  <si>
    <t>部分合同款</t>
    <phoneticPr fontId="11" type="noConversion"/>
  </si>
  <si>
    <t>王龙波</t>
    <phoneticPr fontId="11" type="noConversion"/>
  </si>
  <si>
    <t>银行承兑汇票1张，2015.10.29到期。</t>
    <phoneticPr fontId="11" type="noConversion"/>
  </si>
  <si>
    <t>2015年合计</t>
    <phoneticPr fontId="11" type="noConversion"/>
  </si>
  <si>
    <t>收银行承兑汇票1张466000元，2015.8.15到期，现金560元。</t>
    <phoneticPr fontId="11" type="noConversion"/>
  </si>
  <si>
    <t>新疆吐鲁番广恒新能源有限公司</t>
    <phoneticPr fontId="11" type="noConversion"/>
  </si>
  <si>
    <t>中国软件与技术服务股份有限公司</t>
    <phoneticPr fontId="11" type="noConversion"/>
  </si>
  <si>
    <t>2015.11.10</t>
    <phoneticPr fontId="11" type="noConversion"/>
  </si>
  <si>
    <t>到货款45%</t>
    <phoneticPr fontId="11" type="noConversion"/>
  </si>
  <si>
    <t>2014.11.18</t>
    <phoneticPr fontId="11" type="noConversion"/>
  </si>
  <si>
    <t>木垒县乾新能源开发有限公司</t>
    <phoneticPr fontId="11" type="noConversion"/>
  </si>
  <si>
    <t>2015.11.16</t>
    <phoneticPr fontId="11" type="noConversion"/>
  </si>
  <si>
    <t>伊春华宇电力新能源有限公司</t>
    <phoneticPr fontId="11" type="noConversion"/>
  </si>
  <si>
    <t>验收款30%</t>
    <phoneticPr fontId="11" type="noConversion"/>
  </si>
  <si>
    <t>2015.11.18</t>
    <phoneticPr fontId="11" type="noConversion"/>
  </si>
  <si>
    <t>安丘摘月山</t>
    <phoneticPr fontId="11" type="noConversion"/>
  </si>
  <si>
    <t>彰武光伏扩容</t>
    <phoneticPr fontId="11" type="noConversion"/>
  </si>
  <si>
    <t>2015.11.23</t>
    <phoneticPr fontId="11" type="noConversion"/>
  </si>
  <si>
    <t>预付款30%</t>
    <phoneticPr fontId="11" type="noConversion"/>
  </si>
  <si>
    <t>2015.11.24</t>
  </si>
  <si>
    <t>1年服务费</t>
    <phoneticPr fontId="11" type="noConversion"/>
  </si>
  <si>
    <t>2015.11.25</t>
    <phoneticPr fontId="11" type="noConversion"/>
  </si>
  <si>
    <t>2015.11.26</t>
  </si>
  <si>
    <t>预付款30%</t>
    <phoneticPr fontId="11" type="noConversion"/>
  </si>
  <si>
    <t>1年服务费</t>
    <phoneticPr fontId="11" type="noConversion"/>
  </si>
  <si>
    <t>贾本玉</t>
    <phoneticPr fontId="11" type="noConversion"/>
  </si>
  <si>
    <t>2015.11.27</t>
    <phoneticPr fontId="11" type="noConversion"/>
  </si>
  <si>
    <t>贾本玉</t>
    <phoneticPr fontId="11" type="noConversion"/>
  </si>
  <si>
    <t>2015.11.27</t>
    <phoneticPr fontId="11" type="noConversion"/>
  </si>
  <si>
    <t>1年服务费</t>
    <phoneticPr fontId="11" type="noConversion"/>
  </si>
  <si>
    <t>贾本玉</t>
    <phoneticPr fontId="11" type="noConversion"/>
  </si>
  <si>
    <t>2015.11.27</t>
    <phoneticPr fontId="11" type="noConversion"/>
  </si>
  <si>
    <t>1年服务费</t>
    <phoneticPr fontId="11" type="noConversion"/>
  </si>
  <si>
    <t>贾本玉</t>
    <phoneticPr fontId="11" type="noConversion"/>
  </si>
  <si>
    <t>2015.11.30</t>
    <phoneticPr fontId="11" type="noConversion"/>
  </si>
  <si>
    <t>夹信山</t>
    <phoneticPr fontId="11" type="noConversion"/>
  </si>
  <si>
    <t>初装费</t>
    <phoneticPr fontId="11" type="noConversion"/>
  </si>
  <si>
    <t>龙海隆教</t>
    <phoneticPr fontId="11" type="noConversion"/>
  </si>
  <si>
    <t>老君庙风电场二期</t>
    <phoneticPr fontId="11" type="noConversion"/>
  </si>
  <si>
    <t>桦南龙源风力发电有限公司</t>
    <phoneticPr fontId="11" type="noConversion"/>
  </si>
  <si>
    <t>桦南龙源雄亚风力发电有限公司</t>
    <phoneticPr fontId="11" type="noConversion"/>
  </si>
  <si>
    <t>抚远龙源风力发电有限公司</t>
    <phoneticPr fontId="11" type="noConversion"/>
  </si>
  <si>
    <t>克山龙源风力发电有限公司</t>
    <phoneticPr fontId="11" type="noConversion"/>
  </si>
  <si>
    <t>伊春兴安岭风力发电有限公司</t>
    <phoneticPr fontId="11" type="noConversion"/>
  </si>
  <si>
    <t>辽宁安宇新能源有限公司</t>
    <phoneticPr fontId="11" type="noConversion"/>
  </si>
  <si>
    <t>伊春龙源风力发电有限公司</t>
    <phoneticPr fontId="11" type="noConversion"/>
  </si>
  <si>
    <t>双鸭山龙源风力发电有限公司</t>
    <phoneticPr fontId="11" type="noConversion"/>
  </si>
  <si>
    <t>鹤岗龙源风力发电有限公司</t>
    <phoneticPr fontId="11" type="noConversion"/>
  </si>
  <si>
    <t>海林龙源风力发电有限公司</t>
    <phoneticPr fontId="11" type="noConversion"/>
  </si>
  <si>
    <t>2015.12.03</t>
    <phoneticPr fontId="11" type="noConversion"/>
  </si>
  <si>
    <t>部分合同款</t>
    <phoneticPr fontId="11" type="noConversion"/>
  </si>
  <si>
    <t>2015.12.04</t>
  </si>
  <si>
    <t>桦南</t>
    <phoneticPr fontId="11" type="noConversion"/>
  </si>
  <si>
    <t>锦州和兴风力发电有限公司</t>
    <phoneticPr fontId="17" type="noConversion"/>
  </si>
  <si>
    <t>国电和风风电开发有限公司桦川分公司</t>
    <phoneticPr fontId="11" type="noConversion"/>
  </si>
  <si>
    <t>2015.12.08</t>
    <phoneticPr fontId="11" type="noConversion"/>
  </si>
  <si>
    <t>贾本玉</t>
    <phoneticPr fontId="11" type="noConversion"/>
  </si>
  <si>
    <t>2015.12.09</t>
    <phoneticPr fontId="11" type="noConversion"/>
  </si>
  <si>
    <t>南京南瑞继保工程技术有限公司</t>
    <phoneticPr fontId="11" type="noConversion"/>
  </si>
  <si>
    <t>合同款50%</t>
    <phoneticPr fontId="11" type="noConversion"/>
  </si>
  <si>
    <t>2015.12.10</t>
  </si>
  <si>
    <t>石青山</t>
    <phoneticPr fontId="11" type="noConversion"/>
  </si>
  <si>
    <t>2015.12.11</t>
  </si>
  <si>
    <t>富强</t>
    <phoneticPr fontId="11" type="noConversion"/>
  </si>
  <si>
    <t>2015.12.17</t>
    <phoneticPr fontId="11" type="noConversion"/>
  </si>
  <si>
    <t>2014年销售合同回款统计表</t>
  </si>
  <si>
    <t>备注</t>
    <phoneticPr fontId="11" type="noConversion"/>
  </si>
  <si>
    <t>2014.01.16</t>
  </si>
  <si>
    <t>预付10%+到货款40%</t>
    <phoneticPr fontId="11" type="noConversion"/>
  </si>
  <si>
    <t>2014.01.21</t>
  </si>
  <si>
    <t>安装调试30%</t>
  </si>
  <si>
    <t>张霞</t>
  </si>
  <si>
    <t>中国大唐集团财务有限公司</t>
  </si>
  <si>
    <t>年服务费</t>
  </si>
  <si>
    <t>2014.01.22</t>
  </si>
  <si>
    <t>2014.02.20</t>
  </si>
  <si>
    <t>到货款70%</t>
  </si>
  <si>
    <t>2014.02.26</t>
  </si>
  <si>
    <t>到货款60%</t>
  </si>
  <si>
    <t>2014.03.21</t>
    <phoneticPr fontId="11" type="noConversion"/>
  </si>
  <si>
    <t>黑龙江北方风力发电有限公司</t>
    <phoneticPr fontId="6" type="noConversion"/>
  </si>
  <si>
    <t>服务费50%</t>
    <phoneticPr fontId="11" type="noConversion"/>
  </si>
  <si>
    <t>2014.03.27</t>
    <phoneticPr fontId="11" type="noConversion"/>
  </si>
  <si>
    <t>2014.03.27</t>
  </si>
  <si>
    <t>2014.03.31</t>
    <phoneticPr fontId="11" type="noConversion"/>
  </si>
  <si>
    <t>2014.04.03</t>
    <phoneticPr fontId="11" type="noConversion"/>
  </si>
  <si>
    <t>2014.04.04</t>
    <phoneticPr fontId="11" type="noConversion"/>
  </si>
  <si>
    <t>到货款40%</t>
    <phoneticPr fontId="11" type="noConversion"/>
  </si>
  <si>
    <t>2014.04.04</t>
  </si>
  <si>
    <t>2014.04.23</t>
    <phoneticPr fontId="11" type="noConversion"/>
  </si>
  <si>
    <t>晨光、富强</t>
    <phoneticPr fontId="11" type="noConversion"/>
  </si>
  <si>
    <t>11041/11042</t>
    <phoneticPr fontId="11" type="noConversion"/>
  </si>
  <si>
    <t>2014.05.14</t>
    <phoneticPr fontId="11" type="noConversion"/>
  </si>
  <si>
    <t>大唐文登风力发电有限公司</t>
    <phoneticPr fontId="11" type="noConversion"/>
  </si>
  <si>
    <t>2014.05.16</t>
    <phoneticPr fontId="11" type="noConversion"/>
  </si>
  <si>
    <t>2014.05.19</t>
    <phoneticPr fontId="11" type="noConversion"/>
  </si>
  <si>
    <t>2014.05.29</t>
    <phoneticPr fontId="11" type="noConversion"/>
  </si>
  <si>
    <t>南京国电南自风电自动化技术有限公司</t>
    <phoneticPr fontId="11" type="noConversion"/>
  </si>
  <si>
    <t>验收款20%</t>
    <phoneticPr fontId="11" type="noConversion"/>
  </si>
  <si>
    <t>不提</t>
    <phoneticPr fontId="11" type="noConversion"/>
  </si>
  <si>
    <t>补充合同</t>
    <phoneticPr fontId="11" type="noConversion"/>
  </si>
  <si>
    <t>全款</t>
    <phoneticPr fontId="11" type="noConversion"/>
  </si>
  <si>
    <t>大唐依兰风力发电有限公司</t>
    <phoneticPr fontId="6" type="noConversion"/>
  </si>
  <si>
    <t>2014.06.12</t>
    <phoneticPr fontId="11" type="noConversion"/>
  </si>
  <si>
    <t>预付款10%</t>
  </si>
  <si>
    <t>2014.06.13</t>
    <phoneticPr fontId="11" type="noConversion"/>
  </si>
  <si>
    <t>2014.06.16</t>
    <phoneticPr fontId="11" type="noConversion"/>
  </si>
  <si>
    <t>2014.06.20</t>
    <phoneticPr fontId="11" type="noConversion"/>
  </si>
  <si>
    <t>2014.06.26</t>
    <phoneticPr fontId="11" type="noConversion"/>
  </si>
  <si>
    <t>2014.06.27</t>
  </si>
  <si>
    <t>依兰龙源风力发电有限公司</t>
    <phoneticPr fontId="6" type="noConversion"/>
  </si>
  <si>
    <t>依兰龙源风力发电有限公司</t>
    <phoneticPr fontId="11" type="noConversion"/>
  </si>
  <si>
    <t>2014.06.27</t>
    <phoneticPr fontId="11" type="noConversion"/>
  </si>
  <si>
    <t>高家沟</t>
    <phoneticPr fontId="11" type="noConversion"/>
  </si>
  <si>
    <t>90%合同款</t>
    <phoneticPr fontId="11" type="noConversion"/>
  </si>
  <si>
    <t>2014.07.01</t>
    <phoneticPr fontId="11" type="noConversion"/>
  </si>
  <si>
    <t>华锐风电科技（集团）股份有限公司</t>
    <phoneticPr fontId="11" type="noConversion"/>
  </si>
  <si>
    <t>2014.07.11</t>
    <phoneticPr fontId="11" type="noConversion"/>
  </si>
  <si>
    <t>2014.07.15</t>
    <phoneticPr fontId="11" type="noConversion"/>
  </si>
  <si>
    <t>2014.07.18</t>
    <phoneticPr fontId="11" type="noConversion"/>
  </si>
  <si>
    <t>锦州和兴风力发电有限公司</t>
    <phoneticPr fontId="11" type="noConversion"/>
  </si>
  <si>
    <t>2014.07.30</t>
    <phoneticPr fontId="11" type="noConversion"/>
  </si>
  <si>
    <t>华电新疆发电有限公司苇湖梁电厂</t>
    <phoneticPr fontId="11" type="noConversion"/>
  </si>
  <si>
    <t>合同款10%</t>
    <phoneticPr fontId="11" type="noConversion"/>
  </si>
  <si>
    <t>2014.07.31</t>
  </si>
  <si>
    <t>三峡新能源白城风电发展有限公司</t>
    <phoneticPr fontId="6" type="noConversion"/>
  </si>
  <si>
    <t>三峡新能源白城风电发展有限公司</t>
    <phoneticPr fontId="11" type="noConversion"/>
  </si>
  <si>
    <t>中国电力投资集团公司物资装备分公司</t>
    <phoneticPr fontId="11" type="noConversion"/>
  </si>
  <si>
    <t>设备款70%</t>
    <phoneticPr fontId="11" type="noConversion"/>
  </si>
  <si>
    <t>2014.08.22</t>
    <phoneticPr fontId="11" type="noConversion"/>
  </si>
  <si>
    <t>淖毛湖二期</t>
    <phoneticPr fontId="11" type="noConversion"/>
  </si>
  <si>
    <t>2014.08.26</t>
    <phoneticPr fontId="11" type="noConversion"/>
  </si>
  <si>
    <t>大唐济南长清清洁能源开发有限公司</t>
    <phoneticPr fontId="11" type="noConversion"/>
  </si>
  <si>
    <t>2014.09.12</t>
    <phoneticPr fontId="11" type="noConversion"/>
  </si>
  <si>
    <t>中国大唐集团财务有限公司-宁夏华创</t>
    <phoneticPr fontId="11" type="noConversion"/>
  </si>
  <si>
    <t>2014.09.18</t>
    <phoneticPr fontId="11" type="noConversion"/>
  </si>
  <si>
    <t>新疆华电吐鲁番发电有限公司</t>
    <phoneticPr fontId="11" type="noConversion"/>
  </si>
  <si>
    <t>吐鲁番</t>
  </si>
  <si>
    <t>预付款10%</t>
    <phoneticPr fontId="11" type="noConversion"/>
  </si>
  <si>
    <t>2014.09.29</t>
    <phoneticPr fontId="11" type="noConversion"/>
  </si>
  <si>
    <t>2014.10.08</t>
    <phoneticPr fontId="11" type="noConversion"/>
  </si>
  <si>
    <t>2014.10.13</t>
    <phoneticPr fontId="11" type="noConversion"/>
  </si>
  <si>
    <t>到货款50%</t>
    <phoneticPr fontId="11" type="noConversion"/>
  </si>
  <si>
    <t>2014.10.16</t>
    <phoneticPr fontId="11" type="noConversion"/>
  </si>
  <si>
    <t>林旬东明园</t>
    <phoneticPr fontId="11" type="noConversion"/>
  </si>
  <si>
    <t>2014.10.24</t>
    <phoneticPr fontId="11" type="noConversion"/>
  </si>
  <si>
    <t>2014.10.29</t>
    <phoneticPr fontId="11" type="noConversion"/>
  </si>
  <si>
    <t>宣化阳城子风光互补</t>
    <phoneticPr fontId="11" type="noConversion"/>
  </si>
  <si>
    <t>2014.11.10</t>
    <phoneticPr fontId="11" type="noConversion"/>
  </si>
  <si>
    <t>部分回款</t>
    <phoneticPr fontId="11" type="noConversion"/>
  </si>
  <si>
    <t>2014.11.11</t>
  </si>
  <si>
    <t>2014.11.13</t>
    <phoneticPr fontId="11" type="noConversion"/>
  </si>
  <si>
    <t>黑龙江富龙风力发电有限责任公司</t>
    <phoneticPr fontId="6" type="noConversion"/>
  </si>
  <si>
    <t>乌尔古力</t>
    <phoneticPr fontId="6" type="noConversion"/>
  </si>
  <si>
    <t>乌尔古力</t>
    <phoneticPr fontId="11" type="noConversion"/>
  </si>
  <si>
    <t>银行承兑汇票</t>
    <phoneticPr fontId="11" type="noConversion"/>
  </si>
  <si>
    <t>2015年5月3日到期</t>
    <phoneticPr fontId="11" type="noConversion"/>
  </si>
  <si>
    <t>乌伊岭阿延河</t>
    <phoneticPr fontId="11" type="noConversion"/>
  </si>
  <si>
    <t>2014.11.19</t>
  </si>
  <si>
    <t>2014.11.20</t>
  </si>
  <si>
    <t>衡水双利风电设备制造有限公司</t>
    <phoneticPr fontId="11" type="noConversion"/>
  </si>
  <si>
    <t>2014.11.21</t>
  </si>
  <si>
    <t>2014.11.26</t>
    <phoneticPr fontId="11" type="noConversion"/>
  </si>
  <si>
    <t>福煤大蚶山（莆田）风电有限公司</t>
    <phoneticPr fontId="11" type="noConversion"/>
  </si>
  <si>
    <t>达标款30%</t>
    <phoneticPr fontId="11" type="noConversion"/>
  </si>
  <si>
    <t>2014.12.08</t>
    <phoneticPr fontId="11" type="noConversion"/>
  </si>
  <si>
    <t>2014.12.09</t>
  </si>
  <si>
    <t>国电财务有限公司</t>
    <phoneticPr fontId="11" type="noConversion"/>
  </si>
  <si>
    <t>2014.12.10</t>
  </si>
  <si>
    <t>大唐桦南风力发电有限公司</t>
    <phoneticPr fontId="6" type="noConversion"/>
  </si>
  <si>
    <t>2014.12.11</t>
  </si>
  <si>
    <t>2014.12.11</t>
    <phoneticPr fontId="11" type="noConversion"/>
  </si>
  <si>
    <t>2014.12.12</t>
  </si>
  <si>
    <t>大唐集贤风力发电有限公司</t>
    <phoneticPr fontId="6" type="noConversion"/>
  </si>
  <si>
    <t>2014.12.12</t>
    <phoneticPr fontId="11" type="noConversion"/>
  </si>
  <si>
    <t>2014.12.15</t>
    <phoneticPr fontId="11" type="noConversion"/>
  </si>
  <si>
    <t>克东龙源风力发电有限公司</t>
    <phoneticPr fontId="6" type="noConversion"/>
  </si>
  <si>
    <t>克东龙源风力发电有限公司</t>
    <phoneticPr fontId="11" type="noConversion"/>
  </si>
  <si>
    <t>2014.12.15</t>
  </si>
  <si>
    <t>黑龙江东方风力发电有限公司</t>
    <phoneticPr fontId="6" type="noConversion"/>
  </si>
  <si>
    <t>2014.12.16</t>
  </si>
  <si>
    <t>通河龙源风力发电有限公司</t>
    <phoneticPr fontId="11" type="noConversion"/>
  </si>
  <si>
    <t>大庆龙源风力发电有限公司</t>
    <phoneticPr fontId="11" type="noConversion"/>
  </si>
  <si>
    <t>草原</t>
    <phoneticPr fontId="11" type="noConversion"/>
  </si>
  <si>
    <t>福能（漳州）风力发电有限责任公司</t>
    <phoneticPr fontId="11" type="noConversion"/>
  </si>
  <si>
    <t>伊春兴安岭风力发电有限公司</t>
    <phoneticPr fontId="6" type="noConversion"/>
  </si>
  <si>
    <t>2014.12.19</t>
    <phoneticPr fontId="11" type="noConversion"/>
  </si>
  <si>
    <t>抚远龙源风力发电有限公司</t>
    <phoneticPr fontId="6" type="noConversion"/>
  </si>
  <si>
    <t>三峡新能源调兵山风电有限公司</t>
    <phoneticPr fontId="6" type="noConversion"/>
  </si>
  <si>
    <t>2014.12.22</t>
    <phoneticPr fontId="11" type="noConversion"/>
  </si>
  <si>
    <t>中国华电电站装备工程集团南京输变电成套设备有限公司</t>
    <phoneticPr fontId="11" type="noConversion"/>
  </si>
  <si>
    <t>2014.12.23</t>
  </si>
  <si>
    <t>华电吉林大安风力发电有限公司</t>
    <phoneticPr fontId="6" type="noConversion"/>
  </si>
  <si>
    <t>2014.12.24</t>
  </si>
  <si>
    <t>华电铁岭风力发电有限公司</t>
    <phoneticPr fontId="6" type="noConversion"/>
  </si>
  <si>
    <t>2014.12.25</t>
  </si>
  <si>
    <t>2014.12.26</t>
  </si>
  <si>
    <t>中核国电漳州能源有限公司</t>
    <phoneticPr fontId="11" type="noConversion"/>
  </si>
  <si>
    <t>质保金10%+补充设备</t>
    <phoneticPr fontId="11" type="noConversion"/>
  </si>
  <si>
    <t>2014.12.29</t>
    <phoneticPr fontId="11" type="noConversion"/>
  </si>
  <si>
    <t>黑河龙源风力发电有限公司</t>
    <phoneticPr fontId="11" type="noConversion"/>
  </si>
  <si>
    <t>服务费75%</t>
    <phoneticPr fontId="11" type="noConversion"/>
  </si>
  <si>
    <t>2013年销售合同回款统计表</t>
    <phoneticPr fontId="6" type="noConversion"/>
  </si>
  <si>
    <t>日  期</t>
    <phoneticPr fontId="6" type="noConversion"/>
  </si>
  <si>
    <t>付款单位</t>
    <phoneticPr fontId="6" type="noConversion"/>
  </si>
  <si>
    <t>风电场名称</t>
    <phoneticPr fontId="6" type="noConversion"/>
  </si>
  <si>
    <t>合同号</t>
    <phoneticPr fontId="6" type="noConversion"/>
  </si>
  <si>
    <t>金  额</t>
    <phoneticPr fontId="6" type="noConversion"/>
  </si>
  <si>
    <t>备     注</t>
    <phoneticPr fontId="6" type="noConversion"/>
  </si>
  <si>
    <t>业务员</t>
    <phoneticPr fontId="21" type="noConversion"/>
  </si>
  <si>
    <t>2013.01.09</t>
    <phoneticPr fontId="21" type="noConversion"/>
  </si>
  <si>
    <t>吉林省隆盛源电力工程技术有限公司</t>
    <phoneticPr fontId="21" type="noConversion"/>
  </si>
  <si>
    <t>乾安腾字</t>
    <phoneticPr fontId="21" type="noConversion"/>
  </si>
  <si>
    <t>预付款30%，已开收据</t>
    <phoneticPr fontId="6" type="noConversion"/>
  </si>
  <si>
    <t>陈慧群</t>
    <phoneticPr fontId="21" type="noConversion"/>
  </si>
  <si>
    <t>2013.01.14</t>
    <phoneticPr fontId="21" type="noConversion"/>
  </si>
  <si>
    <t>大唐华安（齐齐哈尔）风力发电有限公司</t>
    <phoneticPr fontId="21" type="noConversion"/>
  </si>
  <si>
    <t>碾子山</t>
    <phoneticPr fontId="21" type="noConversion"/>
  </si>
  <si>
    <t>2013年服务费</t>
    <phoneticPr fontId="21" type="noConversion"/>
  </si>
  <si>
    <t>郭文明</t>
    <phoneticPr fontId="21" type="noConversion"/>
  </si>
  <si>
    <t>大唐集贤太平风力发电有限公司</t>
    <phoneticPr fontId="6" type="noConversion"/>
  </si>
  <si>
    <t>太平</t>
    <phoneticPr fontId="21" type="noConversion"/>
  </si>
  <si>
    <t>2013.01.24</t>
    <phoneticPr fontId="21" type="noConversion"/>
  </si>
  <si>
    <t>福能（漳州）风力发电有限责任公司</t>
    <phoneticPr fontId="21" type="noConversion"/>
  </si>
  <si>
    <t>龙海隆教</t>
    <phoneticPr fontId="21" type="noConversion"/>
  </si>
  <si>
    <t>60%合同款</t>
    <phoneticPr fontId="21" type="noConversion"/>
  </si>
  <si>
    <t>张  霞</t>
    <phoneticPr fontId="21" type="noConversion"/>
  </si>
  <si>
    <t>2012.08.17</t>
  </si>
  <si>
    <t>2013.02.05</t>
    <phoneticPr fontId="21" type="noConversion"/>
  </si>
  <si>
    <t>大庆绿源风力发电有限公司</t>
    <phoneticPr fontId="21" type="noConversion"/>
  </si>
  <si>
    <t>华能大庆</t>
    <phoneticPr fontId="21" type="noConversion"/>
  </si>
  <si>
    <t>100%合同款</t>
    <phoneticPr fontId="21" type="noConversion"/>
  </si>
  <si>
    <t>国电物资山东配送有限公司</t>
    <phoneticPr fontId="6" type="noConversion"/>
  </si>
  <si>
    <t>潍坊滨海</t>
    <phoneticPr fontId="21" type="noConversion"/>
  </si>
  <si>
    <t>部分合同款</t>
    <phoneticPr fontId="21" type="noConversion"/>
  </si>
  <si>
    <t>王  维</t>
    <phoneticPr fontId="21" type="noConversion"/>
  </si>
  <si>
    <t>大唐依兰风力发电有限公司</t>
    <phoneticPr fontId="21" type="noConversion"/>
  </si>
  <si>
    <t>晨光</t>
    <phoneticPr fontId="21" type="noConversion"/>
  </si>
  <si>
    <t>30%合同款</t>
    <phoneticPr fontId="21" type="noConversion"/>
  </si>
  <si>
    <t>大唐桦川风力发电有限公司</t>
    <phoneticPr fontId="6" type="noConversion"/>
  </si>
  <si>
    <t>苏家店</t>
    <phoneticPr fontId="21" type="noConversion"/>
  </si>
  <si>
    <t>北架山</t>
    <phoneticPr fontId="21" type="noConversion"/>
  </si>
  <si>
    <t>太阳山</t>
    <phoneticPr fontId="21" type="noConversion"/>
  </si>
  <si>
    <t>2012年下半年服务费</t>
    <phoneticPr fontId="21" type="noConversion"/>
  </si>
  <si>
    <t>富强</t>
    <phoneticPr fontId="21" type="noConversion"/>
  </si>
  <si>
    <t>2012年下半年服务费</t>
  </si>
  <si>
    <t>中广核安丘风力发电有限公司</t>
    <phoneticPr fontId="21" type="noConversion"/>
  </si>
  <si>
    <t>安丘摘月山</t>
    <phoneticPr fontId="21" type="noConversion"/>
  </si>
  <si>
    <t>镇西堡及李家屯</t>
    <phoneticPr fontId="21" type="noConversion"/>
  </si>
  <si>
    <t>50%服务费</t>
    <phoneticPr fontId="21" type="noConversion"/>
  </si>
  <si>
    <t>韩志宇</t>
    <phoneticPr fontId="21" type="noConversion"/>
  </si>
  <si>
    <t>铁岭</t>
    <phoneticPr fontId="21" type="noConversion"/>
  </si>
  <si>
    <t>2013.02.06</t>
    <phoneticPr fontId="21" type="noConversion"/>
  </si>
  <si>
    <t>华电吉林双辽风力发电有限公司</t>
    <phoneticPr fontId="6" type="noConversion"/>
  </si>
  <si>
    <t>那木斯</t>
    <phoneticPr fontId="21" type="noConversion"/>
  </si>
  <si>
    <t>1年服务费</t>
    <phoneticPr fontId="21" type="noConversion"/>
  </si>
  <si>
    <t>风水山</t>
    <phoneticPr fontId="21" type="noConversion"/>
  </si>
  <si>
    <t>华电虎林风力发电有限公司</t>
    <phoneticPr fontId="6" type="noConversion"/>
  </si>
  <si>
    <t>石青山</t>
    <phoneticPr fontId="21" type="noConversion"/>
  </si>
  <si>
    <t>天山达板城</t>
    <phoneticPr fontId="21" type="noConversion"/>
  </si>
  <si>
    <t>部分合同款汇票一张</t>
    <phoneticPr fontId="21" type="noConversion"/>
  </si>
  <si>
    <t>王龙波</t>
    <phoneticPr fontId="21" type="noConversion"/>
  </si>
  <si>
    <t>2013.02.08</t>
    <phoneticPr fontId="21" type="noConversion"/>
  </si>
  <si>
    <t>中广核大北山（瓦房店）风力发电有限公司</t>
    <phoneticPr fontId="21" type="noConversion"/>
  </si>
  <si>
    <t>泡崖大北山</t>
    <phoneticPr fontId="21" type="noConversion"/>
  </si>
  <si>
    <t>2013.03.05</t>
    <phoneticPr fontId="21" type="noConversion"/>
  </si>
  <si>
    <t>20%设备款</t>
    <phoneticPr fontId="21" type="noConversion"/>
  </si>
  <si>
    <t>2013.03.15</t>
    <phoneticPr fontId="21" type="noConversion"/>
  </si>
  <si>
    <t>黑龙江北方风力发电有限公司</t>
    <phoneticPr fontId="21" type="noConversion"/>
  </si>
  <si>
    <t>兴凯湖</t>
    <phoneticPr fontId="21" type="noConversion"/>
  </si>
  <si>
    <t>20%验收款</t>
    <phoneticPr fontId="21" type="noConversion"/>
  </si>
  <si>
    <t>2013.03.29</t>
    <phoneticPr fontId="21" type="noConversion"/>
  </si>
  <si>
    <t>双鸭山锅盔山风力发电有限公司</t>
    <phoneticPr fontId="21" type="noConversion"/>
  </si>
  <si>
    <t>锅盔山</t>
    <phoneticPr fontId="21" type="noConversion"/>
  </si>
  <si>
    <t>60%验收款</t>
    <phoneticPr fontId="21" type="noConversion"/>
  </si>
  <si>
    <t>2013.04.01</t>
    <phoneticPr fontId="21" type="noConversion"/>
  </si>
  <si>
    <t>海林中电海浪风力发电有限公司</t>
    <phoneticPr fontId="21" type="noConversion"/>
  </si>
  <si>
    <t>海浪</t>
    <phoneticPr fontId="21" type="noConversion"/>
  </si>
  <si>
    <t>10%预付款</t>
    <phoneticPr fontId="21" type="noConversion"/>
  </si>
  <si>
    <t>2013.04.16</t>
    <phoneticPr fontId="21" type="noConversion"/>
  </si>
  <si>
    <t>伊春兴安岭风力发电有限公司</t>
    <phoneticPr fontId="21" type="noConversion"/>
  </si>
  <si>
    <t>大箐山/石帽顶子/耳朵眼</t>
    <phoneticPr fontId="21" type="noConversion"/>
  </si>
  <si>
    <t>2013.04.17</t>
  </si>
  <si>
    <t>克山龙源风力发电有限公司</t>
    <phoneticPr fontId="21" type="noConversion"/>
  </si>
  <si>
    <t>曙光</t>
    <phoneticPr fontId="21" type="noConversion"/>
  </si>
  <si>
    <t>2013.04.17</t>
    <phoneticPr fontId="21" type="noConversion"/>
  </si>
  <si>
    <t>桦南龙源风力发电有限公司</t>
    <phoneticPr fontId="21" type="noConversion"/>
  </si>
  <si>
    <t>横岱山</t>
    <phoneticPr fontId="21" type="noConversion"/>
  </si>
  <si>
    <t>中核国电漳州能源有限公司</t>
    <phoneticPr fontId="21" type="noConversion"/>
  </si>
  <si>
    <t>50%设备款</t>
    <phoneticPr fontId="21" type="noConversion"/>
  </si>
  <si>
    <t>2013.04.19</t>
    <phoneticPr fontId="21" type="noConversion"/>
  </si>
  <si>
    <t xml:space="preserve">大唐绥滨新能源有限公司 </t>
    <phoneticPr fontId="21" type="noConversion"/>
  </si>
  <si>
    <t>绥滨吉成</t>
    <phoneticPr fontId="21" type="noConversion"/>
  </si>
  <si>
    <t>2013.04.22</t>
    <phoneticPr fontId="21" type="noConversion"/>
  </si>
  <si>
    <t>海林龙源风力发电有限公司</t>
    <phoneticPr fontId="21" type="noConversion"/>
  </si>
  <si>
    <t>小锅盔</t>
    <phoneticPr fontId="21" type="noConversion"/>
  </si>
  <si>
    <t>2013.04.23</t>
  </si>
  <si>
    <t>抚远龙源风力发电有限公司</t>
    <phoneticPr fontId="21" type="noConversion"/>
  </si>
  <si>
    <t>大蜂山</t>
    <phoneticPr fontId="21" type="noConversion"/>
  </si>
  <si>
    <t>2013.04.25</t>
    <phoneticPr fontId="21" type="noConversion"/>
  </si>
  <si>
    <t>伊春龙源风力发电有限公司</t>
    <phoneticPr fontId="21" type="noConversion"/>
  </si>
  <si>
    <t>小城山</t>
    <phoneticPr fontId="21" type="noConversion"/>
  </si>
  <si>
    <t>双鸭山龙源风力发电有限公司</t>
    <phoneticPr fontId="21" type="noConversion"/>
  </si>
  <si>
    <t>蝙蝠山</t>
    <phoneticPr fontId="21" type="noConversion"/>
  </si>
  <si>
    <t>2013.04.28</t>
    <phoneticPr fontId="21" type="noConversion"/>
  </si>
  <si>
    <t>华能沂水风力发电有限公司</t>
    <phoneticPr fontId="21" type="noConversion"/>
  </si>
  <si>
    <t>沂水马站</t>
    <phoneticPr fontId="21" type="noConversion"/>
  </si>
  <si>
    <t>40%合同款</t>
    <phoneticPr fontId="21" type="noConversion"/>
  </si>
  <si>
    <t>2013.05.07</t>
    <phoneticPr fontId="21" type="noConversion"/>
  </si>
  <si>
    <t>广东明阳风电产业集团有限公司</t>
    <phoneticPr fontId="6" type="noConversion"/>
  </si>
  <si>
    <t>华能后湾兔</t>
    <phoneticPr fontId="21" type="noConversion"/>
  </si>
  <si>
    <t>95%合同款</t>
    <phoneticPr fontId="21" type="noConversion"/>
  </si>
  <si>
    <t>2013.05.24</t>
    <phoneticPr fontId="21" type="noConversion"/>
  </si>
  <si>
    <t>桦南龙源雄亚风力发电有限公司</t>
    <phoneticPr fontId="21" type="noConversion"/>
  </si>
  <si>
    <t>驿马山</t>
    <phoneticPr fontId="21" type="noConversion"/>
  </si>
  <si>
    <t>伊春龙源雄亚风力发电有限公司</t>
    <phoneticPr fontId="21" type="noConversion"/>
  </si>
  <si>
    <t>白山</t>
    <phoneticPr fontId="21" type="noConversion"/>
  </si>
  <si>
    <t>香港风力发电（穆棱）有限公司</t>
    <phoneticPr fontId="21" type="noConversion"/>
  </si>
  <si>
    <t>代马沟</t>
    <phoneticPr fontId="21" type="noConversion"/>
  </si>
  <si>
    <t>0.25年服务费</t>
    <phoneticPr fontId="21" type="noConversion"/>
  </si>
  <si>
    <t>2013.05.28</t>
    <phoneticPr fontId="21" type="noConversion"/>
  </si>
  <si>
    <t>亚洲风力发电（牡丹江）有限公司</t>
    <phoneticPr fontId="21" type="noConversion"/>
  </si>
  <si>
    <t>2013.06.14</t>
    <phoneticPr fontId="21" type="noConversion"/>
  </si>
  <si>
    <t>2013.06.20</t>
    <phoneticPr fontId="21" type="noConversion"/>
  </si>
  <si>
    <t>三峡新能源开原风电有限公司</t>
    <phoneticPr fontId="6" type="noConversion"/>
  </si>
  <si>
    <t>开原威远</t>
    <phoneticPr fontId="21" type="noConversion"/>
  </si>
  <si>
    <t>2013.06.21</t>
  </si>
  <si>
    <t>国华（乾安）风电有限公司</t>
    <phoneticPr fontId="21" type="noConversion"/>
  </si>
  <si>
    <t>2013.06.25</t>
    <phoneticPr fontId="21" type="noConversion"/>
  </si>
  <si>
    <t>华能铁岭风力发电有限公司</t>
    <phoneticPr fontId="6" type="noConversion"/>
  </si>
  <si>
    <t>平顶堡</t>
    <phoneticPr fontId="6" type="noConversion"/>
  </si>
  <si>
    <t>90%合同款</t>
    <phoneticPr fontId="21" type="noConversion"/>
  </si>
  <si>
    <t>2013.06.27</t>
    <phoneticPr fontId="21" type="noConversion"/>
  </si>
  <si>
    <t>锦州和兴风力发电有限公司</t>
    <phoneticPr fontId="21" type="noConversion"/>
  </si>
  <si>
    <t>黑山龙湾</t>
    <phoneticPr fontId="21" type="noConversion"/>
  </si>
  <si>
    <t>2013.07.02</t>
    <phoneticPr fontId="21" type="noConversion"/>
  </si>
  <si>
    <t>中国华电集团物资有限公司</t>
    <phoneticPr fontId="21" type="noConversion"/>
  </si>
  <si>
    <t>新疆淖毛湖</t>
    <phoneticPr fontId="21" type="noConversion"/>
  </si>
  <si>
    <t>2013.07.03</t>
    <phoneticPr fontId="21" type="noConversion"/>
  </si>
  <si>
    <t xml:space="preserve">大唐绥滨新能源有限公司 </t>
    <phoneticPr fontId="6" type="noConversion"/>
  </si>
  <si>
    <t>绥滨吉成</t>
    <phoneticPr fontId="6" type="noConversion"/>
  </si>
  <si>
    <t>2013.07.15</t>
    <phoneticPr fontId="21" type="noConversion"/>
  </si>
  <si>
    <t>质保金10%</t>
    <phoneticPr fontId="21" type="noConversion"/>
  </si>
  <si>
    <t>2013.07.16</t>
  </si>
  <si>
    <t>镇西堡、李家屯、心田堡</t>
    <phoneticPr fontId="21" type="noConversion"/>
  </si>
  <si>
    <t>2013.07.26</t>
    <phoneticPr fontId="21" type="noConversion"/>
  </si>
  <si>
    <t>平顶堡</t>
    <phoneticPr fontId="21" type="noConversion"/>
  </si>
  <si>
    <t>新誉集团有限公司</t>
    <phoneticPr fontId="21" type="noConversion"/>
  </si>
  <si>
    <t>到保</t>
    <phoneticPr fontId="21" type="noConversion"/>
  </si>
  <si>
    <t>2013.07.26</t>
  </si>
  <si>
    <t>中航龙腾风力发电有限公司</t>
    <phoneticPr fontId="21" type="noConversion"/>
  </si>
  <si>
    <t>龙腾</t>
    <phoneticPr fontId="21" type="noConversion"/>
  </si>
  <si>
    <t>2013.08.06</t>
    <phoneticPr fontId="21" type="noConversion"/>
  </si>
  <si>
    <t>上半年服务费</t>
    <phoneticPr fontId="21" type="noConversion"/>
  </si>
  <si>
    <t>2013.08.12</t>
    <phoneticPr fontId="21" type="noConversion"/>
  </si>
  <si>
    <t>半年服务费</t>
    <phoneticPr fontId="21" type="noConversion"/>
  </si>
  <si>
    <t>2013.08.19</t>
    <phoneticPr fontId="21" type="noConversion"/>
  </si>
  <si>
    <t>合同款30%</t>
    <phoneticPr fontId="21" type="noConversion"/>
  </si>
  <si>
    <t>2013.08.23</t>
    <phoneticPr fontId="21" type="noConversion"/>
  </si>
  <si>
    <t>合同款100%</t>
    <phoneticPr fontId="21" type="noConversion"/>
  </si>
  <si>
    <t>2013.08.28</t>
    <phoneticPr fontId="21" type="noConversion"/>
  </si>
  <si>
    <t>2013.09.04</t>
    <phoneticPr fontId="21" type="noConversion"/>
  </si>
  <si>
    <t>潍坊滨海</t>
    <phoneticPr fontId="6" type="noConversion"/>
  </si>
  <si>
    <t>合同款</t>
    <phoneticPr fontId="21" type="noConversion"/>
  </si>
  <si>
    <t>2013.09.05</t>
  </si>
  <si>
    <t>2013.09.10</t>
    <phoneticPr fontId="21" type="noConversion"/>
  </si>
  <si>
    <t>2013.09.12</t>
    <phoneticPr fontId="21" type="noConversion"/>
  </si>
  <si>
    <t>福煤大蚶山（莆田）风电有限公司</t>
    <phoneticPr fontId="6" type="noConversion"/>
  </si>
  <si>
    <t>大蚶山</t>
    <phoneticPr fontId="21" type="noConversion"/>
  </si>
  <si>
    <t>合同款60%</t>
    <phoneticPr fontId="21" type="noConversion"/>
  </si>
  <si>
    <t>2013.09.18</t>
    <phoneticPr fontId="21" type="noConversion"/>
  </si>
  <si>
    <t>中广核盖州风力发电有限公司</t>
    <phoneticPr fontId="6" type="noConversion"/>
  </si>
  <si>
    <t>沙岗子</t>
    <phoneticPr fontId="21" type="noConversion"/>
  </si>
  <si>
    <t>2013.09.23</t>
    <phoneticPr fontId="21" type="noConversion"/>
  </si>
  <si>
    <t>华电虎林风力发电有限公司</t>
    <phoneticPr fontId="21" type="noConversion"/>
  </si>
  <si>
    <t>2013.10.17</t>
    <phoneticPr fontId="21" type="noConversion"/>
  </si>
  <si>
    <t>2013.10.24</t>
    <phoneticPr fontId="21" type="noConversion"/>
  </si>
  <si>
    <t>乌尔古力</t>
    <phoneticPr fontId="21" type="noConversion"/>
  </si>
  <si>
    <t>2013.10.29</t>
    <phoneticPr fontId="21" type="noConversion"/>
  </si>
  <si>
    <t>补充合同款</t>
    <phoneticPr fontId="21" type="noConversion"/>
  </si>
  <si>
    <t>2013.11.01</t>
    <phoneticPr fontId="6" type="noConversion"/>
  </si>
  <si>
    <t>大庆龙江风电有限责任公司</t>
    <phoneticPr fontId="21" type="noConversion"/>
  </si>
  <si>
    <t>大庆瑞好</t>
    <phoneticPr fontId="21" type="noConversion"/>
  </si>
  <si>
    <t>2013.11.04</t>
    <phoneticPr fontId="6" type="noConversion"/>
  </si>
  <si>
    <t>质保金5%</t>
    <phoneticPr fontId="6" type="noConversion"/>
  </si>
  <si>
    <t>2013.11.11</t>
    <phoneticPr fontId="6" type="noConversion"/>
  </si>
  <si>
    <t>锦州文特客硅材料有限公司</t>
    <phoneticPr fontId="6" type="noConversion"/>
  </si>
  <si>
    <t>2013.11.14</t>
  </si>
  <si>
    <t>调兵山</t>
    <phoneticPr fontId="21" type="noConversion"/>
  </si>
  <si>
    <t>七台河宏浩风力发电有限公司</t>
    <phoneticPr fontId="21" type="noConversion"/>
  </si>
  <si>
    <t>七里嘎山</t>
    <phoneticPr fontId="21" type="noConversion"/>
  </si>
  <si>
    <t>2013.11.29</t>
  </si>
  <si>
    <t>2013.12.17</t>
  </si>
  <si>
    <t>2013.12.19</t>
  </si>
  <si>
    <t>华电汤原风力发电有限公司</t>
    <phoneticPr fontId="21" type="noConversion"/>
  </si>
  <si>
    <t>汤原渠首</t>
    <phoneticPr fontId="21" type="noConversion"/>
  </si>
  <si>
    <t>尚义</t>
    <phoneticPr fontId="21" type="noConversion"/>
  </si>
  <si>
    <t>爱华</t>
    <phoneticPr fontId="21" type="noConversion"/>
  </si>
  <si>
    <t>草原</t>
    <phoneticPr fontId="21" type="noConversion"/>
  </si>
  <si>
    <t>大黑山</t>
    <phoneticPr fontId="21" type="noConversion"/>
  </si>
  <si>
    <t>查干浩特</t>
    <phoneticPr fontId="21" type="noConversion"/>
  </si>
  <si>
    <t>北架山</t>
    <phoneticPr fontId="6" type="noConversion"/>
  </si>
  <si>
    <t>太阳山</t>
    <phoneticPr fontId="6" type="noConversion"/>
  </si>
  <si>
    <t>苏家店</t>
    <phoneticPr fontId="6" type="noConversion"/>
  </si>
  <si>
    <t>制表：黄向楠</t>
    <phoneticPr fontId="6" type="noConversion"/>
  </si>
  <si>
    <t>合同款50%</t>
    <phoneticPr fontId="21" type="noConversion"/>
  </si>
  <si>
    <t>韩志宇</t>
    <phoneticPr fontId="21" type="noConversion"/>
  </si>
  <si>
    <t>2013.11.13</t>
    <phoneticPr fontId="6" type="noConversion"/>
  </si>
  <si>
    <t>中核国电漳州能源有限公司</t>
    <phoneticPr fontId="6" type="noConversion"/>
  </si>
  <si>
    <t>云霄青径</t>
    <phoneticPr fontId="6" type="noConversion"/>
  </si>
  <si>
    <t>设备款20%</t>
    <phoneticPr fontId="21" type="noConversion"/>
  </si>
  <si>
    <t>张  霞</t>
    <phoneticPr fontId="21" type="noConversion"/>
  </si>
  <si>
    <t>三峡新能源调兵山风电有限公司</t>
    <phoneticPr fontId="6" type="noConversion"/>
  </si>
  <si>
    <t>调兵山</t>
    <phoneticPr fontId="21" type="noConversion"/>
  </si>
  <si>
    <t>年服务费</t>
    <phoneticPr fontId="6" type="noConversion"/>
  </si>
  <si>
    <t>2013.11.22</t>
    <phoneticPr fontId="6" type="noConversion"/>
  </si>
  <si>
    <t>北京龙子科技有限公司</t>
    <phoneticPr fontId="6" type="noConversion"/>
  </si>
  <si>
    <t>银川瑞明太阳能</t>
    <phoneticPr fontId="21" type="noConversion"/>
  </si>
  <si>
    <t>部分合同款</t>
    <phoneticPr fontId="21" type="noConversion"/>
  </si>
  <si>
    <t>2013.11.28</t>
    <phoneticPr fontId="6" type="noConversion"/>
  </si>
  <si>
    <t>七台河宏浩风力发电有限公司</t>
    <phoneticPr fontId="21" type="noConversion"/>
  </si>
  <si>
    <t>七里嘎山</t>
    <phoneticPr fontId="21" type="noConversion"/>
  </si>
  <si>
    <t>40%合同款</t>
    <phoneticPr fontId="21" type="noConversion"/>
  </si>
  <si>
    <t>伊春太阳风新能源有限公司</t>
    <phoneticPr fontId="21" type="noConversion"/>
  </si>
  <si>
    <t>伊春美林</t>
    <phoneticPr fontId="21" type="noConversion"/>
  </si>
  <si>
    <t>90%合同款</t>
    <phoneticPr fontId="6" type="noConversion"/>
  </si>
  <si>
    <t>2013.12.14</t>
    <phoneticPr fontId="6" type="noConversion"/>
  </si>
  <si>
    <t>补充合同款</t>
    <phoneticPr fontId="21" type="noConversion"/>
  </si>
  <si>
    <t>2013.12.17</t>
    <phoneticPr fontId="6" type="noConversion"/>
  </si>
  <si>
    <t>海林中电海浪风力发电有限公司</t>
    <phoneticPr fontId="21" type="noConversion"/>
  </si>
  <si>
    <t>海浪</t>
    <phoneticPr fontId="6" type="noConversion"/>
  </si>
  <si>
    <t>20%合同款</t>
    <phoneticPr fontId="6" type="noConversion"/>
  </si>
  <si>
    <t>调兵山一期</t>
    <phoneticPr fontId="21" type="noConversion"/>
  </si>
  <si>
    <t>50%合同款</t>
    <phoneticPr fontId="6" type="noConversion"/>
  </si>
  <si>
    <t>调兵山二期</t>
    <phoneticPr fontId="21" type="noConversion"/>
  </si>
  <si>
    <t>南京国电南自新能源工程技术有限公司</t>
    <phoneticPr fontId="6" type="noConversion"/>
  </si>
  <si>
    <t>泰来</t>
    <phoneticPr fontId="21" type="noConversion"/>
  </si>
  <si>
    <t>2013.12.18</t>
    <phoneticPr fontId="6" type="noConversion"/>
  </si>
  <si>
    <t>那木斯</t>
    <phoneticPr fontId="21" type="noConversion"/>
  </si>
  <si>
    <t>合同款100%</t>
    <phoneticPr fontId="21" type="noConversion"/>
  </si>
  <si>
    <t>陈慧群</t>
    <phoneticPr fontId="21" type="noConversion"/>
  </si>
  <si>
    <t>华电吉林大安风力发电有限公司</t>
    <phoneticPr fontId="6" type="noConversion"/>
  </si>
  <si>
    <t>风水山</t>
    <phoneticPr fontId="21" type="noConversion"/>
  </si>
  <si>
    <t>亚洲风力发电（牡丹江）有限公司</t>
    <phoneticPr fontId="6" type="noConversion"/>
  </si>
  <si>
    <t>代马沟</t>
    <phoneticPr fontId="21" type="noConversion"/>
  </si>
  <si>
    <t>25%服务费</t>
    <phoneticPr fontId="6" type="noConversion"/>
  </si>
  <si>
    <t>2013.12.20</t>
    <phoneticPr fontId="6" type="noConversion"/>
  </si>
  <si>
    <t>香港风力发电（穆棱）有限公司</t>
    <phoneticPr fontId="6" type="noConversion"/>
  </si>
  <si>
    <t>铁岭心田堡（铁岭三期）</t>
    <phoneticPr fontId="21" type="noConversion"/>
  </si>
  <si>
    <t>2013.12.23</t>
    <phoneticPr fontId="6" type="noConversion"/>
  </si>
  <si>
    <t>国电物资山东配送有限公司</t>
    <phoneticPr fontId="6" type="noConversion"/>
  </si>
  <si>
    <t>招远夏甸</t>
    <phoneticPr fontId="21" type="noConversion"/>
  </si>
  <si>
    <t>王  维</t>
    <phoneticPr fontId="6" type="noConversion"/>
  </si>
  <si>
    <t>华电汤原风力发电有限公司</t>
    <phoneticPr fontId="21" type="noConversion"/>
  </si>
  <si>
    <t>汤原渠首</t>
    <phoneticPr fontId="21" type="noConversion"/>
  </si>
  <si>
    <t>尚义</t>
    <phoneticPr fontId="21" type="noConversion"/>
  </si>
  <si>
    <t>30%合同款</t>
    <phoneticPr fontId="6" type="noConversion"/>
  </si>
  <si>
    <t>安丘摘月山</t>
    <phoneticPr fontId="21" type="noConversion"/>
  </si>
  <si>
    <t>2013.12.26</t>
    <phoneticPr fontId="6" type="noConversion"/>
  </si>
  <si>
    <t>克东龙源风力发电有限公司</t>
    <phoneticPr fontId="21" type="noConversion"/>
  </si>
  <si>
    <t>爱华</t>
    <phoneticPr fontId="21" type="noConversion"/>
  </si>
  <si>
    <t>1年服务费</t>
    <phoneticPr fontId="21" type="noConversion"/>
  </si>
  <si>
    <t>通河龙源风力发电有限公司</t>
    <phoneticPr fontId="21" type="noConversion"/>
  </si>
  <si>
    <t>岔林河</t>
    <phoneticPr fontId="21" type="noConversion"/>
  </si>
  <si>
    <t>初装费</t>
    <phoneticPr fontId="21" type="noConversion"/>
  </si>
  <si>
    <t>大庆龙源风力发电有限公司</t>
    <phoneticPr fontId="21" type="noConversion"/>
  </si>
  <si>
    <t>草原</t>
    <phoneticPr fontId="21" type="noConversion"/>
  </si>
  <si>
    <t>大黑山</t>
    <phoneticPr fontId="21" type="noConversion"/>
  </si>
  <si>
    <t>鹤岗龙源风力发电有限公司</t>
    <phoneticPr fontId="21" type="noConversion"/>
  </si>
  <si>
    <t>望云峰</t>
    <phoneticPr fontId="21" type="noConversion"/>
  </si>
  <si>
    <t>三峡新能源白城风电发展有限公司</t>
    <phoneticPr fontId="21" type="noConversion"/>
  </si>
  <si>
    <t>查干浩特</t>
    <phoneticPr fontId="21" type="noConversion"/>
  </si>
  <si>
    <t>调兵山监控</t>
    <phoneticPr fontId="21" type="noConversion"/>
  </si>
  <si>
    <t>质保金10%</t>
    <phoneticPr fontId="21" type="noConversion"/>
  </si>
  <si>
    <t>衡水双利风电设备制造有限公司</t>
    <phoneticPr fontId="21" type="noConversion"/>
  </si>
  <si>
    <t>烟墩</t>
    <phoneticPr fontId="21" type="noConversion"/>
  </si>
  <si>
    <t>预付款10%</t>
    <phoneticPr fontId="21" type="noConversion"/>
  </si>
  <si>
    <t>王龙波</t>
    <phoneticPr fontId="21" type="noConversion"/>
  </si>
  <si>
    <t>富强</t>
    <phoneticPr fontId="6" type="noConversion"/>
  </si>
  <si>
    <t>半年服务费</t>
    <phoneticPr fontId="21" type="noConversion"/>
  </si>
  <si>
    <t>郭文明</t>
    <phoneticPr fontId="21" type="noConversion"/>
  </si>
  <si>
    <t>北架山</t>
    <phoneticPr fontId="6" type="noConversion"/>
  </si>
  <si>
    <t>晨光</t>
    <phoneticPr fontId="6" type="noConversion"/>
  </si>
  <si>
    <t>大唐集贤风力发电有限公司</t>
    <phoneticPr fontId="6" type="noConversion"/>
  </si>
  <si>
    <t>太阳山</t>
    <phoneticPr fontId="6" type="noConversion"/>
  </si>
  <si>
    <t>大唐桦川风力发电有限公司</t>
    <phoneticPr fontId="6" type="noConversion"/>
  </si>
  <si>
    <t>苏家店</t>
    <phoneticPr fontId="6" type="noConversion"/>
  </si>
  <si>
    <t>国电南京自动化股份有限公司</t>
    <phoneticPr fontId="6" type="noConversion"/>
  </si>
  <si>
    <t>力诺哈密</t>
    <phoneticPr fontId="21" type="noConversion"/>
  </si>
  <si>
    <t>部分合同款（汇票）</t>
    <phoneticPr fontId="21" type="noConversion"/>
  </si>
  <si>
    <t>带岭东山</t>
    <phoneticPr fontId="6" type="noConversion"/>
  </si>
  <si>
    <t>马鞍山</t>
    <phoneticPr fontId="6" type="noConversion"/>
  </si>
  <si>
    <t>2013.12.31</t>
    <phoneticPr fontId="21" type="noConversion"/>
  </si>
  <si>
    <t>建模服务费</t>
    <phoneticPr fontId="21" type="noConversion"/>
  </si>
  <si>
    <t>2013年合计</t>
    <phoneticPr fontId="6" type="noConversion"/>
  </si>
  <si>
    <t>制表：黄向楠</t>
    <phoneticPr fontId="6" type="noConversion"/>
  </si>
  <si>
    <t>2012年销售合同回款统计表</t>
    <phoneticPr fontId="6" type="noConversion"/>
  </si>
  <si>
    <t>2012.01.10</t>
  </si>
  <si>
    <t>全款，已开发票</t>
    <phoneticPr fontId="6" type="noConversion"/>
  </si>
  <si>
    <t>富  强</t>
    <phoneticPr fontId="6" type="noConversion"/>
  </si>
  <si>
    <t>半年服务费，已开发票</t>
    <phoneticPr fontId="6" type="noConversion"/>
  </si>
  <si>
    <t xml:space="preserve">大唐依兰风力发电有限公司 </t>
    <phoneticPr fontId="6" type="noConversion"/>
  </si>
  <si>
    <t>晨  光</t>
    <phoneticPr fontId="6" type="noConversion"/>
  </si>
  <si>
    <t xml:space="preserve">大唐集贤风力发电有限公司 </t>
  </si>
  <si>
    <t xml:space="preserve">大唐桦川风力发电有限公司 </t>
    <phoneticPr fontId="6" type="noConversion"/>
  </si>
  <si>
    <t>2012.01.19</t>
    <phoneticPr fontId="6" type="noConversion"/>
  </si>
  <si>
    <t>合同总额20万，已开全款发票</t>
    <phoneticPr fontId="6" type="noConversion"/>
  </si>
  <si>
    <t>2012.01.30</t>
    <phoneticPr fontId="6" type="noConversion"/>
  </si>
  <si>
    <t xml:space="preserve">香港风力发电（穆棱）有限公司 </t>
    <phoneticPr fontId="6" type="noConversion"/>
  </si>
  <si>
    <t>代马沟</t>
    <phoneticPr fontId="6" type="noConversion"/>
  </si>
  <si>
    <t>50%初装费，已开发票</t>
    <phoneticPr fontId="6" type="noConversion"/>
  </si>
  <si>
    <t>亚洲风力发电(牡丹江)有限公司</t>
    <phoneticPr fontId="6" type="noConversion"/>
  </si>
  <si>
    <t>2012.02.27</t>
    <phoneticPr fontId="6" type="noConversion"/>
  </si>
  <si>
    <t>预收40%</t>
    <phoneticPr fontId="6" type="noConversion"/>
  </si>
  <si>
    <t>2012.02.28</t>
  </si>
  <si>
    <t>预收10%</t>
    <phoneticPr fontId="6" type="noConversion"/>
  </si>
  <si>
    <t>2012.03.21</t>
    <phoneticPr fontId="6" type="noConversion"/>
  </si>
  <si>
    <t>预收30%</t>
    <phoneticPr fontId="6" type="noConversion"/>
  </si>
  <si>
    <t>2012.04.12</t>
    <phoneticPr fontId="6" type="noConversion"/>
  </si>
  <si>
    <t>一年服务费，已开发票</t>
    <phoneticPr fontId="6" type="noConversion"/>
  </si>
  <si>
    <t>桦南龙源雄亚风力发电有限公司</t>
    <phoneticPr fontId="6" type="noConversion"/>
  </si>
  <si>
    <t>驿马山</t>
    <phoneticPr fontId="6" type="noConversion"/>
  </si>
  <si>
    <t>2012.04.12</t>
  </si>
  <si>
    <t>鹤岗龙源风力发电有限公司</t>
    <phoneticPr fontId="6" type="noConversion"/>
  </si>
  <si>
    <t>望云峰</t>
    <phoneticPr fontId="6" type="noConversion"/>
  </si>
  <si>
    <t>桦南龙源风力发电有限公司</t>
    <phoneticPr fontId="6" type="noConversion"/>
  </si>
  <si>
    <t>2012.04.13</t>
    <phoneticPr fontId="6" type="noConversion"/>
  </si>
  <si>
    <t>伊春龙源雄亚风力发电有限公司</t>
    <phoneticPr fontId="6" type="noConversion"/>
  </si>
  <si>
    <t>白  山</t>
    <phoneticPr fontId="6" type="noConversion"/>
  </si>
  <si>
    <t>2012.04.19</t>
    <phoneticPr fontId="6" type="noConversion"/>
  </si>
  <si>
    <t>大青背</t>
    <phoneticPr fontId="6" type="noConversion"/>
  </si>
  <si>
    <t>2012.04.23</t>
    <phoneticPr fontId="6" type="noConversion"/>
  </si>
  <si>
    <t>2012.04.26</t>
    <phoneticPr fontId="6" type="noConversion"/>
  </si>
  <si>
    <t>曙  光</t>
    <phoneticPr fontId="6" type="noConversion"/>
  </si>
  <si>
    <t>70%，已开全款发票</t>
    <phoneticPr fontId="6" type="noConversion"/>
  </si>
  <si>
    <t>2012.05.03</t>
    <phoneticPr fontId="6" type="noConversion"/>
  </si>
  <si>
    <t>20%，已开全款发票</t>
    <phoneticPr fontId="6" type="noConversion"/>
  </si>
  <si>
    <t>2012.05.03</t>
  </si>
  <si>
    <t>2012.05.04</t>
  </si>
  <si>
    <t>2012.05.04</t>
    <phoneticPr fontId="6" type="noConversion"/>
  </si>
  <si>
    <t>2012.05.14</t>
    <phoneticPr fontId="6" type="noConversion"/>
  </si>
  <si>
    <t>柳  毛</t>
    <phoneticPr fontId="6" type="noConversion"/>
  </si>
  <si>
    <t>50%服务费，已开发票</t>
    <phoneticPr fontId="6" type="noConversion"/>
  </si>
  <si>
    <t>蜂蜜山</t>
    <phoneticPr fontId="6" type="noConversion"/>
  </si>
  <si>
    <t>石青山</t>
    <phoneticPr fontId="6" type="noConversion"/>
  </si>
  <si>
    <t>已开全款发票</t>
    <phoneticPr fontId="6" type="noConversion"/>
  </si>
  <si>
    <t>2012.05.18</t>
    <phoneticPr fontId="6" type="noConversion"/>
  </si>
  <si>
    <t>已开发票</t>
    <phoneticPr fontId="6" type="noConversion"/>
  </si>
  <si>
    <t>2012.05.22</t>
    <phoneticPr fontId="6" type="noConversion"/>
  </si>
  <si>
    <t>三峡新能源尚义风电有限公司</t>
    <phoneticPr fontId="6" type="noConversion"/>
  </si>
  <si>
    <t>尚  义</t>
    <phoneticPr fontId="6" type="noConversion"/>
  </si>
  <si>
    <t>10%，已开收据</t>
    <phoneticPr fontId="21" type="noConversion"/>
  </si>
  <si>
    <t>2012.05.25</t>
    <phoneticPr fontId="6" type="noConversion"/>
  </si>
  <si>
    <t>刹车片</t>
    <phoneticPr fontId="6" type="noConversion"/>
  </si>
  <si>
    <t>2012.05.25</t>
    <phoneticPr fontId="21" type="noConversion"/>
  </si>
  <si>
    <t>李家屯</t>
    <phoneticPr fontId="21" type="noConversion"/>
  </si>
  <si>
    <t>2012.05.28</t>
    <phoneticPr fontId="6" type="noConversion"/>
  </si>
  <si>
    <t>大唐文登风力发电有限公司</t>
    <phoneticPr fontId="21" type="noConversion"/>
  </si>
  <si>
    <t>文  登</t>
    <phoneticPr fontId="21" type="noConversion"/>
  </si>
  <si>
    <t>30%，已开发票</t>
    <phoneticPr fontId="6" type="noConversion"/>
  </si>
  <si>
    <t>山东大唐国际东营风电有限责任公司</t>
    <phoneticPr fontId="6" type="noConversion"/>
  </si>
  <si>
    <t>东  营</t>
    <phoneticPr fontId="21" type="noConversion"/>
  </si>
  <si>
    <t>2012.06.13</t>
    <phoneticPr fontId="21" type="noConversion"/>
  </si>
  <si>
    <t>2012.06.27</t>
    <phoneticPr fontId="21" type="noConversion"/>
  </si>
  <si>
    <t>2012.06.29</t>
    <phoneticPr fontId="21" type="noConversion"/>
  </si>
  <si>
    <t>启  东</t>
    <phoneticPr fontId="21" type="noConversion"/>
  </si>
  <si>
    <t>2012.07.09</t>
    <phoneticPr fontId="21" type="noConversion"/>
  </si>
  <si>
    <t>10%初装费，已开收据</t>
    <phoneticPr fontId="21" type="noConversion"/>
  </si>
  <si>
    <t>2012.07.10</t>
  </si>
  <si>
    <t>香港风力发电（穆棱）有限公司        亚洲风力发电（牡丹江）有限公司</t>
    <phoneticPr fontId="21" type="noConversion"/>
  </si>
  <si>
    <t>2012.07.10</t>
    <phoneticPr fontId="21" type="noConversion"/>
  </si>
  <si>
    <t>张北华实建投风能有限公司</t>
    <phoneticPr fontId="21" type="noConversion"/>
  </si>
  <si>
    <t>2012.07.19</t>
    <phoneticPr fontId="21" type="noConversion"/>
  </si>
  <si>
    <t>2012.07.22</t>
    <phoneticPr fontId="21" type="noConversion"/>
  </si>
  <si>
    <t>华能铁岭风力发电有限公司</t>
    <phoneticPr fontId="21" type="noConversion"/>
  </si>
  <si>
    <t>2012.07.24</t>
    <phoneticPr fontId="21" type="noConversion"/>
  </si>
  <si>
    <t>山东龙源风力发电有限公司</t>
    <phoneticPr fontId="21" type="noConversion"/>
  </si>
  <si>
    <t>沾  化</t>
    <phoneticPr fontId="21" type="noConversion"/>
  </si>
  <si>
    <t>已开收据</t>
    <phoneticPr fontId="21" type="noConversion"/>
  </si>
  <si>
    <t>2012.07.27</t>
    <phoneticPr fontId="21" type="noConversion"/>
  </si>
  <si>
    <t>质保金，已开全款发票</t>
    <phoneticPr fontId="6" type="noConversion"/>
  </si>
  <si>
    <t>2012.08.16</t>
    <phoneticPr fontId="21" type="noConversion"/>
  </si>
  <si>
    <t>2012.08.20</t>
    <phoneticPr fontId="21" type="noConversion"/>
  </si>
  <si>
    <t>2012.08.30</t>
    <phoneticPr fontId="21" type="noConversion"/>
  </si>
  <si>
    <t>国电和风风电开发有限公司桦川分公司</t>
    <phoneticPr fontId="6" type="noConversion"/>
  </si>
  <si>
    <t>大青背</t>
    <phoneticPr fontId="21" type="noConversion"/>
  </si>
  <si>
    <t>2012.09.20</t>
    <phoneticPr fontId="21" type="noConversion"/>
  </si>
  <si>
    <t>三峡新能源尚义风电有限公司</t>
    <phoneticPr fontId="21" type="noConversion"/>
  </si>
  <si>
    <t>2012.09.25</t>
    <phoneticPr fontId="21" type="noConversion"/>
  </si>
  <si>
    <t>黑河龙源风力发电有限公司</t>
    <phoneticPr fontId="6" type="noConversion"/>
  </si>
  <si>
    <t>海林龙源风力发电有限公司</t>
    <phoneticPr fontId="6" type="noConversion"/>
  </si>
  <si>
    <t>2012.10.12</t>
    <phoneticPr fontId="21" type="noConversion"/>
  </si>
  <si>
    <t>2012.10.12</t>
  </si>
  <si>
    <t>2012.10.17</t>
    <phoneticPr fontId="21" type="noConversion"/>
  </si>
  <si>
    <t>大庆龙源风力发电有限公司</t>
    <phoneticPr fontId="6" type="noConversion"/>
  </si>
  <si>
    <t>2012.10.23</t>
    <phoneticPr fontId="21" type="noConversion"/>
  </si>
  <si>
    <t>2012.10.25</t>
    <phoneticPr fontId="21" type="noConversion"/>
  </si>
  <si>
    <t>柳  毛</t>
    <phoneticPr fontId="21" type="noConversion"/>
  </si>
  <si>
    <t>2012.10.29</t>
    <phoneticPr fontId="21" type="noConversion"/>
  </si>
  <si>
    <t>七台河丰润风力发电有限公司</t>
    <phoneticPr fontId="21" type="noConversion"/>
  </si>
  <si>
    <t>前  锋</t>
    <phoneticPr fontId="21" type="noConversion"/>
  </si>
  <si>
    <t>已开收据</t>
    <phoneticPr fontId="6" type="noConversion"/>
  </si>
  <si>
    <t>2012.10.31</t>
    <phoneticPr fontId="21" type="noConversion"/>
  </si>
  <si>
    <t>2012.11.08</t>
    <phoneticPr fontId="21" type="noConversion"/>
  </si>
  <si>
    <t>蜂蜜山</t>
    <phoneticPr fontId="21" type="noConversion"/>
  </si>
  <si>
    <t>2012.11.12</t>
    <phoneticPr fontId="21" type="noConversion"/>
  </si>
  <si>
    <t>2012.11.16</t>
    <phoneticPr fontId="21" type="noConversion"/>
  </si>
  <si>
    <t>已开发票和收据</t>
    <phoneticPr fontId="6" type="noConversion"/>
  </si>
  <si>
    <t>2012.11.23</t>
    <phoneticPr fontId="21" type="noConversion"/>
  </si>
  <si>
    <t>2012.11.27</t>
    <phoneticPr fontId="21" type="noConversion"/>
  </si>
  <si>
    <t>克山龙源风力发电有限公司</t>
    <phoneticPr fontId="6" type="noConversion"/>
  </si>
  <si>
    <t>伊春龙源风力发电有限公司</t>
    <phoneticPr fontId="6" type="noConversion"/>
  </si>
  <si>
    <t>大小黑山</t>
    <phoneticPr fontId="21" type="noConversion"/>
  </si>
  <si>
    <t>伊春龙源金山风力发电有限公司</t>
    <phoneticPr fontId="6" type="noConversion"/>
  </si>
  <si>
    <t>老小白山</t>
    <phoneticPr fontId="21" type="noConversion"/>
  </si>
  <si>
    <t>大少白山</t>
    <phoneticPr fontId="21" type="noConversion"/>
  </si>
  <si>
    <t>2012.11.30</t>
    <phoneticPr fontId="21" type="noConversion"/>
  </si>
  <si>
    <t>2012.11.30</t>
  </si>
  <si>
    <t>2012.12.03</t>
    <phoneticPr fontId="21" type="noConversion"/>
  </si>
  <si>
    <t>2012.12.05</t>
    <phoneticPr fontId="21" type="noConversion"/>
  </si>
  <si>
    <t>预收50%，已开收据</t>
    <phoneticPr fontId="6" type="noConversion"/>
  </si>
  <si>
    <t>2012.12.07</t>
    <phoneticPr fontId="21" type="noConversion"/>
  </si>
  <si>
    <t>马鞍山</t>
    <phoneticPr fontId="21" type="noConversion"/>
  </si>
  <si>
    <t>双鸭山龙源风力发电有限公司</t>
    <phoneticPr fontId="6" type="noConversion"/>
  </si>
  <si>
    <t>2012.12.13</t>
    <phoneticPr fontId="21" type="noConversion"/>
  </si>
  <si>
    <t>依兰龙源汇能风力发电有限公司</t>
    <phoneticPr fontId="6" type="noConversion"/>
  </si>
  <si>
    <t>2012.12.19</t>
    <phoneticPr fontId="21" type="noConversion"/>
  </si>
  <si>
    <t>2012.12.21</t>
    <phoneticPr fontId="21" type="noConversion"/>
  </si>
  <si>
    <t>2012.12.25</t>
    <phoneticPr fontId="21" type="noConversion"/>
  </si>
  <si>
    <t>前锋</t>
    <phoneticPr fontId="21" type="noConversion"/>
  </si>
  <si>
    <t>2012年合计</t>
    <phoneticPr fontId="6" type="noConversion"/>
  </si>
  <si>
    <t>2015.12.18</t>
  </si>
  <si>
    <t>华电吉林大安风力发电有限公司</t>
  </si>
  <si>
    <t>风水山</t>
    <phoneticPr fontId="11" type="noConversion"/>
  </si>
  <si>
    <t>陈慧群</t>
    <phoneticPr fontId="11" type="noConversion"/>
  </si>
  <si>
    <t>2015.12.21</t>
    <phoneticPr fontId="11" type="noConversion"/>
  </si>
  <si>
    <t>带岭东山风电场（龙源）</t>
  </si>
  <si>
    <t>贾本玉</t>
    <phoneticPr fontId="11" type="noConversion"/>
  </si>
  <si>
    <t>2015.12.21</t>
    <phoneticPr fontId="11" type="noConversion"/>
  </si>
  <si>
    <t>通河龙源风力发电有限公司</t>
  </si>
  <si>
    <t>岔林河风电场（龙源）</t>
  </si>
  <si>
    <t>贾本玉</t>
    <phoneticPr fontId="11" type="noConversion"/>
  </si>
  <si>
    <t>2015.12.21</t>
  </si>
  <si>
    <t>福煤大蚶山（莆田）风电有限公司</t>
  </si>
  <si>
    <t>秦英飞</t>
    <phoneticPr fontId="11" type="noConversion"/>
  </si>
  <si>
    <t>龙海隆教</t>
  </si>
  <si>
    <t>2015.12.22</t>
  </si>
  <si>
    <t>新疆天电达板城风力发电有限公司</t>
    <phoneticPr fontId="11" type="noConversion"/>
  </si>
  <si>
    <t>天山达坂城</t>
    <phoneticPr fontId="11" type="noConversion"/>
  </si>
  <si>
    <t>王龙波</t>
    <phoneticPr fontId="11" type="noConversion"/>
  </si>
  <si>
    <t>补充合同款</t>
    <phoneticPr fontId="11" type="noConversion"/>
  </si>
  <si>
    <t>2015.12.23</t>
  </si>
  <si>
    <t>风水山</t>
    <phoneticPr fontId="11" type="noConversion"/>
  </si>
  <si>
    <t>部分合同款</t>
    <phoneticPr fontId="11" type="noConversion"/>
  </si>
  <si>
    <t>陈慧群</t>
    <phoneticPr fontId="11" type="noConversion"/>
  </si>
  <si>
    <t>2015.12.24</t>
  </si>
  <si>
    <t>中电投广西兴安风电有限公司</t>
    <phoneticPr fontId="11" type="noConversion"/>
  </si>
  <si>
    <t>广西兴安10个风场</t>
  </si>
  <si>
    <t>部分合同款</t>
    <phoneticPr fontId="11" type="noConversion"/>
  </si>
  <si>
    <t>申雪原</t>
    <phoneticPr fontId="11" type="noConversion"/>
  </si>
  <si>
    <t>2015.12.25</t>
  </si>
  <si>
    <t>国电物资集团有限公司上海分公司</t>
    <phoneticPr fontId="11" type="noConversion"/>
  </si>
  <si>
    <t>霞浦延亭</t>
    <phoneticPr fontId="11" type="noConversion"/>
  </si>
  <si>
    <t>合同款90%</t>
    <phoneticPr fontId="11" type="noConversion"/>
  </si>
  <si>
    <t>秦英飞</t>
    <phoneticPr fontId="11" type="noConversion"/>
  </si>
  <si>
    <t>2015.12.28</t>
    <phoneticPr fontId="11" type="noConversion"/>
  </si>
  <si>
    <t>三峡新能源开原风电有限公司</t>
    <phoneticPr fontId="11" type="noConversion"/>
  </si>
  <si>
    <t>贾本玉</t>
    <phoneticPr fontId="11" type="noConversion"/>
  </si>
  <si>
    <t>补充合同款</t>
    <phoneticPr fontId="11" type="noConversion"/>
  </si>
  <si>
    <t>2015.12.28</t>
  </si>
  <si>
    <t>国电招远新能源有限公司</t>
    <phoneticPr fontId="11" type="noConversion"/>
  </si>
  <si>
    <t>招远</t>
    <phoneticPr fontId="11" type="noConversion"/>
  </si>
  <si>
    <t>补充费用</t>
    <phoneticPr fontId="11" type="noConversion"/>
  </si>
  <si>
    <t>王  维</t>
    <phoneticPr fontId="11" type="noConversion"/>
  </si>
  <si>
    <t>2015.12.30</t>
    <phoneticPr fontId="11" type="noConversion"/>
  </si>
  <si>
    <t>华电吉林大安风力发电有限公司</t>
    <phoneticPr fontId="11" type="noConversion"/>
  </si>
  <si>
    <t>风水山</t>
    <phoneticPr fontId="11" type="noConversion"/>
  </si>
  <si>
    <t>陈慧群</t>
    <phoneticPr fontId="11" type="noConversion"/>
  </si>
  <si>
    <t>大庆龙源风力发电有限公司</t>
    <phoneticPr fontId="11" type="noConversion"/>
  </si>
  <si>
    <t>草原</t>
  </si>
  <si>
    <t>贾本玉</t>
    <phoneticPr fontId="11" type="noConversion"/>
  </si>
  <si>
    <t>北京博风慧能软件有限责任公司</t>
    <phoneticPr fontId="11" type="noConversion"/>
  </si>
  <si>
    <t>苇湖梁东区/中区/西区</t>
    <phoneticPr fontId="11" type="noConversion"/>
  </si>
  <si>
    <t>合同款20%</t>
    <phoneticPr fontId="11" type="noConversion"/>
  </si>
  <si>
    <t>王龙波</t>
    <phoneticPr fontId="11" type="noConversion"/>
  </si>
  <si>
    <t>2015.12.31</t>
  </si>
  <si>
    <t>华能启东风力发电有限公司</t>
    <phoneticPr fontId="11" type="noConversion"/>
  </si>
  <si>
    <t>启东</t>
  </si>
  <si>
    <t>合同款95%</t>
    <phoneticPr fontId="11" type="noConversion"/>
  </si>
  <si>
    <t>王  维</t>
    <phoneticPr fontId="11" type="noConversion"/>
  </si>
  <si>
    <t>服务费95%</t>
    <phoneticPr fontId="11" type="noConversion"/>
  </si>
  <si>
    <t>克山龙源风力发电有限公司</t>
    <phoneticPr fontId="11" type="noConversion"/>
  </si>
  <si>
    <t>银川瑞明太阳能发电有限公司</t>
  </si>
  <si>
    <t>2016.01.15</t>
    <phoneticPr fontId="11" type="noConversion"/>
  </si>
  <si>
    <t>银川瑞明光伏电站</t>
  </si>
  <si>
    <t>2016年合计</t>
    <phoneticPr fontId="11" type="noConversion"/>
  </si>
  <si>
    <t>制表：黄向楠</t>
    <phoneticPr fontId="11" type="noConversion"/>
  </si>
  <si>
    <t>2016年销售合同回款统计表</t>
    <phoneticPr fontId="11" type="noConversion"/>
  </si>
  <si>
    <t>新疆华电白杨河风力发电有限责任公司</t>
    <phoneticPr fontId="11" type="noConversion"/>
  </si>
  <si>
    <t>吐鲁番</t>
    <phoneticPr fontId="11" type="noConversion"/>
  </si>
  <si>
    <t>质保款</t>
    <phoneticPr fontId="11" type="noConversion"/>
  </si>
  <si>
    <t>王龙波</t>
    <phoneticPr fontId="11" type="noConversion"/>
  </si>
  <si>
    <t>辽宁安宇新能源有限公司</t>
    <phoneticPr fontId="11" type="noConversion"/>
  </si>
  <si>
    <t>彰武王家</t>
    <phoneticPr fontId="11" type="noConversion"/>
  </si>
  <si>
    <t>验收款</t>
    <phoneticPr fontId="11" type="noConversion"/>
  </si>
  <si>
    <t>贾本玉</t>
    <phoneticPr fontId="11" type="noConversion"/>
  </si>
  <si>
    <t>2016.01.18</t>
    <phoneticPr fontId="11" type="noConversion"/>
  </si>
  <si>
    <t>2016.01.21</t>
    <phoneticPr fontId="11" type="noConversion"/>
  </si>
  <si>
    <t>2016.01.27</t>
    <phoneticPr fontId="11" type="noConversion"/>
  </si>
  <si>
    <t>全款</t>
    <phoneticPr fontId="11" type="noConversion"/>
  </si>
  <si>
    <t>华能哈密风力发电有限公司</t>
    <phoneticPr fontId="11" type="noConversion"/>
  </si>
  <si>
    <t>王龙波</t>
    <phoneticPr fontId="11" type="noConversion"/>
  </si>
  <si>
    <t>贾本玉</t>
    <phoneticPr fontId="11" type="noConversion"/>
  </si>
  <si>
    <t>调兵山（华仪 泉眼沟）</t>
    <phoneticPr fontId="11" type="noConversion"/>
  </si>
  <si>
    <t>2016.01.27</t>
  </si>
  <si>
    <t>中广核大北山（瓦房店）风力发电有限公司</t>
    <phoneticPr fontId="11" type="noConversion"/>
  </si>
  <si>
    <t>陕西锐正电气科技有限公司</t>
  </si>
  <si>
    <t>2016.01.28</t>
    <phoneticPr fontId="11" type="noConversion"/>
  </si>
  <si>
    <t>靖边上欠井</t>
    <phoneticPr fontId="11" type="noConversion"/>
  </si>
  <si>
    <t>预付款</t>
    <phoneticPr fontId="11" type="noConversion"/>
  </si>
  <si>
    <t>验收款</t>
    <phoneticPr fontId="11" type="noConversion"/>
  </si>
  <si>
    <t>杨振坤</t>
    <phoneticPr fontId="11" type="noConversion"/>
  </si>
  <si>
    <t>2016.01.29</t>
    <phoneticPr fontId="11" type="noConversion"/>
  </si>
  <si>
    <t>榆林国远风电有限公司</t>
    <phoneticPr fontId="11" type="noConversion"/>
  </si>
  <si>
    <t>远见榆林横山一期（狄青塬）</t>
  </si>
  <si>
    <t>到货款、投运款</t>
    <phoneticPr fontId="11" type="noConversion"/>
  </si>
  <si>
    <t>福能（龙海）风力发电有限责任公司</t>
  </si>
  <si>
    <t>2016.02.02</t>
    <phoneticPr fontId="11" type="noConversion"/>
  </si>
  <si>
    <t>新村、新厝、港尾</t>
  </si>
  <si>
    <t>到货款</t>
    <phoneticPr fontId="11" type="noConversion"/>
  </si>
  <si>
    <t>秦英飞</t>
    <phoneticPr fontId="11" type="noConversion"/>
  </si>
  <si>
    <t xml:space="preserve">福能（仙游）风力发电有限责任公司 </t>
  </si>
  <si>
    <t>验收款</t>
    <phoneticPr fontId="11" type="noConversion"/>
  </si>
  <si>
    <t>草山</t>
    <phoneticPr fontId="11" type="noConversion"/>
  </si>
  <si>
    <t>2016.02.04</t>
    <phoneticPr fontId="11" type="noConversion"/>
  </si>
  <si>
    <t>质保款</t>
    <phoneticPr fontId="11" type="noConversion"/>
  </si>
  <si>
    <t>贾本玉</t>
    <phoneticPr fontId="11" type="noConversion"/>
  </si>
  <si>
    <t>吉林风力发电股份有限公司</t>
  </si>
  <si>
    <t>长岭174</t>
    <phoneticPr fontId="11" type="noConversion"/>
  </si>
  <si>
    <t>验收款</t>
    <phoneticPr fontId="11" type="noConversion"/>
  </si>
  <si>
    <t>陈慧群</t>
    <phoneticPr fontId="11" type="noConversion"/>
  </si>
  <si>
    <t>齐齐哈尔碾子山</t>
    <phoneticPr fontId="11" type="noConversion"/>
  </si>
  <si>
    <t>服务费</t>
    <phoneticPr fontId="11" type="noConversion"/>
  </si>
  <si>
    <t>郭文明</t>
    <phoneticPr fontId="11" type="noConversion"/>
  </si>
  <si>
    <t>龙江哈拉海乡（中航龙腾）</t>
  </si>
  <si>
    <t>无</t>
    <phoneticPr fontId="11" type="noConversion"/>
  </si>
  <si>
    <t>贾本玉</t>
    <phoneticPr fontId="11" type="noConversion"/>
  </si>
  <si>
    <t>售后服务</t>
    <phoneticPr fontId="11" type="noConversion"/>
  </si>
  <si>
    <t>大庆和平</t>
    <phoneticPr fontId="11" type="noConversion"/>
  </si>
  <si>
    <t>服务费</t>
    <phoneticPr fontId="11" type="noConversion"/>
  </si>
  <si>
    <t>郭文明</t>
    <phoneticPr fontId="11" type="noConversion"/>
  </si>
  <si>
    <t>2016.02.19</t>
    <phoneticPr fontId="11" type="noConversion"/>
  </si>
  <si>
    <t>2016.02.25</t>
    <phoneticPr fontId="11" type="noConversion"/>
  </si>
  <si>
    <t>2016.02.25</t>
    <phoneticPr fontId="11" type="noConversion"/>
  </si>
  <si>
    <t>北京博风慧能软件有限责任公司</t>
  </si>
  <si>
    <t>三塘湖蒲类海一期</t>
  </si>
  <si>
    <t>到货款</t>
    <phoneticPr fontId="11" type="noConversion"/>
  </si>
  <si>
    <t>王龙波</t>
    <phoneticPr fontId="11" type="noConversion"/>
  </si>
  <si>
    <t>国华(铜川)新能源有限公司</t>
    <phoneticPr fontId="11" type="noConversion"/>
  </si>
  <si>
    <t>2016.02.29</t>
    <phoneticPr fontId="11" type="noConversion"/>
  </si>
  <si>
    <t>铜川阿庄</t>
    <phoneticPr fontId="11" type="noConversion"/>
  </si>
  <si>
    <t>到货款</t>
    <phoneticPr fontId="11" type="noConversion"/>
  </si>
  <si>
    <t>杨振坤</t>
    <phoneticPr fontId="11" type="noConversion"/>
  </si>
  <si>
    <t>2016.03.03</t>
    <phoneticPr fontId="11" type="noConversion"/>
  </si>
  <si>
    <t>留龙沟</t>
    <phoneticPr fontId="11" type="noConversion"/>
  </si>
  <si>
    <t>合同全款</t>
    <phoneticPr fontId="11" type="noConversion"/>
  </si>
  <si>
    <t>贾本玉</t>
    <phoneticPr fontId="11" type="noConversion"/>
  </si>
  <si>
    <t>2016.03.15</t>
    <phoneticPr fontId="11" type="noConversion"/>
  </si>
  <si>
    <t>新疆华电苇湖梁新能源有限公司</t>
    <phoneticPr fontId="11" type="noConversion"/>
  </si>
  <si>
    <t>质保款</t>
    <phoneticPr fontId="11" type="noConversion"/>
  </si>
  <si>
    <t>王龙波</t>
    <phoneticPr fontId="11" type="noConversion"/>
  </si>
  <si>
    <t>苇湖梁</t>
    <phoneticPr fontId="11" type="noConversion"/>
  </si>
  <si>
    <t>验收款</t>
    <phoneticPr fontId="11" type="noConversion"/>
  </si>
  <si>
    <t>申雪原</t>
    <phoneticPr fontId="11" type="noConversion"/>
  </si>
  <si>
    <t>中国电力投资集团公司物资装备分公司</t>
  </si>
  <si>
    <t>金紫山</t>
    <phoneticPr fontId="11" type="noConversion"/>
  </si>
  <si>
    <t>2016.03.18</t>
    <phoneticPr fontId="11" type="noConversion"/>
  </si>
  <si>
    <t>齐齐哈尔碾子山</t>
    <phoneticPr fontId="11" type="noConversion"/>
  </si>
  <si>
    <t>质保款</t>
    <phoneticPr fontId="11" type="noConversion"/>
  </si>
  <si>
    <t>郭文明</t>
    <phoneticPr fontId="11" type="noConversion"/>
  </si>
  <si>
    <t>2016.03.21</t>
    <phoneticPr fontId="11" type="noConversion"/>
  </si>
  <si>
    <t>集贤太平</t>
    <phoneticPr fontId="11" type="noConversion"/>
  </si>
  <si>
    <t>服务费</t>
    <phoneticPr fontId="11" type="noConversion"/>
  </si>
  <si>
    <t>郭文明</t>
    <phoneticPr fontId="11" type="noConversion"/>
  </si>
  <si>
    <t>2016.03.24</t>
    <phoneticPr fontId="11" type="noConversion"/>
  </si>
  <si>
    <t>同江街津山</t>
    <phoneticPr fontId="11" type="noConversion"/>
  </si>
  <si>
    <t>2016.03.28</t>
    <phoneticPr fontId="11" type="noConversion"/>
  </si>
  <si>
    <t>验收款</t>
    <phoneticPr fontId="11" type="noConversion"/>
  </si>
  <si>
    <t>王龙波</t>
    <phoneticPr fontId="11" type="noConversion"/>
  </si>
  <si>
    <t>三塘湖东方民生四期</t>
  </si>
  <si>
    <t>三塘湖浦类海一期</t>
  </si>
  <si>
    <t>验收款</t>
    <phoneticPr fontId="11" type="noConversion"/>
  </si>
  <si>
    <t>陈慧群</t>
    <phoneticPr fontId="11" type="noConversion"/>
  </si>
  <si>
    <t>2016.04.07</t>
    <phoneticPr fontId="11" type="noConversion"/>
  </si>
  <si>
    <t>南京南瑞继保工程技术有限公司</t>
    <phoneticPr fontId="11" type="noConversion"/>
  </si>
  <si>
    <t>宣化风光互补工程</t>
    <phoneticPr fontId="11" type="noConversion"/>
  </si>
  <si>
    <t>2016.04.08</t>
    <phoneticPr fontId="11" type="noConversion"/>
  </si>
  <si>
    <t>大唐桦川风力发电有限公司</t>
    <phoneticPr fontId="11" type="noConversion"/>
  </si>
  <si>
    <t>依兰晨光</t>
    <phoneticPr fontId="11" type="noConversion"/>
  </si>
  <si>
    <t>服务费</t>
    <phoneticPr fontId="11" type="noConversion"/>
  </si>
  <si>
    <t>郭文明</t>
    <phoneticPr fontId="11" type="noConversion"/>
  </si>
  <si>
    <t>大唐依兰风力发电有限公司</t>
    <phoneticPr fontId="11" type="noConversion"/>
  </si>
  <si>
    <t>桦川苏家店</t>
    <phoneticPr fontId="11" type="noConversion"/>
  </si>
  <si>
    <t>依兰富强</t>
    <phoneticPr fontId="11" type="noConversion"/>
  </si>
  <si>
    <t>大唐集贤风力发电有限公司</t>
    <phoneticPr fontId="11" type="noConversion"/>
  </si>
  <si>
    <t>集贤太阳山</t>
    <phoneticPr fontId="11" type="noConversion"/>
  </si>
  <si>
    <t>大唐桦南风力发电有限公司</t>
    <phoneticPr fontId="11" type="noConversion"/>
  </si>
  <si>
    <t>桦南北架山</t>
    <phoneticPr fontId="11" type="noConversion"/>
  </si>
  <si>
    <t>华电铁岭风力发电有限公司</t>
    <phoneticPr fontId="11" type="noConversion"/>
  </si>
  <si>
    <t>镇西堡、李家屯及心田堡</t>
    <phoneticPr fontId="11" type="noConversion"/>
  </si>
  <si>
    <t>服务费</t>
    <phoneticPr fontId="11" type="noConversion"/>
  </si>
  <si>
    <t>贾本玉</t>
    <phoneticPr fontId="11" type="noConversion"/>
  </si>
  <si>
    <t>2016.04.14</t>
    <phoneticPr fontId="11" type="noConversion"/>
  </si>
  <si>
    <t>2016.04.19</t>
    <phoneticPr fontId="11" type="noConversion"/>
  </si>
  <si>
    <t>亚洲风力发电（牡丹江）有限公司</t>
    <phoneticPr fontId="11" type="noConversion"/>
  </si>
  <si>
    <t>代马沟</t>
    <phoneticPr fontId="11" type="noConversion"/>
  </si>
  <si>
    <t>香港风力发电（穆棱）有限公司</t>
    <phoneticPr fontId="11" type="noConversion"/>
  </si>
  <si>
    <t>2016.04.27</t>
    <phoneticPr fontId="11" type="noConversion"/>
  </si>
  <si>
    <t>德京（福建）电通技术开发有限公司</t>
    <phoneticPr fontId="11" type="noConversion"/>
  </si>
  <si>
    <t>到货款</t>
    <phoneticPr fontId="11" type="noConversion"/>
  </si>
  <si>
    <t>云霄曾江</t>
    <phoneticPr fontId="11" type="noConversion"/>
  </si>
  <si>
    <t>兴凯湖（蜂蜜山）</t>
    <phoneticPr fontId="11" type="noConversion"/>
  </si>
  <si>
    <t>密山临河风力发电有限公司</t>
    <phoneticPr fontId="11" type="noConversion"/>
  </si>
  <si>
    <t>兴凯湖（临河）</t>
    <phoneticPr fontId="11" type="noConversion"/>
  </si>
  <si>
    <t>2016.04.28</t>
    <phoneticPr fontId="11" type="noConversion"/>
  </si>
  <si>
    <t>中电投广西金紫山风电有限公司</t>
  </si>
  <si>
    <t>第一年服务费</t>
    <phoneticPr fontId="11" type="noConversion"/>
  </si>
  <si>
    <t>申雪原</t>
    <phoneticPr fontId="11" type="noConversion"/>
  </si>
  <si>
    <t>黑龙江富龙风力发电有限责任公司</t>
    <phoneticPr fontId="11" type="noConversion"/>
  </si>
  <si>
    <t>乌尔古力</t>
    <phoneticPr fontId="11" type="noConversion"/>
  </si>
  <si>
    <t>部分服务费</t>
    <phoneticPr fontId="11" type="noConversion"/>
  </si>
  <si>
    <t>贾本玉</t>
    <phoneticPr fontId="11" type="noConversion"/>
  </si>
  <si>
    <t>龙江杏山风力发电有限公司</t>
    <phoneticPr fontId="11" type="noConversion"/>
  </si>
  <si>
    <t>龙江哈拉海乡（中航龙腾）（杏山）</t>
    <phoneticPr fontId="11" type="noConversion"/>
  </si>
  <si>
    <t>2016.04.29</t>
    <phoneticPr fontId="11" type="noConversion"/>
  </si>
  <si>
    <t>半年服务费</t>
    <phoneticPr fontId="11" type="noConversion"/>
  </si>
  <si>
    <t>密山潘家店风力发电有限公司</t>
    <phoneticPr fontId="11" type="noConversion"/>
  </si>
  <si>
    <t>兴凯湖（潘家店）</t>
    <phoneticPr fontId="11" type="noConversion"/>
  </si>
  <si>
    <t>大唐华安（齐齐哈尔）风力发电有限公司</t>
    <phoneticPr fontId="11" type="noConversion"/>
  </si>
  <si>
    <t>2016.05.05</t>
    <phoneticPr fontId="11" type="noConversion"/>
  </si>
  <si>
    <t>郭文明</t>
    <phoneticPr fontId="11" type="noConversion"/>
  </si>
  <si>
    <t>100%合同款</t>
    <phoneticPr fontId="11" type="noConversion"/>
  </si>
  <si>
    <t>齐齐哈尔碾子山</t>
    <phoneticPr fontId="11" type="noConversion"/>
  </si>
  <si>
    <t>宣化阳城子</t>
    <phoneticPr fontId="11" type="noConversion"/>
  </si>
  <si>
    <t>40%验收款</t>
    <phoneticPr fontId="11" type="noConversion"/>
  </si>
  <si>
    <t>2016.05.05</t>
    <phoneticPr fontId="11" type="noConversion"/>
  </si>
  <si>
    <t>南京南瑞继保工程技术有限公司</t>
    <phoneticPr fontId="11" type="noConversion"/>
  </si>
  <si>
    <t>乾安网新风电有限公司</t>
    <phoneticPr fontId="11" type="noConversion"/>
  </si>
  <si>
    <t>2016.05.06</t>
    <phoneticPr fontId="11" type="noConversion"/>
  </si>
  <si>
    <t>乾安网新</t>
    <phoneticPr fontId="11" type="noConversion"/>
  </si>
  <si>
    <t>30%预付款</t>
    <phoneticPr fontId="11" type="noConversion"/>
  </si>
  <si>
    <t>2016.05.13</t>
    <phoneticPr fontId="11" type="noConversion"/>
  </si>
  <si>
    <t>银川瑞明太阳能发电有限公司</t>
    <phoneticPr fontId="11" type="noConversion"/>
  </si>
  <si>
    <t>银川瑞明</t>
    <phoneticPr fontId="11" type="noConversion"/>
  </si>
  <si>
    <t>无合同</t>
    <phoneticPr fontId="11" type="noConversion"/>
  </si>
  <si>
    <t>系统维护费</t>
    <phoneticPr fontId="11" type="noConversion"/>
  </si>
  <si>
    <t>2016.05.20</t>
    <phoneticPr fontId="11" type="noConversion"/>
  </si>
  <si>
    <t>三峡新能源白城风电发展有限公司</t>
    <phoneticPr fontId="11" type="noConversion"/>
  </si>
  <si>
    <t>查干浩特</t>
    <phoneticPr fontId="11" type="noConversion"/>
  </si>
  <si>
    <t>2015年服务费</t>
    <phoneticPr fontId="11" type="noConversion"/>
  </si>
  <si>
    <t>贾本玉</t>
    <phoneticPr fontId="11" type="noConversion"/>
  </si>
  <si>
    <t>2016.05.20</t>
    <phoneticPr fontId="11" type="noConversion"/>
  </si>
  <si>
    <t>黑龙江东方风力发电有限公司</t>
    <phoneticPr fontId="11" type="noConversion"/>
  </si>
  <si>
    <t>兴凯湖（柳毛）</t>
    <phoneticPr fontId="11" type="noConversion"/>
  </si>
  <si>
    <t>上半年服务费</t>
    <phoneticPr fontId="11" type="noConversion"/>
  </si>
  <si>
    <t>陕西锐正电气科技有限公司</t>
    <phoneticPr fontId="11" type="noConversion"/>
  </si>
  <si>
    <t>2016.05.24</t>
    <phoneticPr fontId="11" type="noConversion"/>
  </si>
  <si>
    <t>靖边上欠井</t>
    <phoneticPr fontId="11" type="noConversion"/>
  </si>
  <si>
    <t>并网验收60%</t>
    <phoneticPr fontId="11" type="noConversion"/>
  </si>
  <si>
    <t>杨振坤</t>
    <phoneticPr fontId="11" type="noConversion"/>
  </si>
  <si>
    <t>大唐绥滨新能源有限公司</t>
    <phoneticPr fontId="11" type="noConversion"/>
  </si>
  <si>
    <t>2016.05.26</t>
    <phoneticPr fontId="11" type="noConversion"/>
  </si>
  <si>
    <t>绥滨吉成</t>
    <phoneticPr fontId="11" type="noConversion"/>
  </si>
  <si>
    <t>质保款10%</t>
    <phoneticPr fontId="11" type="noConversion"/>
  </si>
  <si>
    <t>2016.05.27</t>
    <phoneticPr fontId="11" type="noConversion"/>
  </si>
  <si>
    <t>伊春太阳风新能源有限公司</t>
    <phoneticPr fontId="11" type="noConversion"/>
  </si>
  <si>
    <t>伊春美林老白山</t>
    <phoneticPr fontId="11" type="noConversion"/>
  </si>
  <si>
    <t>第一年服务费</t>
    <phoneticPr fontId="11" type="noConversion"/>
  </si>
  <si>
    <t>双鸭山杨木岗风力发电有限公司</t>
    <phoneticPr fontId="11" type="noConversion"/>
  </si>
  <si>
    <t>锅盔山（杨木岗）</t>
    <phoneticPr fontId="11" type="noConversion"/>
  </si>
  <si>
    <t>半年服务费</t>
    <phoneticPr fontId="11" type="noConversion"/>
  </si>
  <si>
    <t>双鸭山锅盔山风力发电有限公司</t>
    <phoneticPr fontId="11" type="noConversion"/>
  </si>
  <si>
    <t>锅盔山</t>
    <phoneticPr fontId="11" type="noConversion"/>
  </si>
  <si>
    <t>双鸭山老平岗风力发电有限公司</t>
    <phoneticPr fontId="11" type="noConversion"/>
  </si>
  <si>
    <t>锅盔山（老平岗）</t>
    <phoneticPr fontId="11" type="noConversion"/>
  </si>
  <si>
    <t>中航龙腾风力发电有限公司</t>
    <phoneticPr fontId="11" type="noConversion"/>
  </si>
  <si>
    <t>龙江哈拉海乡（中航龙腾）</t>
    <phoneticPr fontId="11" type="noConversion"/>
  </si>
  <si>
    <t>国华(神木)新能源有限公司</t>
    <phoneticPr fontId="11" type="noConversion"/>
  </si>
  <si>
    <t>大柳塔</t>
    <phoneticPr fontId="11" type="noConversion"/>
  </si>
  <si>
    <t>到货款60%</t>
    <phoneticPr fontId="11" type="noConversion"/>
  </si>
  <si>
    <t>杨振坤</t>
    <phoneticPr fontId="11" type="noConversion"/>
  </si>
  <si>
    <t>2016.06.01</t>
    <phoneticPr fontId="11" type="noConversion"/>
  </si>
  <si>
    <t>林甸东明园风力发电有限公司</t>
    <phoneticPr fontId="11" type="noConversion"/>
  </si>
  <si>
    <t>林甸东明园</t>
    <phoneticPr fontId="11" type="noConversion"/>
  </si>
  <si>
    <t>部分验收款32.5%</t>
    <phoneticPr fontId="11" type="noConversion"/>
  </si>
  <si>
    <t>乾安网新风电有限公司</t>
    <phoneticPr fontId="11" type="noConversion"/>
  </si>
  <si>
    <t>2016.06.03</t>
    <phoneticPr fontId="11" type="noConversion"/>
  </si>
  <si>
    <t>合同款30%</t>
    <phoneticPr fontId="11" type="noConversion"/>
  </si>
  <si>
    <t>中国电建集团西北勘测设计研究院有限公司</t>
    <phoneticPr fontId="11" type="noConversion"/>
  </si>
  <si>
    <t>杨井二期</t>
    <phoneticPr fontId="11" type="noConversion"/>
  </si>
  <si>
    <t>验收款90%</t>
    <phoneticPr fontId="11" type="noConversion"/>
  </si>
  <si>
    <t>黑龙江英大电力工程有限责任公司</t>
    <phoneticPr fontId="11" type="noConversion"/>
  </si>
  <si>
    <t>2016.06.08</t>
    <phoneticPr fontId="11" type="noConversion"/>
  </si>
  <si>
    <t>安达农义</t>
    <phoneticPr fontId="11" type="noConversion"/>
  </si>
  <si>
    <t>预付款50%</t>
    <phoneticPr fontId="11" type="noConversion"/>
  </si>
  <si>
    <t>2016.06.13</t>
    <phoneticPr fontId="11" type="noConversion"/>
  </si>
  <si>
    <t>大庆绿源风力发电有限公司</t>
    <phoneticPr fontId="11" type="noConversion"/>
  </si>
  <si>
    <t>大庆和平</t>
    <phoneticPr fontId="11" type="noConversion"/>
  </si>
  <si>
    <t>验收款 约30%</t>
    <phoneticPr fontId="11" type="noConversion"/>
  </si>
  <si>
    <t>郭文明</t>
    <phoneticPr fontId="11" type="noConversion"/>
  </si>
  <si>
    <t>北车风电有限公司</t>
    <phoneticPr fontId="11" type="noConversion"/>
  </si>
  <si>
    <t>2016.06.13</t>
    <phoneticPr fontId="11" type="noConversion"/>
  </si>
  <si>
    <t>预付款10%</t>
    <phoneticPr fontId="11" type="noConversion"/>
  </si>
  <si>
    <t>沈口子</t>
    <phoneticPr fontId="11" type="noConversion"/>
  </si>
  <si>
    <t>杨振坤</t>
    <phoneticPr fontId="11" type="noConversion"/>
  </si>
  <si>
    <t>吉林中广核风力发电有限公司</t>
    <phoneticPr fontId="11" type="noConversion"/>
  </si>
  <si>
    <t>2016.06.14</t>
    <phoneticPr fontId="11" type="noConversion"/>
  </si>
  <si>
    <t>大安大岗子</t>
    <phoneticPr fontId="11" type="noConversion"/>
  </si>
  <si>
    <t>陈慧群</t>
    <phoneticPr fontId="11" type="noConversion"/>
  </si>
  <si>
    <t>2016.06.21</t>
    <phoneticPr fontId="11" type="noConversion"/>
  </si>
  <si>
    <t>辽宁安宇新能源有限公司</t>
    <phoneticPr fontId="11" type="noConversion"/>
  </si>
  <si>
    <t>三峡富裕友谊二期</t>
    <phoneticPr fontId="11" type="noConversion"/>
  </si>
  <si>
    <t>华电汤原风力发电有限公司</t>
    <phoneticPr fontId="11" type="noConversion"/>
  </si>
  <si>
    <t>合同款50%</t>
    <phoneticPr fontId="11" type="noConversion"/>
  </si>
  <si>
    <t>2016.06.23</t>
    <phoneticPr fontId="11" type="noConversion"/>
  </si>
  <si>
    <t>汤原渠首</t>
    <phoneticPr fontId="11" type="noConversion"/>
  </si>
  <si>
    <t>三峡新能源开原风电有限公司</t>
    <phoneticPr fontId="11" type="noConversion"/>
  </si>
  <si>
    <t>开原威远</t>
    <phoneticPr fontId="11" type="noConversion"/>
  </si>
  <si>
    <t>合同款100%</t>
    <phoneticPr fontId="11" type="noConversion"/>
  </si>
  <si>
    <t>七台河宏浩风力发电有限公司</t>
    <phoneticPr fontId="11" type="noConversion"/>
  </si>
  <si>
    <t>2016.06.27</t>
    <phoneticPr fontId="11" type="noConversion"/>
  </si>
  <si>
    <t>七里嘎山</t>
    <phoneticPr fontId="11" type="noConversion"/>
  </si>
  <si>
    <t>2016.06.28</t>
    <phoneticPr fontId="11" type="noConversion"/>
  </si>
  <si>
    <t>合同额50%</t>
    <phoneticPr fontId="11" type="noConversion"/>
  </si>
  <si>
    <t>华能沂水风力发电有限公司</t>
    <phoneticPr fontId="11" type="noConversion"/>
  </si>
  <si>
    <t>2016.06.30</t>
    <phoneticPr fontId="11" type="noConversion"/>
  </si>
  <si>
    <t>沂水马站</t>
    <phoneticPr fontId="11" type="noConversion"/>
  </si>
  <si>
    <t>王维</t>
    <phoneticPr fontId="11" type="noConversion"/>
  </si>
  <si>
    <t>2016.07.04</t>
    <phoneticPr fontId="11" type="noConversion"/>
  </si>
  <si>
    <t>衡水双利风电设备制造有限公司</t>
    <phoneticPr fontId="11" type="noConversion"/>
  </si>
  <si>
    <t>烟墩</t>
    <phoneticPr fontId="11" type="noConversion"/>
  </si>
  <si>
    <t>王龙波</t>
    <phoneticPr fontId="11" type="noConversion"/>
  </si>
  <si>
    <t>三峡新能源调兵山风电有限公司</t>
    <phoneticPr fontId="11" type="noConversion"/>
  </si>
  <si>
    <t>2014.07.05</t>
    <phoneticPr fontId="11" type="noConversion"/>
  </si>
  <si>
    <t>调兵山（华仪 泉眼沟）</t>
    <phoneticPr fontId="11" type="noConversion"/>
  </si>
  <si>
    <t>贾本玉</t>
    <phoneticPr fontId="11" type="noConversion"/>
  </si>
  <si>
    <t>德京（福建）电通技术开发有限公司</t>
    <phoneticPr fontId="11" type="noConversion"/>
  </si>
  <si>
    <t>云霄曾江</t>
  </si>
  <si>
    <t>验收款30%</t>
    <phoneticPr fontId="11" type="noConversion"/>
  </si>
  <si>
    <t>秦英飞</t>
    <phoneticPr fontId="11" type="noConversion"/>
  </si>
  <si>
    <t>2016.07.12</t>
    <phoneticPr fontId="11" type="noConversion"/>
  </si>
  <si>
    <t>北京金风慧能技术有限公司</t>
    <phoneticPr fontId="11" type="noConversion"/>
  </si>
  <si>
    <t>吐鲁番白杨河/珍珠泉小草湖北</t>
    <phoneticPr fontId="11" type="noConversion"/>
  </si>
  <si>
    <t>2016.07.13</t>
    <phoneticPr fontId="11" type="noConversion"/>
  </si>
  <si>
    <t>验收款95%</t>
    <phoneticPr fontId="11" type="noConversion"/>
  </si>
  <si>
    <t>宾县大泉子风力发电有限公司</t>
    <phoneticPr fontId="11" type="noConversion"/>
  </si>
  <si>
    <t>验收款90%</t>
    <phoneticPr fontId="11" type="noConversion"/>
  </si>
  <si>
    <t>2016.07.18</t>
    <phoneticPr fontId="11" type="noConversion"/>
  </si>
  <si>
    <t>宾县大泉子</t>
    <phoneticPr fontId="11" type="noConversion"/>
  </si>
  <si>
    <t>贾本玉</t>
    <phoneticPr fontId="11" type="noConversion"/>
  </si>
  <si>
    <t>三峡新能源彰武发电有限公司</t>
    <phoneticPr fontId="11" type="noConversion"/>
  </si>
  <si>
    <t>2016.07.19</t>
    <phoneticPr fontId="11" type="noConversion"/>
  </si>
  <si>
    <t>彰武王家</t>
    <phoneticPr fontId="11" type="noConversion"/>
  </si>
  <si>
    <t>验收款15%</t>
    <phoneticPr fontId="11" type="noConversion"/>
  </si>
  <si>
    <t>50%服务费</t>
  </si>
  <si>
    <t>50%服务费</t>
    <phoneticPr fontId="11" type="noConversion"/>
  </si>
  <si>
    <t>桦南北架山</t>
    <phoneticPr fontId="11" type="noConversion"/>
  </si>
  <si>
    <t>2016.07.20</t>
    <phoneticPr fontId="11" type="noConversion"/>
  </si>
  <si>
    <t>2016.07.20</t>
    <phoneticPr fontId="11" type="noConversion"/>
  </si>
  <si>
    <t>大唐集贤风力发电有限公司</t>
    <phoneticPr fontId="11" type="noConversion"/>
  </si>
  <si>
    <t>集贤太阳山</t>
    <phoneticPr fontId="11" type="noConversion"/>
  </si>
  <si>
    <t>部分验收款</t>
    <phoneticPr fontId="11" type="noConversion"/>
  </si>
  <si>
    <t>2016.07.21</t>
    <phoneticPr fontId="11" type="noConversion"/>
  </si>
  <si>
    <t>湘电风能有限公司</t>
    <phoneticPr fontId="11" type="noConversion"/>
  </si>
  <si>
    <t>骆驼沟二期/坝头二期</t>
    <phoneticPr fontId="11" type="noConversion"/>
  </si>
  <si>
    <t>王龙波</t>
    <phoneticPr fontId="11" type="noConversion"/>
  </si>
  <si>
    <t>2016.07.25</t>
    <phoneticPr fontId="11" type="noConversion"/>
  </si>
  <si>
    <t>依兰晨光</t>
    <phoneticPr fontId="11" type="noConversion"/>
  </si>
  <si>
    <t>湘电风能有限公司</t>
    <phoneticPr fontId="11" type="noConversion"/>
  </si>
  <si>
    <t>2016.08.01</t>
    <phoneticPr fontId="11" type="noConversion"/>
  </si>
  <si>
    <t>华电虎林风力发电有限公司</t>
    <phoneticPr fontId="11" type="noConversion"/>
  </si>
  <si>
    <t>石青山</t>
    <phoneticPr fontId="11" type="noConversion"/>
  </si>
  <si>
    <t>验收款20%</t>
    <phoneticPr fontId="11" type="noConversion"/>
  </si>
  <si>
    <t>2016.08.09</t>
    <phoneticPr fontId="11" type="noConversion"/>
  </si>
  <si>
    <t>贾本玉</t>
    <phoneticPr fontId="11" type="noConversion"/>
  </si>
  <si>
    <t>新疆华电苦水风电有限责任公司</t>
    <phoneticPr fontId="11" type="noConversion"/>
  </si>
  <si>
    <t>苦水</t>
    <phoneticPr fontId="11" type="noConversion"/>
  </si>
  <si>
    <t>2016.08.16</t>
    <phoneticPr fontId="11" type="noConversion"/>
  </si>
  <si>
    <t>新疆华电淖毛湖风电有限责任公司</t>
    <phoneticPr fontId="11" type="noConversion"/>
  </si>
  <si>
    <t>淖毛湖一期
淖毛湖二期</t>
    <phoneticPr fontId="11" type="noConversion"/>
  </si>
  <si>
    <t>哈密力诺太阳能电力有限公司</t>
    <phoneticPr fontId="11" type="noConversion"/>
  </si>
  <si>
    <t>力诺石城子</t>
    <phoneticPr fontId="11" type="noConversion"/>
  </si>
  <si>
    <t>伊吾东方民生新能源有限公司</t>
    <phoneticPr fontId="11" type="noConversion"/>
  </si>
  <si>
    <t>东方民生淖毛湖</t>
    <phoneticPr fontId="11" type="noConversion"/>
  </si>
  <si>
    <t>新疆华电十三间房风电有限责任公司</t>
    <phoneticPr fontId="11" type="noConversion"/>
  </si>
  <si>
    <t>十三间房三期</t>
    <phoneticPr fontId="11" type="noConversion"/>
  </si>
  <si>
    <t>哈密市东方民生太阳能源开发有限公司</t>
    <phoneticPr fontId="11" type="noConversion"/>
  </si>
  <si>
    <t>东方民生石城子</t>
    <phoneticPr fontId="11" type="noConversion"/>
  </si>
  <si>
    <t>巴里坤东方民生新能源有限公司</t>
    <phoneticPr fontId="11" type="noConversion"/>
  </si>
  <si>
    <t>东方民生三塘湖一期
东方民生三塘湖二三四期</t>
    <phoneticPr fontId="11" type="noConversion"/>
  </si>
  <si>
    <t>2016.08.18</t>
    <phoneticPr fontId="11" type="noConversion"/>
  </si>
  <si>
    <t>广东明阳风电产业集团有限公司</t>
    <phoneticPr fontId="11" type="noConversion"/>
  </si>
  <si>
    <t>后湾兔</t>
    <phoneticPr fontId="11" type="noConversion"/>
  </si>
  <si>
    <t>2016.08.19</t>
    <phoneticPr fontId="11" type="noConversion"/>
  </si>
  <si>
    <t>长岭中电建新能源风力发电有限责任公司</t>
    <phoneticPr fontId="11" type="noConversion"/>
  </si>
  <si>
    <t>长岭王子</t>
    <phoneticPr fontId="11" type="noConversion"/>
  </si>
  <si>
    <t>陈慧群</t>
    <phoneticPr fontId="11" type="noConversion"/>
  </si>
  <si>
    <t>部分预付款</t>
    <phoneticPr fontId="11" type="noConversion"/>
  </si>
  <si>
    <t>2016.08.23</t>
    <phoneticPr fontId="11" type="noConversion"/>
  </si>
  <si>
    <t>中水电中电风力发电有限公司</t>
    <phoneticPr fontId="11" type="noConversion"/>
  </si>
  <si>
    <t>华电福新新疆木垒能源有限公司</t>
  </si>
  <si>
    <t>昌吉州木垒一期</t>
    <phoneticPr fontId="11" type="noConversion"/>
  </si>
  <si>
    <t>2016.08.25</t>
    <phoneticPr fontId="11" type="noConversion"/>
  </si>
  <si>
    <t>2016.09.09</t>
    <phoneticPr fontId="11" type="noConversion"/>
  </si>
  <si>
    <t>张北华实建投风能有限公司</t>
    <phoneticPr fontId="11" type="noConversion"/>
  </si>
  <si>
    <t>曹碾沟</t>
    <phoneticPr fontId="11" type="noConversion"/>
  </si>
  <si>
    <t>哈密中核风电有限公司</t>
    <phoneticPr fontId="11" type="noConversion"/>
  </si>
  <si>
    <t>哈密烟墩8C</t>
    <phoneticPr fontId="11" type="noConversion"/>
  </si>
  <si>
    <t>中国水电建设集团新能源开发有限责任公司长岭风电分公司</t>
    <phoneticPr fontId="11" type="noConversion"/>
  </si>
  <si>
    <t>大唐桦川风力发电有限公司</t>
    <phoneticPr fontId="11" type="noConversion"/>
  </si>
  <si>
    <t>桦川苏家店</t>
    <phoneticPr fontId="11" type="noConversion"/>
  </si>
  <si>
    <t>2016.09.20</t>
    <phoneticPr fontId="11" type="noConversion"/>
  </si>
  <si>
    <t>2016.09.18</t>
    <phoneticPr fontId="11" type="noConversion"/>
  </si>
  <si>
    <t>2016.09.12</t>
    <phoneticPr fontId="11" type="noConversion"/>
  </si>
  <si>
    <t>50%服务费</t>
    <phoneticPr fontId="11" type="noConversion"/>
  </si>
  <si>
    <t>中电投宁夏能源铝业中卫新能源有限公司</t>
    <phoneticPr fontId="11" type="noConversion"/>
  </si>
  <si>
    <t>2016.09.30</t>
    <phoneticPr fontId="11" type="noConversion"/>
  </si>
  <si>
    <t>中卫香山第四期</t>
    <phoneticPr fontId="11" type="noConversion"/>
  </si>
  <si>
    <t>部分验收款+半年服务费</t>
    <phoneticPr fontId="11" type="noConversion"/>
  </si>
  <si>
    <t>2016.10.19</t>
    <phoneticPr fontId="11" type="noConversion"/>
  </si>
  <si>
    <t>中国大唐集团财务有限公司</t>
    <phoneticPr fontId="11" type="noConversion"/>
  </si>
  <si>
    <t>小草湖</t>
    <phoneticPr fontId="11" type="noConversion"/>
  </si>
  <si>
    <t>剩余验收款</t>
    <phoneticPr fontId="11" type="noConversion"/>
  </si>
  <si>
    <t>华能江西清洁能源有限责任公司</t>
    <phoneticPr fontId="11" type="noConversion"/>
  </si>
  <si>
    <t>2016.10.24</t>
    <phoneticPr fontId="11" type="noConversion"/>
  </si>
  <si>
    <t>灵华山</t>
    <phoneticPr fontId="11" type="noConversion"/>
  </si>
  <si>
    <t>预付款10%</t>
    <phoneticPr fontId="11" type="noConversion"/>
  </si>
  <si>
    <t>2016.10.26</t>
    <phoneticPr fontId="11" type="noConversion"/>
  </si>
  <si>
    <t>大唐依兰风力发电有限公司</t>
    <phoneticPr fontId="11" type="noConversion"/>
  </si>
  <si>
    <t>25%服务费</t>
    <phoneticPr fontId="11" type="noConversion"/>
  </si>
  <si>
    <t>郭文明</t>
    <phoneticPr fontId="11" type="noConversion"/>
  </si>
  <si>
    <t>黑龙江东宁华富风力发电有限责任公司</t>
    <phoneticPr fontId="11" type="noConversion"/>
  </si>
  <si>
    <t>2016.10.26</t>
    <phoneticPr fontId="11" type="noConversion"/>
  </si>
  <si>
    <t>东宁绥阳</t>
    <phoneticPr fontId="11" type="noConversion"/>
  </si>
  <si>
    <t>贾本玉</t>
    <phoneticPr fontId="11" type="noConversion"/>
  </si>
  <si>
    <t>2016.10.27</t>
    <phoneticPr fontId="11" type="noConversion"/>
  </si>
  <si>
    <t>黑龙江华富风力发电穆棱有限责任公司</t>
    <phoneticPr fontId="11" type="noConversion"/>
  </si>
  <si>
    <t>十文字</t>
    <phoneticPr fontId="11" type="noConversion"/>
  </si>
  <si>
    <t>同江街津山</t>
    <phoneticPr fontId="11" type="noConversion"/>
  </si>
  <si>
    <t>大庆和平</t>
    <phoneticPr fontId="11" type="noConversion"/>
  </si>
  <si>
    <t>东宁瑞信风力发电开发有限公司</t>
    <phoneticPr fontId="11" type="noConversion"/>
  </si>
  <si>
    <t>2016.10.27</t>
    <phoneticPr fontId="11" type="noConversion"/>
  </si>
  <si>
    <t>东宁瑞信</t>
    <phoneticPr fontId="11" type="noConversion"/>
  </si>
  <si>
    <t>2016.10.31</t>
    <phoneticPr fontId="11" type="noConversion"/>
  </si>
  <si>
    <t>银行承兑汇票</t>
    <phoneticPr fontId="11" type="noConversion"/>
  </si>
  <si>
    <t>中卫香山第四期</t>
    <phoneticPr fontId="11" type="noConversion"/>
  </si>
  <si>
    <t>杨振坤</t>
    <phoneticPr fontId="11" type="noConversion"/>
  </si>
  <si>
    <t>2016.11.09</t>
    <phoneticPr fontId="11" type="noConversion"/>
  </si>
  <si>
    <t>富裕友谊一期</t>
    <phoneticPr fontId="11" type="noConversion"/>
  </si>
  <si>
    <t>南京南瑞继保工程技术有限公司</t>
    <phoneticPr fontId="11" type="noConversion"/>
  </si>
  <si>
    <t>验收款40%</t>
    <phoneticPr fontId="11" type="noConversion"/>
  </si>
  <si>
    <t>2016.11.09</t>
    <phoneticPr fontId="11" type="noConversion"/>
  </si>
  <si>
    <t>兴凯湖（蜂蜜山）</t>
    <phoneticPr fontId="11" type="noConversion"/>
  </si>
  <si>
    <t>50%服务费</t>
    <phoneticPr fontId="11" type="noConversion"/>
  </si>
  <si>
    <t>兴凯湖（柳毛）</t>
  </si>
  <si>
    <t>兴凯湖（临河）</t>
  </si>
  <si>
    <t>2016.11.10</t>
    <phoneticPr fontId="11" type="noConversion"/>
  </si>
  <si>
    <t>2016.11.10</t>
    <phoneticPr fontId="11" type="noConversion"/>
  </si>
  <si>
    <t>部分合同款</t>
    <phoneticPr fontId="11" type="noConversion"/>
  </si>
  <si>
    <t>杨振坤</t>
    <phoneticPr fontId="11" type="noConversion"/>
  </si>
  <si>
    <t>银川瑞明太阳能发电有限公司</t>
    <phoneticPr fontId="11" type="noConversion"/>
  </si>
  <si>
    <t>2016.11.10</t>
    <phoneticPr fontId="11" type="noConversion"/>
  </si>
  <si>
    <t>银川瑞明光伏电站</t>
    <phoneticPr fontId="11" type="noConversion"/>
  </si>
  <si>
    <t>哈尔滨依兰华富风力发电有限公司</t>
    <phoneticPr fontId="11" type="noConversion"/>
  </si>
  <si>
    <t>2016.11.11</t>
    <phoneticPr fontId="11" type="noConversion"/>
  </si>
  <si>
    <t>鸡冠山</t>
    <phoneticPr fontId="11" type="noConversion"/>
  </si>
  <si>
    <t>2016.11.14</t>
    <phoneticPr fontId="11" type="noConversion"/>
  </si>
  <si>
    <t>七台河丰润风力发电有限公司</t>
    <phoneticPr fontId="11" type="noConversion"/>
  </si>
  <si>
    <t>前锋</t>
    <phoneticPr fontId="11" type="noConversion"/>
  </si>
  <si>
    <t>2016.11.15</t>
    <phoneticPr fontId="11" type="noConversion"/>
  </si>
  <si>
    <t>2016.11.15</t>
    <phoneticPr fontId="11" type="noConversion"/>
  </si>
  <si>
    <t>兴凯湖（潘家店）</t>
    <phoneticPr fontId="11" type="noConversion"/>
  </si>
  <si>
    <t>龙江哈拉海乡（中航龙腾）</t>
    <phoneticPr fontId="11" type="noConversion"/>
  </si>
  <si>
    <t>龙江杏山风力发电有限公司</t>
    <phoneticPr fontId="11" type="noConversion"/>
  </si>
  <si>
    <t>2016.11.21</t>
    <phoneticPr fontId="11" type="noConversion"/>
  </si>
  <si>
    <t>龙江哈拉海乡（中航龙腾）</t>
    <phoneticPr fontId="11" type="noConversion"/>
  </si>
  <si>
    <t>长岭中电建新能源风力发电有限责任公司</t>
    <phoneticPr fontId="11" type="noConversion"/>
  </si>
  <si>
    <t>长岭王子</t>
    <phoneticPr fontId="11" type="noConversion"/>
  </si>
  <si>
    <t>2016.11.23</t>
    <phoneticPr fontId="11" type="noConversion"/>
  </si>
  <si>
    <t>部分验收款</t>
    <phoneticPr fontId="11" type="noConversion"/>
  </si>
  <si>
    <t>陈慧群</t>
    <phoneticPr fontId="11" type="noConversion"/>
  </si>
  <si>
    <t>三峡新能源调兵山风电有限公司</t>
    <phoneticPr fontId="11" type="noConversion"/>
  </si>
  <si>
    <t>调兵山（华仪 泉眼沟）</t>
    <phoneticPr fontId="11" type="noConversion"/>
  </si>
  <si>
    <t>贾本玉</t>
    <phoneticPr fontId="11" type="noConversion"/>
  </si>
  <si>
    <t>验收款95%</t>
    <phoneticPr fontId="11" type="noConversion"/>
  </si>
  <si>
    <t>中水电中电风力发电有限公司</t>
    <phoneticPr fontId="11" type="noConversion"/>
  </si>
  <si>
    <t>2016.11.24</t>
    <phoneticPr fontId="11" type="noConversion"/>
  </si>
  <si>
    <t>陈慧群</t>
    <phoneticPr fontId="11" type="noConversion"/>
  </si>
  <si>
    <t>2016.11.28</t>
    <phoneticPr fontId="11" type="noConversion"/>
  </si>
  <si>
    <t>2016.11.28</t>
    <phoneticPr fontId="11" type="noConversion"/>
  </si>
  <si>
    <t>双鸭山老平岗风力发电有限公司</t>
    <phoneticPr fontId="11" type="noConversion"/>
  </si>
  <si>
    <t>双鸭山锅盔山风力发电有限公司</t>
    <phoneticPr fontId="11" type="noConversion"/>
  </si>
  <si>
    <t>锅盔山（老平岗）</t>
    <phoneticPr fontId="11" type="noConversion"/>
  </si>
  <si>
    <t>锅盔山</t>
    <phoneticPr fontId="11" type="noConversion"/>
  </si>
  <si>
    <t>2016.11.29</t>
    <phoneticPr fontId="11" type="noConversion"/>
  </si>
  <si>
    <t>2016.11.29</t>
    <phoneticPr fontId="11" type="noConversion"/>
  </si>
  <si>
    <t>双鸭山杨木岗风力发电有限公司</t>
    <phoneticPr fontId="11" type="noConversion"/>
  </si>
  <si>
    <t>锅盔山（杨木岗）</t>
    <phoneticPr fontId="11" type="noConversion"/>
  </si>
  <si>
    <t>2016.12.6</t>
    <phoneticPr fontId="11" type="noConversion"/>
  </si>
  <si>
    <t>福煤大蚶山（莆田）风电有限公司</t>
    <phoneticPr fontId="11" type="noConversion"/>
  </si>
  <si>
    <t>大蚶山</t>
    <phoneticPr fontId="11" type="noConversion"/>
  </si>
  <si>
    <t>秦英飞</t>
    <phoneticPr fontId="11" type="noConversion"/>
  </si>
  <si>
    <t>福能（漳州）风力发电有限责任公司</t>
    <phoneticPr fontId="11" type="noConversion"/>
  </si>
  <si>
    <t>龙海隆教</t>
    <phoneticPr fontId="11" type="noConversion"/>
  </si>
  <si>
    <t>2016.12.7</t>
    <phoneticPr fontId="11" type="noConversion"/>
  </si>
  <si>
    <t>上海电气风电设备东台有限公司</t>
    <phoneticPr fontId="11" type="noConversion"/>
  </si>
  <si>
    <t>中卫香山第六风电场</t>
    <phoneticPr fontId="11" type="noConversion"/>
  </si>
  <si>
    <t>杨振坤</t>
    <phoneticPr fontId="11" type="noConversion"/>
  </si>
  <si>
    <t>草山</t>
    <phoneticPr fontId="11" type="noConversion"/>
  </si>
  <si>
    <t>福能（仙游）风力发电有限责任公司</t>
    <phoneticPr fontId="11" type="noConversion"/>
  </si>
  <si>
    <t>华电虎林风力发电有限公司</t>
    <phoneticPr fontId="11" type="noConversion"/>
  </si>
  <si>
    <t>七台河宏浩风力发电有限公司</t>
    <phoneticPr fontId="11" type="noConversion"/>
  </si>
  <si>
    <t>石青山</t>
    <phoneticPr fontId="11" type="noConversion"/>
  </si>
  <si>
    <t>贾志楠</t>
    <phoneticPr fontId="11" type="noConversion"/>
  </si>
  <si>
    <t>2016.12.8</t>
    <phoneticPr fontId="11" type="noConversion"/>
  </si>
  <si>
    <t>福煤大蚶山（莆田）风电有限公司</t>
    <phoneticPr fontId="11" type="noConversion"/>
  </si>
  <si>
    <t>大蚶山</t>
    <phoneticPr fontId="11" type="noConversion"/>
  </si>
  <si>
    <t>福能（漳州）风力发电有限责任公司</t>
    <phoneticPr fontId="11" type="noConversion"/>
  </si>
  <si>
    <t>龙海隆教</t>
    <phoneticPr fontId="11" type="noConversion"/>
  </si>
  <si>
    <t>伊春龙源金山风力发电有限公司</t>
    <phoneticPr fontId="11" type="noConversion"/>
  </si>
  <si>
    <t>2016.12.13</t>
    <phoneticPr fontId="11" type="noConversion"/>
  </si>
  <si>
    <t>白山</t>
    <phoneticPr fontId="11" type="noConversion"/>
  </si>
  <si>
    <t>贾志楠</t>
    <phoneticPr fontId="11" type="noConversion"/>
  </si>
  <si>
    <t>2016.12.14</t>
    <phoneticPr fontId="11" type="noConversion"/>
  </si>
  <si>
    <t>大唐依兰风力发电有限公司</t>
    <phoneticPr fontId="11" type="noConversion"/>
  </si>
  <si>
    <t>晨光</t>
    <phoneticPr fontId="11" type="noConversion"/>
  </si>
  <si>
    <t>郭文明</t>
    <phoneticPr fontId="11" type="noConversion"/>
  </si>
  <si>
    <t>2016.12.14</t>
    <phoneticPr fontId="11" type="noConversion"/>
  </si>
  <si>
    <t>新疆华电苦水风电有限责任公司</t>
    <phoneticPr fontId="11" type="noConversion"/>
  </si>
  <si>
    <t>石城子三期</t>
    <phoneticPr fontId="25" type="noConversion"/>
  </si>
  <si>
    <t>石城子一二期</t>
    <phoneticPr fontId="25" type="noConversion"/>
  </si>
  <si>
    <t>王龙波</t>
    <phoneticPr fontId="11" type="noConversion"/>
  </si>
  <si>
    <t>2016.12.15</t>
    <phoneticPr fontId="11" type="noConversion"/>
  </si>
  <si>
    <t>2016.12.14</t>
    <phoneticPr fontId="11" type="noConversion"/>
  </si>
  <si>
    <t>中国水电建设集团新能源开发有限责任公司长岭风电分公司</t>
    <phoneticPr fontId="11" type="noConversion"/>
  </si>
  <si>
    <t>长岭王子</t>
    <phoneticPr fontId="11" type="noConversion"/>
  </si>
  <si>
    <t>陈慧群</t>
    <phoneticPr fontId="11" type="noConversion"/>
  </si>
  <si>
    <t>部分验收款</t>
    <phoneticPr fontId="11" type="noConversion"/>
  </si>
  <si>
    <t>部分验收款</t>
    <phoneticPr fontId="11" type="noConversion"/>
  </si>
  <si>
    <t>三峡新能源开原风电有限公司</t>
    <phoneticPr fontId="11" type="noConversion"/>
  </si>
  <si>
    <t>开原威远</t>
    <phoneticPr fontId="11" type="noConversion"/>
  </si>
  <si>
    <t>贾志楠</t>
    <phoneticPr fontId="11" type="noConversion"/>
  </si>
  <si>
    <t>2016.12.16</t>
    <phoneticPr fontId="11" type="noConversion"/>
  </si>
  <si>
    <t>桦南龙源风力发电有限公司</t>
    <phoneticPr fontId="11" type="noConversion"/>
  </si>
  <si>
    <t>横岱山</t>
    <phoneticPr fontId="11" type="noConversion"/>
  </si>
  <si>
    <t>2016.12.19</t>
    <phoneticPr fontId="11" type="noConversion"/>
  </si>
  <si>
    <t>大庆龙源风力发电有限公司</t>
    <phoneticPr fontId="11" type="noConversion"/>
  </si>
  <si>
    <t>大庆草原</t>
  </si>
  <si>
    <t>鹤岗龙源风力发电有限公司</t>
    <phoneticPr fontId="11" type="noConversion"/>
  </si>
  <si>
    <t>望云峰</t>
    <phoneticPr fontId="11" type="noConversion"/>
  </si>
  <si>
    <t>通河龙源风力发电有限公司</t>
    <phoneticPr fontId="11" type="noConversion"/>
  </si>
  <si>
    <t>岔林河</t>
    <phoneticPr fontId="11" type="noConversion"/>
  </si>
  <si>
    <t>桦南龙源雄亚风力发电有限公司</t>
    <phoneticPr fontId="11" type="noConversion"/>
  </si>
  <si>
    <t>驿马山</t>
    <phoneticPr fontId="11" type="noConversion"/>
  </si>
  <si>
    <t>双鸭山龙源风力发电有限公司</t>
    <phoneticPr fontId="11" type="noConversion"/>
  </si>
  <si>
    <t>蝙蝠山</t>
    <phoneticPr fontId="11" type="noConversion"/>
  </si>
  <si>
    <t>抚远龙源风力发电有限公司</t>
    <phoneticPr fontId="11" type="noConversion"/>
  </si>
  <si>
    <t>大蜂山</t>
    <phoneticPr fontId="11" type="noConversion"/>
  </si>
  <si>
    <t>黑龙江龙源风力发电有限公司</t>
    <phoneticPr fontId="11" type="noConversion"/>
  </si>
  <si>
    <t>夹信山</t>
    <phoneticPr fontId="11" type="noConversion"/>
  </si>
  <si>
    <t>伊春龙源风力发电有限公司</t>
    <phoneticPr fontId="11" type="noConversion"/>
  </si>
  <si>
    <t>小城山</t>
    <phoneticPr fontId="11" type="noConversion"/>
  </si>
  <si>
    <t>国电招远新能源有限公司</t>
    <phoneticPr fontId="11" type="noConversion"/>
  </si>
  <si>
    <t>招远（夏甸国电）</t>
    <phoneticPr fontId="11" type="noConversion"/>
  </si>
  <si>
    <t>于忠新</t>
    <phoneticPr fontId="11" type="noConversion"/>
  </si>
  <si>
    <t>国华（神木）新能源有限公司</t>
    <phoneticPr fontId="11" type="noConversion"/>
  </si>
  <si>
    <t>大柳塔</t>
    <phoneticPr fontId="11" type="noConversion"/>
  </si>
  <si>
    <t>杨振坤</t>
    <phoneticPr fontId="11" type="noConversion"/>
  </si>
  <si>
    <t>2016.12.20</t>
    <phoneticPr fontId="11" type="noConversion"/>
  </si>
  <si>
    <t>黑河龙源风力发电有限公司</t>
    <phoneticPr fontId="11" type="noConversion"/>
  </si>
  <si>
    <t>大黑山</t>
    <phoneticPr fontId="11" type="noConversion"/>
  </si>
  <si>
    <t>海林龙源风力发电有限公司</t>
    <phoneticPr fontId="11" type="noConversion"/>
  </si>
  <si>
    <t>小锅盔</t>
    <phoneticPr fontId="11" type="noConversion"/>
  </si>
  <si>
    <t>2016.12.21</t>
    <phoneticPr fontId="11" type="noConversion"/>
  </si>
  <si>
    <t>烟墩</t>
    <phoneticPr fontId="11" type="noConversion"/>
  </si>
  <si>
    <t>王龙波</t>
    <phoneticPr fontId="11" type="noConversion"/>
  </si>
  <si>
    <t>华能哈密风力发电有限公司</t>
    <phoneticPr fontId="11" type="noConversion"/>
  </si>
  <si>
    <t>15003-2016</t>
    <phoneticPr fontId="11" type="noConversion"/>
  </si>
  <si>
    <t>黑龙江龙源风力发电有限公司</t>
    <phoneticPr fontId="11" type="noConversion"/>
  </si>
  <si>
    <t>夹信山</t>
    <phoneticPr fontId="11" type="noConversion"/>
  </si>
  <si>
    <t>贾志楠</t>
    <phoneticPr fontId="11" type="noConversion"/>
  </si>
  <si>
    <t>伊春兴安岭风力发电有限公司</t>
    <phoneticPr fontId="11" type="noConversion"/>
  </si>
  <si>
    <t>伊春兴安岭风力发电有限公司</t>
    <phoneticPr fontId="11" type="noConversion"/>
  </si>
  <si>
    <t>伊春龙源风力发电有限公司</t>
    <phoneticPr fontId="11" type="noConversion"/>
  </si>
  <si>
    <t>2016.12.22</t>
    <phoneticPr fontId="11" type="noConversion"/>
  </si>
  <si>
    <t>克山龙源风力发电有限公司</t>
    <phoneticPr fontId="11" type="noConversion"/>
  </si>
  <si>
    <t>曙光</t>
    <phoneticPr fontId="11" type="noConversion"/>
  </si>
  <si>
    <t>克东龙源风力发电有限公司</t>
    <phoneticPr fontId="11" type="noConversion"/>
  </si>
  <si>
    <t>克东爱华</t>
    <phoneticPr fontId="11" type="noConversion"/>
  </si>
  <si>
    <t>克山龙源风力发电有限公司</t>
    <phoneticPr fontId="11" type="noConversion"/>
  </si>
  <si>
    <t>曙光</t>
    <phoneticPr fontId="11" type="noConversion"/>
  </si>
  <si>
    <t>小城山</t>
    <phoneticPr fontId="11" type="noConversion"/>
  </si>
  <si>
    <t>大北山</t>
    <phoneticPr fontId="11" type="noConversion"/>
  </si>
  <si>
    <t>于忠新</t>
    <phoneticPr fontId="11" type="noConversion"/>
  </si>
  <si>
    <t>带领东山</t>
    <phoneticPr fontId="11" type="noConversion"/>
  </si>
  <si>
    <t>带岭东山</t>
    <phoneticPr fontId="11" type="noConversion"/>
  </si>
  <si>
    <t>大箐山/石帽顶子/耳朵眼</t>
    <phoneticPr fontId="11" type="noConversion"/>
  </si>
  <si>
    <t>90%%</t>
    <phoneticPr fontId="11" type="noConversion"/>
  </si>
  <si>
    <t>2016.12.23</t>
    <phoneticPr fontId="11" type="noConversion"/>
  </si>
  <si>
    <t>依兰龙源风力发电有限公司</t>
    <phoneticPr fontId="11" type="noConversion"/>
  </si>
  <si>
    <t>伊春龙源雄亚风力发电有限公司</t>
    <phoneticPr fontId="11" type="noConversion"/>
  </si>
  <si>
    <t>2016.12.26</t>
    <phoneticPr fontId="11" type="noConversion"/>
  </si>
  <si>
    <t>依兰龙源风力发电有限公司</t>
    <phoneticPr fontId="11" type="noConversion"/>
  </si>
  <si>
    <t>马鞍山</t>
    <phoneticPr fontId="11" type="noConversion"/>
  </si>
  <si>
    <t>马鞍山</t>
    <phoneticPr fontId="11" type="noConversion"/>
  </si>
  <si>
    <t>白山</t>
    <phoneticPr fontId="11" type="noConversion"/>
  </si>
  <si>
    <t>2016.12.28</t>
    <phoneticPr fontId="11" type="noConversion"/>
  </si>
  <si>
    <t>龙源横山新能源有限公司</t>
    <phoneticPr fontId="11" type="noConversion"/>
  </si>
  <si>
    <t>华能江西清洁能源有限责任公司</t>
    <phoneticPr fontId="11" type="noConversion"/>
  </si>
  <si>
    <t>中广核大北山（瓦房店）风力发电有限公司</t>
    <phoneticPr fontId="11" type="noConversion"/>
  </si>
  <si>
    <t>泡崖大北山</t>
    <phoneticPr fontId="11" type="noConversion"/>
  </si>
  <si>
    <t>于忠新</t>
    <phoneticPr fontId="11" type="noConversion"/>
  </si>
  <si>
    <t>霞浦延亭</t>
    <phoneticPr fontId="11" type="noConversion"/>
  </si>
  <si>
    <t>秦英飞</t>
    <phoneticPr fontId="11" type="noConversion"/>
  </si>
  <si>
    <t>中电投广西兴安风电有限公司</t>
    <phoneticPr fontId="11" type="noConversion"/>
  </si>
  <si>
    <t>申雪原</t>
    <phoneticPr fontId="11" type="noConversion"/>
  </si>
  <si>
    <t>兴安10个风场</t>
    <phoneticPr fontId="11" type="noConversion"/>
  </si>
  <si>
    <t>靖边高家沟</t>
    <phoneticPr fontId="11" type="noConversion"/>
  </si>
  <si>
    <t>杨振坤</t>
    <phoneticPr fontId="11" type="noConversion"/>
  </si>
  <si>
    <t>蒋公岭</t>
    <phoneticPr fontId="11" type="noConversion"/>
  </si>
  <si>
    <t>秦英飞</t>
    <phoneticPr fontId="11" type="noConversion"/>
  </si>
  <si>
    <t>蒋公岭二期（湖沙咀）</t>
    <phoneticPr fontId="11" type="noConversion"/>
  </si>
  <si>
    <t>三峡新能源朝阳发电有限公司</t>
    <phoneticPr fontId="11" type="noConversion"/>
  </si>
  <si>
    <t>朝阳水泉</t>
    <phoneticPr fontId="11" type="noConversion"/>
  </si>
  <si>
    <t>贾志楠</t>
    <phoneticPr fontId="11" type="noConversion"/>
  </si>
  <si>
    <t>中电投广西金紫山风电有限公司</t>
    <phoneticPr fontId="11" type="noConversion"/>
  </si>
  <si>
    <t>金紫山</t>
    <phoneticPr fontId="11" type="noConversion"/>
  </si>
  <si>
    <t>2016.12.29</t>
    <phoneticPr fontId="11" type="noConversion"/>
  </si>
  <si>
    <t>龙源横山新能源有限公司</t>
    <phoneticPr fontId="11" type="noConversion"/>
  </si>
  <si>
    <t>靖边高家沟</t>
    <phoneticPr fontId="11" type="noConversion"/>
  </si>
  <si>
    <t>杨振坤</t>
    <phoneticPr fontId="11" type="noConversion"/>
  </si>
  <si>
    <t>2016.12.23</t>
  </si>
  <si>
    <t>国电和风风电开发有限公司桦川分公司</t>
    <phoneticPr fontId="11" type="noConversion"/>
  </si>
  <si>
    <t>大青背</t>
    <phoneticPr fontId="11" type="noConversion"/>
  </si>
  <si>
    <t>2016.12.30</t>
    <phoneticPr fontId="11" type="noConversion"/>
  </si>
  <si>
    <t>林甸东明园风力发电有限公司</t>
    <phoneticPr fontId="11" type="noConversion"/>
  </si>
  <si>
    <t>贾志楠</t>
    <phoneticPr fontId="11" type="noConversion"/>
  </si>
  <si>
    <t>林甸东明园/林甸大丰</t>
    <phoneticPr fontId="11" type="noConversion"/>
  </si>
  <si>
    <t>铁岭</t>
  </si>
  <si>
    <t>于忠新</t>
  </si>
  <si>
    <t>杨振坤</t>
  </si>
  <si>
    <t>鸡西平岗</t>
  </si>
  <si>
    <t>2017.2.16</t>
  </si>
  <si>
    <t>山东龙源风力发电有限公司</t>
  </si>
  <si>
    <t>三峡新能源开原风电有限公司</t>
  </si>
  <si>
    <t>2017年销售合同回款统计表</t>
    <phoneticPr fontId="11" type="noConversion"/>
  </si>
  <si>
    <t>2017.3.17</t>
  </si>
  <si>
    <t>2017.4.19</t>
  </si>
  <si>
    <t>骆驼沟二期/坝头二期</t>
  </si>
  <si>
    <t>湖南汝城东岗岭</t>
  </si>
  <si>
    <t>石青山二期</t>
  </si>
  <si>
    <t>福能平海（莆田）风力发电有限公司</t>
  </si>
  <si>
    <t>2017.5.11</t>
  </si>
  <si>
    <t>莆田石塘</t>
  </si>
  <si>
    <t>质保款</t>
  </si>
  <si>
    <t>2017.5.24</t>
  </si>
  <si>
    <t>2017.6.23</t>
  </si>
  <si>
    <t>2017.6.27</t>
  </si>
  <si>
    <t>2017.6.28</t>
  </si>
  <si>
    <t>2017.7.13</t>
  </si>
  <si>
    <t>验收款</t>
  </si>
  <si>
    <t>2017.7.14</t>
  </si>
  <si>
    <t>林甸东明园</t>
  </si>
  <si>
    <t>2017.7.20</t>
  </si>
  <si>
    <t>柳州市和润电子科技有限责任公司</t>
  </si>
  <si>
    <t>2017.7.21</t>
  </si>
  <si>
    <t>铁岭电业奕翔（集团）有限公司</t>
  </si>
  <si>
    <t>山东大唐国际东营风电有限责任公司</t>
  </si>
  <si>
    <t>2017.8.9</t>
  </si>
  <si>
    <t>2017.8.16</t>
  </si>
  <si>
    <t>如东东凌</t>
  </si>
  <si>
    <t>2017.8.23</t>
  </si>
  <si>
    <t>部分验收款</t>
  </si>
  <si>
    <t>2017.9.15</t>
  </si>
  <si>
    <t>2017.9.21</t>
  </si>
  <si>
    <t>2017.9.22</t>
  </si>
  <si>
    <t>2017.9.26</t>
  </si>
  <si>
    <t>2017.9.27</t>
  </si>
  <si>
    <t>2017.9.28</t>
  </si>
  <si>
    <t>2017.9.29</t>
  </si>
  <si>
    <t>2017.10.10</t>
  </si>
  <si>
    <t>2017.10.11</t>
  </si>
  <si>
    <t>2017.10.12</t>
  </si>
  <si>
    <t>2017.10.18</t>
  </si>
  <si>
    <t>安邦河（杨木岗）</t>
  </si>
  <si>
    <t>安邦河（老平岗）</t>
  </si>
  <si>
    <t>2017.10.24</t>
  </si>
  <si>
    <t>2017.10.25</t>
  </si>
  <si>
    <t>2017.10.27</t>
  </si>
  <si>
    <t>灵华山</t>
  </si>
  <si>
    <t>蒋公岭（一期、二期）</t>
  </si>
  <si>
    <t>兴凯湖（潘家店）</t>
  </si>
  <si>
    <t>大庆银浪</t>
  </si>
  <si>
    <t>2017.11.9</t>
  </si>
  <si>
    <t>渠首</t>
  </si>
  <si>
    <t>摘月中广</t>
  </si>
  <si>
    <t>2017.11.22</t>
  </si>
  <si>
    <t>铁岭调兵山华仪+
三峡能源泉眼沟</t>
  </si>
  <si>
    <t>2017.11.23</t>
  </si>
  <si>
    <t>2017.11.24</t>
  </si>
  <si>
    <t>同江</t>
  </si>
  <si>
    <t>部分回款</t>
  </si>
  <si>
    <t>回款日期</t>
    <phoneticPr fontId="11" type="noConversion"/>
  </si>
  <si>
    <t>场站名称</t>
    <phoneticPr fontId="11" type="noConversion"/>
  </si>
  <si>
    <t>汇票回款(元)</t>
    <phoneticPr fontId="11" type="noConversion"/>
  </si>
  <si>
    <t>现金回款(元)</t>
    <phoneticPr fontId="11" type="noConversion"/>
  </si>
  <si>
    <t>回款比例</t>
    <phoneticPr fontId="11" type="noConversion"/>
  </si>
  <si>
    <t>款项名称</t>
    <phoneticPr fontId="11" type="noConversion"/>
  </si>
  <si>
    <t>销售经理</t>
    <phoneticPr fontId="11" type="noConversion"/>
  </si>
  <si>
    <t>备注</t>
    <phoneticPr fontId="11" type="noConversion"/>
  </si>
  <si>
    <t>2017.1.9</t>
    <phoneticPr fontId="11" type="noConversion"/>
  </si>
  <si>
    <t>2017.1.12</t>
    <phoneticPr fontId="11" type="noConversion"/>
  </si>
  <si>
    <t>国家电力投资集团公司物资装备分公司</t>
    <phoneticPr fontId="11" type="noConversion"/>
  </si>
  <si>
    <t>中卫香山</t>
    <phoneticPr fontId="11" type="noConversion"/>
  </si>
  <si>
    <t>2017.1.18</t>
    <phoneticPr fontId="11" type="noConversion"/>
  </si>
  <si>
    <t>张北华实建投风能有限公司</t>
    <phoneticPr fontId="11" type="noConversion"/>
  </si>
  <si>
    <t>曹碾沟</t>
    <phoneticPr fontId="11" type="noConversion"/>
  </si>
  <si>
    <t>王龙波</t>
    <phoneticPr fontId="11" type="noConversion"/>
  </si>
  <si>
    <t>2017.1.20</t>
    <phoneticPr fontId="11" type="noConversion"/>
  </si>
  <si>
    <t>中国华电电站装备工程集团南京输变电成套设备有限公司</t>
    <phoneticPr fontId="11" type="noConversion"/>
  </si>
  <si>
    <t>尚义二工地</t>
    <phoneticPr fontId="11" type="noConversion"/>
  </si>
  <si>
    <t>2017.1.20</t>
    <phoneticPr fontId="11" type="noConversion"/>
  </si>
  <si>
    <t>黑龙江英大电力工程有限责任公司</t>
    <phoneticPr fontId="11" type="noConversion"/>
  </si>
  <si>
    <t>安达农义</t>
    <phoneticPr fontId="11" type="noConversion"/>
  </si>
  <si>
    <t>贾志楠</t>
    <phoneticPr fontId="11" type="noConversion"/>
  </si>
  <si>
    <t>2017.1.23</t>
    <phoneticPr fontId="11" type="noConversion"/>
  </si>
  <si>
    <t>上海电气风电设备东台有限公司</t>
    <phoneticPr fontId="11" type="noConversion"/>
  </si>
  <si>
    <t>中卫香山第六风电场</t>
    <phoneticPr fontId="11" type="noConversion"/>
  </si>
  <si>
    <t>杨振坤</t>
    <phoneticPr fontId="11" type="noConversion"/>
  </si>
  <si>
    <t>大唐华安（齐齐哈尔）风力发电有限公司</t>
    <phoneticPr fontId="11" type="noConversion"/>
  </si>
  <si>
    <t>碾子山</t>
    <phoneticPr fontId="11" type="noConversion"/>
  </si>
  <si>
    <t>李妍</t>
    <phoneticPr fontId="11" type="noConversion"/>
  </si>
  <si>
    <t>2017.1.24</t>
    <phoneticPr fontId="11" type="noConversion"/>
  </si>
  <si>
    <t>大唐集贤太平风力发电有限公司</t>
    <phoneticPr fontId="11" type="noConversion"/>
  </si>
  <si>
    <t>太平</t>
    <phoneticPr fontId="11" type="noConversion"/>
  </si>
  <si>
    <t>中国能源建设集团黑龙江省电力设计院有限公司</t>
    <phoneticPr fontId="11" type="noConversion"/>
  </si>
  <si>
    <t>2017.1.26</t>
    <phoneticPr fontId="11" type="noConversion"/>
  </si>
  <si>
    <t>大庆绿源风力发电有限公司</t>
    <phoneticPr fontId="11" type="noConversion"/>
  </si>
  <si>
    <t>大庆和平</t>
    <phoneticPr fontId="26" type="noConversion"/>
  </si>
  <si>
    <t>2017.2.4</t>
    <phoneticPr fontId="11" type="noConversion"/>
  </si>
  <si>
    <t>银川瑞明太阳能发电有限公司</t>
    <phoneticPr fontId="11" type="noConversion"/>
  </si>
  <si>
    <t>银川瑞明太阳能</t>
    <phoneticPr fontId="11" type="noConversion"/>
  </si>
  <si>
    <t>部分回款</t>
    <phoneticPr fontId="11" type="noConversion"/>
  </si>
  <si>
    <t>2017.2.8</t>
    <phoneticPr fontId="11" type="noConversion"/>
  </si>
  <si>
    <t>华能同江风力发电有限公司</t>
    <phoneticPr fontId="11" type="noConversion"/>
  </si>
  <si>
    <t>同江街津山</t>
    <phoneticPr fontId="11" type="noConversion"/>
  </si>
  <si>
    <t>2017.2.9</t>
    <phoneticPr fontId="11" type="noConversion"/>
  </si>
  <si>
    <t>中国大唐集团财务有限公司</t>
    <phoneticPr fontId="11" type="noConversion"/>
  </si>
  <si>
    <t>哈密苦水</t>
    <phoneticPr fontId="11" type="noConversion"/>
  </si>
  <si>
    <t>王龙波</t>
    <phoneticPr fontId="11" type="noConversion"/>
  </si>
  <si>
    <t>2017.2.13</t>
    <phoneticPr fontId="11" type="noConversion"/>
  </si>
  <si>
    <t>华电汤原风力发电有限公司</t>
    <phoneticPr fontId="11" type="noConversion"/>
  </si>
  <si>
    <t>汤原渠首</t>
    <phoneticPr fontId="11" type="noConversion"/>
  </si>
  <si>
    <t>2017.2.15</t>
    <phoneticPr fontId="11" type="noConversion"/>
  </si>
  <si>
    <t>大唐依兰风力发电有限公司</t>
    <phoneticPr fontId="11" type="noConversion"/>
  </si>
  <si>
    <t>大唐桦南风力发电有限公司</t>
    <phoneticPr fontId="11" type="noConversion"/>
  </si>
  <si>
    <t>桦南北架山</t>
    <phoneticPr fontId="11" type="noConversion"/>
  </si>
  <si>
    <t>2017.2.16</t>
    <phoneticPr fontId="11" type="noConversion"/>
  </si>
  <si>
    <t>沾化</t>
    <phoneticPr fontId="11" type="noConversion"/>
  </si>
  <si>
    <t>于忠新</t>
    <phoneticPr fontId="11" type="noConversion"/>
  </si>
  <si>
    <t>2017.2.21</t>
    <phoneticPr fontId="11" type="noConversion"/>
  </si>
  <si>
    <t>贾志楠</t>
    <phoneticPr fontId="27" type="noConversion"/>
  </si>
  <si>
    <t>三峡新能源开原风电有限公司</t>
    <phoneticPr fontId="11" type="noConversion"/>
  </si>
  <si>
    <t>2017.3.2</t>
    <phoneticPr fontId="11" type="noConversion"/>
  </si>
  <si>
    <t>南京南瑞继保工程技术有限公司</t>
    <phoneticPr fontId="11" type="noConversion"/>
  </si>
  <si>
    <t>苏撒坡</t>
    <phoneticPr fontId="11" type="noConversion"/>
  </si>
  <si>
    <t>秦英飞</t>
    <phoneticPr fontId="11" type="noConversion"/>
  </si>
  <si>
    <t>2017.3.9</t>
    <phoneticPr fontId="11" type="noConversion"/>
  </si>
  <si>
    <t>大唐集贤风力发电有限公司</t>
    <phoneticPr fontId="11" type="noConversion"/>
  </si>
  <si>
    <t>集贤太阳山</t>
    <phoneticPr fontId="11" type="noConversion"/>
  </si>
  <si>
    <t>大唐桦川风力发电有限公司</t>
    <phoneticPr fontId="11" type="noConversion"/>
  </si>
  <si>
    <t>桦川苏家店</t>
    <phoneticPr fontId="11" type="noConversion"/>
  </si>
  <si>
    <t>2017.3.10</t>
    <phoneticPr fontId="11" type="noConversion"/>
  </si>
  <si>
    <t>富强</t>
    <phoneticPr fontId="11" type="noConversion"/>
  </si>
  <si>
    <t>2017.3.16</t>
    <phoneticPr fontId="11" type="noConversion"/>
  </si>
  <si>
    <t>华能钟祥风电有限责任公司</t>
    <phoneticPr fontId="11" type="noConversion"/>
  </si>
  <si>
    <t>钟祥胡家湾</t>
    <phoneticPr fontId="11" type="noConversion"/>
  </si>
  <si>
    <t>山东大唐国际东营风电有限责任公司</t>
    <phoneticPr fontId="11" type="noConversion"/>
  </si>
  <si>
    <t>东营</t>
    <phoneticPr fontId="11" type="noConversion"/>
  </si>
  <si>
    <t>吉林风力发电股份有限公司</t>
    <phoneticPr fontId="11" type="noConversion"/>
  </si>
  <si>
    <t>长岭174</t>
    <phoneticPr fontId="11" type="noConversion"/>
  </si>
  <si>
    <t>陈慧群</t>
    <phoneticPr fontId="11" type="noConversion"/>
  </si>
  <si>
    <t>2017.3.23</t>
    <phoneticPr fontId="11" type="noConversion"/>
  </si>
  <si>
    <t>开原威远</t>
    <phoneticPr fontId="11" type="noConversion"/>
  </si>
  <si>
    <t>2017.3.29</t>
    <phoneticPr fontId="11" type="noConversion"/>
  </si>
  <si>
    <t>三塘湖</t>
    <phoneticPr fontId="11" type="noConversion"/>
  </si>
  <si>
    <t>华能江西清洁能源有限责任公司</t>
    <phoneticPr fontId="11" type="noConversion"/>
  </si>
  <si>
    <t>蒋公岭</t>
    <phoneticPr fontId="11" type="noConversion"/>
  </si>
  <si>
    <t>2017.4.6</t>
    <phoneticPr fontId="11" type="noConversion"/>
  </si>
  <si>
    <t>乾安网新风电有限公司</t>
    <phoneticPr fontId="11" type="noConversion"/>
  </si>
  <si>
    <t>乾安网新</t>
    <phoneticPr fontId="11" type="noConversion"/>
  </si>
  <si>
    <t>2017.4.18</t>
    <phoneticPr fontId="11" type="noConversion"/>
  </si>
  <si>
    <t>哈密市东方民生太阳能源开发有限公司</t>
    <phoneticPr fontId="11" type="noConversion"/>
  </si>
  <si>
    <t>东方民生石城子</t>
    <phoneticPr fontId="11" type="noConversion"/>
  </si>
  <si>
    <t>三峡新能源调兵山风电有限公司</t>
    <phoneticPr fontId="11" type="noConversion"/>
  </si>
  <si>
    <t>调兵山</t>
    <phoneticPr fontId="11" type="noConversion"/>
  </si>
  <si>
    <t>2017.4.20</t>
    <phoneticPr fontId="11" type="noConversion"/>
  </si>
  <si>
    <t>大庆和平</t>
    <phoneticPr fontId="11" type="noConversion"/>
  </si>
  <si>
    <t>郭文明</t>
    <phoneticPr fontId="11" type="noConversion"/>
  </si>
  <si>
    <t>2017.4.24</t>
    <phoneticPr fontId="11" type="noConversion"/>
  </si>
  <si>
    <t>中广核安丘风力发电有限公司</t>
    <phoneticPr fontId="11" type="noConversion"/>
  </si>
  <si>
    <t>安丘摘月山</t>
    <phoneticPr fontId="11" type="noConversion"/>
  </si>
  <si>
    <t>香港风力发电（穆棱）有限公司</t>
    <phoneticPr fontId="11" type="noConversion"/>
  </si>
  <si>
    <t>代马沟</t>
    <phoneticPr fontId="11" type="noConversion"/>
  </si>
  <si>
    <t>韩志宇</t>
    <phoneticPr fontId="11" type="noConversion"/>
  </si>
  <si>
    <t>亚洲风力发电（牡丹江）有限公司</t>
    <phoneticPr fontId="11" type="noConversion"/>
  </si>
  <si>
    <t>2017.4.26</t>
    <phoneticPr fontId="11" type="noConversion"/>
  </si>
  <si>
    <t>中电投新疆能源化工集团哈密有限公司</t>
    <phoneticPr fontId="11" type="noConversion"/>
  </si>
  <si>
    <t>哈密烟墩</t>
    <phoneticPr fontId="11" type="noConversion"/>
  </si>
  <si>
    <t>2017.4.28</t>
    <phoneticPr fontId="11" type="noConversion"/>
  </si>
  <si>
    <t>华能启东风力发电有限公司</t>
    <phoneticPr fontId="11" type="noConversion"/>
  </si>
  <si>
    <t>启东</t>
    <phoneticPr fontId="11" type="noConversion"/>
  </si>
  <si>
    <t>2017.5.2</t>
    <phoneticPr fontId="11" type="noConversion"/>
  </si>
  <si>
    <t>湘电风能有限公司</t>
    <phoneticPr fontId="11" type="noConversion"/>
  </si>
  <si>
    <t>2017.5.2收到承兑汇票10万， 汇票到期日期2017.10.14 ；分两个项目， 合同13018为5.25万元，合同15002为4.75万元</t>
    <phoneticPr fontId="11" type="noConversion"/>
  </si>
  <si>
    <t>2017.5.3</t>
    <phoneticPr fontId="11" type="noConversion"/>
  </si>
  <si>
    <t>福能（龙海）风力发电有限责任公司</t>
    <phoneticPr fontId="11" type="noConversion"/>
  </si>
  <si>
    <t>龙海新村、新厝、港尾</t>
    <phoneticPr fontId="11" type="noConversion"/>
  </si>
  <si>
    <t>2017.5.10</t>
    <phoneticPr fontId="11" type="noConversion"/>
  </si>
  <si>
    <t>华电虎林风力发电有限公司</t>
    <phoneticPr fontId="11" type="noConversion"/>
  </si>
  <si>
    <t>福煤大蚶山（莆田）风电有限公司</t>
    <phoneticPr fontId="11" type="noConversion"/>
  </si>
  <si>
    <t>秦英飞</t>
    <phoneticPr fontId="11" type="noConversion"/>
  </si>
  <si>
    <t>龙海隆教及新村、新厝、港尾</t>
    <phoneticPr fontId="28" type="noConversion"/>
  </si>
  <si>
    <t>2017.5.16</t>
    <phoneticPr fontId="11" type="noConversion"/>
  </si>
  <si>
    <t>哈尔滨九洲电气股份有限公司</t>
    <phoneticPr fontId="11" type="noConversion"/>
  </si>
  <si>
    <t>安达亿晶</t>
    <phoneticPr fontId="11" type="noConversion"/>
  </si>
  <si>
    <t>预付款</t>
    <phoneticPr fontId="11" type="noConversion"/>
  </si>
  <si>
    <t>马梦迪</t>
    <phoneticPr fontId="11" type="noConversion"/>
  </si>
  <si>
    <t>2017.5.18</t>
    <phoneticPr fontId="11" type="noConversion"/>
  </si>
  <si>
    <t>中电投广西金紫山风电有限公司</t>
    <phoneticPr fontId="11" type="noConversion"/>
  </si>
  <si>
    <t>金紫山</t>
    <phoneticPr fontId="11" type="noConversion"/>
  </si>
  <si>
    <t>部分回款</t>
    <phoneticPr fontId="11" type="noConversion"/>
  </si>
  <si>
    <t>2017年服务费</t>
    <phoneticPr fontId="11" type="noConversion"/>
  </si>
  <si>
    <t>华能同江风力发电有限公司</t>
    <phoneticPr fontId="11" type="noConversion"/>
  </si>
  <si>
    <t>同江街津山</t>
    <phoneticPr fontId="11" type="noConversion"/>
  </si>
  <si>
    <t>2017年一季度服务费</t>
    <phoneticPr fontId="11" type="noConversion"/>
  </si>
  <si>
    <t>郭文明</t>
    <phoneticPr fontId="11" type="noConversion"/>
  </si>
  <si>
    <t>2017.5.22</t>
    <phoneticPr fontId="11" type="noConversion"/>
  </si>
  <si>
    <t>三峡新能源调兵山风电有限公司</t>
    <phoneticPr fontId="11" type="noConversion"/>
  </si>
  <si>
    <t>调兵山一期华仪</t>
    <phoneticPr fontId="28" type="noConversion"/>
  </si>
  <si>
    <t>姜鑫</t>
    <phoneticPr fontId="11" type="noConversion"/>
  </si>
  <si>
    <t>2017.5.22</t>
    <phoneticPr fontId="11" type="noConversion"/>
  </si>
  <si>
    <t>调兵山一期、二期</t>
    <phoneticPr fontId="28" type="noConversion"/>
  </si>
  <si>
    <t>2017.5.23</t>
    <phoneticPr fontId="11" type="noConversion"/>
  </si>
  <si>
    <t>伊春太阳风新能源有限公司</t>
    <phoneticPr fontId="11" type="noConversion"/>
  </si>
  <si>
    <t>伊春美林老白山</t>
    <phoneticPr fontId="11" type="noConversion"/>
  </si>
  <si>
    <t>工程进度款</t>
    <phoneticPr fontId="11" type="noConversion"/>
  </si>
  <si>
    <t>韩志宇</t>
    <phoneticPr fontId="11" type="noConversion"/>
  </si>
  <si>
    <t>新疆天电达坂城风力发电有限责任公司</t>
    <phoneticPr fontId="11" type="noConversion"/>
  </si>
  <si>
    <t>达坂城（天电西沟）</t>
    <phoneticPr fontId="11" type="noConversion"/>
  </si>
  <si>
    <t>试运行款</t>
    <phoneticPr fontId="11" type="noConversion"/>
  </si>
  <si>
    <t>王龙波</t>
    <phoneticPr fontId="11" type="noConversion"/>
  </si>
  <si>
    <t>三个月达标运行80% 2016.6.30应收时间</t>
    <phoneticPr fontId="11" type="noConversion"/>
  </si>
  <si>
    <t>三峡新能源彰武发电有限公司</t>
    <phoneticPr fontId="11" type="noConversion"/>
  </si>
  <si>
    <t>彰武王家</t>
    <phoneticPr fontId="11" type="noConversion"/>
  </si>
  <si>
    <t>预付款60%验收款35%</t>
    <phoneticPr fontId="11" type="noConversion"/>
  </si>
  <si>
    <t>2017.5.26</t>
    <phoneticPr fontId="11" type="noConversion"/>
  </si>
  <si>
    <t>大唐海林风力发电有限公司</t>
    <phoneticPr fontId="11" type="noConversion"/>
  </si>
  <si>
    <t>海林威虎山</t>
    <phoneticPr fontId="11" type="noConversion"/>
  </si>
  <si>
    <t>验收款</t>
    <phoneticPr fontId="11" type="noConversion"/>
  </si>
  <si>
    <t>李妍</t>
    <phoneticPr fontId="11" type="noConversion"/>
  </si>
  <si>
    <t>国电物资山东配送有限公司</t>
    <phoneticPr fontId="11" type="noConversion"/>
  </si>
  <si>
    <t>招远夏甸</t>
    <phoneticPr fontId="11" type="noConversion"/>
  </si>
  <si>
    <t>质保款</t>
    <phoneticPr fontId="11" type="noConversion"/>
  </si>
  <si>
    <t>于忠新</t>
    <phoneticPr fontId="11" type="noConversion"/>
  </si>
  <si>
    <t>2017.5.26收到国电三张汇票20万到期时间2017.7.17汇票12万到期时间2017.5.7 汇票5万到期时间2017.8.8 三张汇票合计37万元分为两个项目 合同12001为20.5万元 合同12003为16.5万元</t>
    <phoneticPr fontId="11" type="noConversion"/>
  </si>
  <si>
    <t>潍坊滨海</t>
    <phoneticPr fontId="11" type="noConversion"/>
  </si>
  <si>
    <t>部分回款</t>
    <phoneticPr fontId="11" type="noConversion"/>
  </si>
  <si>
    <t>2017.5.27</t>
    <phoneticPr fontId="11" type="noConversion"/>
  </si>
  <si>
    <t>北京金风慧能技术有限公司</t>
    <phoneticPr fontId="11" type="noConversion"/>
  </si>
  <si>
    <t>东方民生三塘湖一期</t>
    <phoneticPr fontId="11" type="noConversion"/>
  </si>
  <si>
    <t>到货款</t>
    <phoneticPr fontId="11" type="noConversion"/>
  </si>
  <si>
    <t>中国二十二治集团有限公司</t>
    <phoneticPr fontId="11" type="noConversion"/>
  </si>
  <si>
    <t>昌黎大滩</t>
    <phoneticPr fontId="11" type="noConversion"/>
  </si>
  <si>
    <t>部分到货款</t>
    <phoneticPr fontId="11" type="noConversion"/>
  </si>
  <si>
    <t>2017.5.27收到承兑汇票20万到期时间2017.10.26</t>
    <phoneticPr fontId="11" type="noConversion"/>
  </si>
  <si>
    <t>2017.5.31</t>
    <phoneticPr fontId="11" type="noConversion"/>
  </si>
  <si>
    <t>2017.6.5</t>
    <phoneticPr fontId="11" type="noConversion"/>
  </si>
  <si>
    <t>中国二十二冶集团有限公司</t>
    <phoneticPr fontId="11" type="noConversion"/>
  </si>
  <si>
    <t>昌黎大滩</t>
    <phoneticPr fontId="11" type="noConversion"/>
  </si>
  <si>
    <t>部分回款</t>
    <phoneticPr fontId="11" type="noConversion"/>
  </si>
  <si>
    <t>部分到货款</t>
    <phoneticPr fontId="11" type="noConversion"/>
  </si>
  <si>
    <t>王龙波</t>
    <phoneticPr fontId="11" type="noConversion"/>
  </si>
  <si>
    <t>绍兴银行股份有限公司大唐支行</t>
    <phoneticPr fontId="11" type="noConversion"/>
  </si>
  <si>
    <t>招远夏甸</t>
    <phoneticPr fontId="11" type="noConversion"/>
  </si>
  <si>
    <t>质保款</t>
    <phoneticPr fontId="11" type="noConversion"/>
  </si>
  <si>
    <t>于忠新</t>
    <phoneticPr fontId="11" type="noConversion"/>
  </si>
  <si>
    <t>汇票进账 2017.5.26收到国电汇票12万</t>
    <phoneticPr fontId="11" type="noConversion"/>
  </si>
  <si>
    <t>柳州市和润电子科技有限责任公司</t>
    <phoneticPr fontId="11" type="noConversion"/>
  </si>
  <si>
    <t>兴安</t>
    <phoneticPr fontId="11" type="noConversion"/>
  </si>
  <si>
    <t>预付款</t>
    <phoneticPr fontId="11" type="noConversion"/>
  </si>
  <si>
    <t>秦英飞</t>
    <phoneticPr fontId="11" type="noConversion"/>
  </si>
  <si>
    <t>2017.6.9</t>
    <phoneticPr fontId="11" type="noConversion"/>
  </si>
  <si>
    <t>新疆华电淖毛湖风电有限责任公司</t>
    <phoneticPr fontId="11" type="noConversion"/>
  </si>
  <si>
    <t>淖毛湖一期
淖毛湖二期</t>
    <phoneticPr fontId="11" type="noConversion"/>
  </si>
  <si>
    <t>合同款</t>
    <phoneticPr fontId="11" type="noConversion"/>
  </si>
  <si>
    <t>巴里坤东方民生新能源有限公司</t>
    <phoneticPr fontId="11" type="noConversion"/>
  </si>
  <si>
    <t>东方民生三塘湖一期
东方民生三塘湖二三四期</t>
    <phoneticPr fontId="11" type="noConversion"/>
  </si>
  <si>
    <t>2017.6.22</t>
    <phoneticPr fontId="11" type="noConversion"/>
  </si>
  <si>
    <t>锦州和兴风力发电有限公司</t>
    <phoneticPr fontId="11" type="noConversion"/>
  </si>
  <si>
    <t>黑山龙湾</t>
    <phoneticPr fontId="11" type="noConversion"/>
  </si>
  <si>
    <t>王国先</t>
    <phoneticPr fontId="11" type="noConversion"/>
  </si>
  <si>
    <t>伊春太阳风新能源有限公司</t>
    <phoneticPr fontId="11" type="noConversion"/>
  </si>
  <si>
    <t>伊春美林老白山</t>
    <phoneticPr fontId="11" type="noConversion"/>
  </si>
  <si>
    <t>韩志宇</t>
    <phoneticPr fontId="11" type="noConversion"/>
  </si>
  <si>
    <t>2017.6.26</t>
    <phoneticPr fontId="11" type="noConversion"/>
  </si>
  <si>
    <t>德京（福建）电通技术开发有限公司</t>
    <phoneticPr fontId="11" type="noConversion"/>
  </si>
  <si>
    <t>云霄曾江</t>
    <phoneticPr fontId="11" type="noConversion"/>
  </si>
  <si>
    <t>新疆华电苇湖梁新能源有限公司</t>
    <phoneticPr fontId="11" type="noConversion"/>
  </si>
  <si>
    <t>苇湖梁东、中、西区</t>
    <phoneticPr fontId="11" type="noConversion"/>
  </si>
  <si>
    <t>服务费</t>
    <phoneticPr fontId="11" type="noConversion"/>
  </si>
  <si>
    <t>三峡新能源尚义风电有限公司</t>
    <phoneticPr fontId="11" type="noConversion"/>
  </si>
  <si>
    <t>尚义石井</t>
    <phoneticPr fontId="11" type="noConversion"/>
  </si>
  <si>
    <t>2017.7.6</t>
    <phoneticPr fontId="11" type="noConversion"/>
  </si>
  <si>
    <t>2017.7.11</t>
    <phoneticPr fontId="11" type="noConversion"/>
  </si>
  <si>
    <t>大庆绿源风力发电有限公司</t>
    <phoneticPr fontId="11" type="noConversion"/>
  </si>
  <si>
    <t>大庆和平</t>
    <phoneticPr fontId="11" type="noConversion"/>
  </si>
  <si>
    <t>部分合同款</t>
    <phoneticPr fontId="11" type="noConversion"/>
  </si>
  <si>
    <t>郭文明</t>
    <phoneticPr fontId="11" type="noConversion"/>
  </si>
  <si>
    <t>2017.7.12</t>
    <phoneticPr fontId="11" type="noConversion"/>
  </si>
  <si>
    <t>华能定边新能源发电有限公司</t>
    <phoneticPr fontId="11" type="noConversion"/>
  </si>
  <si>
    <t>狼尔沟</t>
    <phoneticPr fontId="11" type="noConversion"/>
  </si>
  <si>
    <t>到货款</t>
    <phoneticPr fontId="11" type="noConversion"/>
  </si>
  <si>
    <t>杨振坤</t>
    <phoneticPr fontId="11" type="noConversion"/>
  </si>
  <si>
    <t>大庆红骥风力发电有限公司</t>
    <phoneticPr fontId="11" type="noConversion"/>
  </si>
  <si>
    <t>大庆红骥</t>
    <phoneticPr fontId="11" type="noConversion"/>
  </si>
  <si>
    <t>验收款</t>
    <phoneticPr fontId="11" type="noConversion"/>
  </si>
  <si>
    <t>辽宁安宇新能源有限公司</t>
    <phoneticPr fontId="11" type="noConversion"/>
  </si>
  <si>
    <t>富裕友谊二期</t>
    <phoneticPr fontId="11" type="noConversion"/>
  </si>
  <si>
    <t>大唐文登风力发电有限公司</t>
    <phoneticPr fontId="11" type="noConversion"/>
  </si>
  <si>
    <t>文登</t>
    <phoneticPr fontId="11" type="noConversion"/>
  </si>
  <si>
    <t>合同款</t>
    <phoneticPr fontId="11" type="noConversion"/>
  </si>
  <si>
    <t>2017.7.17</t>
    <phoneticPr fontId="11" type="noConversion"/>
  </si>
  <si>
    <t>三峡新能源富裕风电有限公司</t>
    <phoneticPr fontId="11" type="noConversion"/>
  </si>
  <si>
    <t>富裕友谊</t>
    <phoneticPr fontId="11" type="noConversion"/>
  </si>
  <si>
    <t>服务费</t>
    <phoneticPr fontId="11" type="noConversion"/>
  </si>
  <si>
    <t>2017.7.19</t>
    <phoneticPr fontId="11" type="noConversion"/>
  </si>
  <si>
    <t>林甸东明园风力发电有限公司</t>
    <phoneticPr fontId="11" type="noConversion"/>
  </si>
  <si>
    <t>马梦迪</t>
    <phoneticPr fontId="11" type="noConversion"/>
  </si>
  <si>
    <t>兴安</t>
    <phoneticPr fontId="11" type="noConversion"/>
  </si>
  <si>
    <t>秦英飞</t>
    <phoneticPr fontId="11" type="noConversion"/>
  </si>
  <si>
    <t>2017.7.25</t>
    <phoneticPr fontId="11" type="noConversion"/>
  </si>
  <si>
    <t>大唐华安（齐齐哈尔）风力发电有限公司</t>
    <phoneticPr fontId="11" type="noConversion"/>
  </si>
  <si>
    <t>碾子山</t>
    <phoneticPr fontId="11" type="noConversion"/>
  </si>
  <si>
    <t>北京中科伏瑞电气技术有限公司</t>
    <phoneticPr fontId="11" type="noConversion"/>
  </si>
  <si>
    <t>尚义二工地</t>
    <phoneticPr fontId="11" type="noConversion"/>
  </si>
  <si>
    <t>2017.7.28</t>
    <phoneticPr fontId="11" type="noConversion"/>
  </si>
  <si>
    <t>华润新能源（明光）风能有限公司</t>
    <phoneticPr fontId="11" type="noConversion"/>
  </si>
  <si>
    <t>明光东山</t>
    <phoneticPr fontId="11" type="noConversion"/>
  </si>
  <si>
    <t>预付款</t>
    <phoneticPr fontId="11" type="noConversion"/>
  </si>
  <si>
    <t>赵亮</t>
    <phoneticPr fontId="11" type="noConversion"/>
  </si>
  <si>
    <t>大唐集贤太平风力发电有限公司</t>
    <phoneticPr fontId="11" type="noConversion"/>
  </si>
  <si>
    <t>太平</t>
    <phoneticPr fontId="11" type="noConversion"/>
  </si>
  <si>
    <t>2017.7.31</t>
    <phoneticPr fontId="11" type="noConversion"/>
  </si>
  <si>
    <t>柳州市和润电子科技有限责任公司</t>
    <phoneticPr fontId="11" type="noConversion"/>
  </si>
  <si>
    <t>2017.8.4</t>
    <phoneticPr fontId="11" type="noConversion"/>
  </si>
  <si>
    <t>辽宁铁岭高新产业园区北区</t>
    <phoneticPr fontId="29" type="noConversion"/>
  </si>
  <si>
    <t>王国先</t>
    <phoneticPr fontId="11" type="noConversion"/>
  </si>
  <si>
    <t>辽宁铁岭高新产业园区南区</t>
    <phoneticPr fontId="29" type="noConversion"/>
  </si>
  <si>
    <t>2017.8.7</t>
    <phoneticPr fontId="11" type="noConversion"/>
  </si>
  <si>
    <t>东营</t>
    <phoneticPr fontId="6" type="noConversion"/>
  </si>
  <si>
    <t>2017.8.8</t>
    <phoneticPr fontId="11" type="noConversion"/>
  </si>
  <si>
    <t>文登</t>
    <phoneticPr fontId="6" type="noConversion"/>
  </si>
  <si>
    <t>大庆银浪风力发电有限公司</t>
    <phoneticPr fontId="11" type="noConversion"/>
  </si>
  <si>
    <t>大庆银浪</t>
    <phoneticPr fontId="11" type="noConversion"/>
  </si>
  <si>
    <t>2017.8.15</t>
    <phoneticPr fontId="11" type="noConversion"/>
  </si>
  <si>
    <t>三峡新能源泰来发电有限公司</t>
    <phoneticPr fontId="11" type="noConversion"/>
  </si>
  <si>
    <t>泰来汤池</t>
    <phoneticPr fontId="11" type="noConversion"/>
  </si>
  <si>
    <t>华润新能源（南通）风能有限公司</t>
    <phoneticPr fontId="11" type="noConversion"/>
  </si>
  <si>
    <t>2017.8.22</t>
    <phoneticPr fontId="11" type="noConversion"/>
  </si>
  <si>
    <t>三峡新能源调兵山风电有限公司</t>
    <phoneticPr fontId="11" type="noConversion"/>
  </si>
  <si>
    <t>调兵山</t>
    <phoneticPr fontId="11" type="noConversion"/>
  </si>
  <si>
    <t>华能江西清洁能源有限责任公司</t>
    <phoneticPr fontId="11" type="noConversion"/>
  </si>
  <si>
    <t>灵华山</t>
    <phoneticPr fontId="11" type="noConversion"/>
  </si>
  <si>
    <t>2017.8.30</t>
    <phoneticPr fontId="11" type="noConversion"/>
  </si>
  <si>
    <t>上海电气风电设备东台有限公司</t>
    <phoneticPr fontId="11" type="noConversion"/>
  </si>
  <si>
    <t>中卫香山第六风电场</t>
    <phoneticPr fontId="11" type="noConversion"/>
  </si>
  <si>
    <t>杨振坤</t>
    <phoneticPr fontId="11" type="noConversion"/>
  </si>
  <si>
    <t>2017.9.4</t>
    <phoneticPr fontId="11" type="noConversion"/>
  </si>
  <si>
    <t>伊春华宇电力新能源有限公司</t>
    <phoneticPr fontId="11" type="noConversion"/>
  </si>
  <si>
    <t>乌伊岭阿廷河</t>
    <phoneticPr fontId="11" type="noConversion"/>
  </si>
  <si>
    <t>三峡新能源开原风电有限公司</t>
    <phoneticPr fontId="11" type="noConversion"/>
  </si>
  <si>
    <t>三峡威远</t>
    <phoneticPr fontId="11" type="noConversion"/>
  </si>
  <si>
    <t>技术服务费</t>
    <phoneticPr fontId="11" type="noConversion"/>
  </si>
  <si>
    <t>2017.9.14</t>
    <phoneticPr fontId="11" type="noConversion"/>
  </si>
  <si>
    <t>黑龙江富龙风能科技开发有限责任公司</t>
    <phoneticPr fontId="11" type="noConversion"/>
  </si>
  <si>
    <t>乌尔古力、五顶山</t>
    <phoneticPr fontId="11" type="noConversion"/>
  </si>
  <si>
    <t>大唐绥滨新能源有限公司</t>
    <phoneticPr fontId="11" type="noConversion"/>
  </si>
  <si>
    <t>绥滨吉成</t>
    <phoneticPr fontId="11" type="noConversion"/>
  </si>
  <si>
    <t>黑龙江富龙风力发电有限责任公司</t>
    <phoneticPr fontId="11" type="noConversion"/>
  </si>
  <si>
    <t>2017.9.18</t>
    <phoneticPr fontId="11" type="noConversion"/>
  </si>
  <si>
    <t>密山潘家店风力发电有限公司</t>
    <phoneticPr fontId="11" type="noConversion"/>
  </si>
  <si>
    <t>兴凯湖（潘家店）</t>
    <phoneticPr fontId="11" type="noConversion"/>
  </si>
  <si>
    <t>黑龙江北方风力发电有限公司</t>
    <phoneticPr fontId="11" type="noConversion"/>
  </si>
  <si>
    <t>兴凯湖（蜂蜜山）</t>
    <phoneticPr fontId="11" type="noConversion"/>
  </si>
  <si>
    <t>黑龙江东方风力发电有限公司</t>
    <phoneticPr fontId="11" type="noConversion"/>
  </si>
  <si>
    <t>兴凯湖（柳毛）</t>
    <phoneticPr fontId="11" type="noConversion"/>
  </si>
  <si>
    <t>2017.9.20</t>
    <phoneticPr fontId="11" type="noConversion"/>
  </si>
  <si>
    <t>山东龙源风力发电有限公司</t>
    <phoneticPr fontId="11" type="noConversion"/>
  </si>
  <si>
    <t>滨海</t>
    <phoneticPr fontId="11" type="noConversion"/>
  </si>
  <si>
    <t>大唐桦川风力发电有限公司</t>
    <phoneticPr fontId="11" type="noConversion"/>
  </si>
  <si>
    <t>苏家店</t>
    <phoneticPr fontId="11" type="noConversion"/>
  </si>
  <si>
    <t>郭文明</t>
    <phoneticPr fontId="11" type="noConversion"/>
  </si>
  <si>
    <t>大唐桦南风力发电有限公司</t>
    <phoneticPr fontId="11" type="noConversion"/>
  </si>
  <si>
    <t>北架山</t>
    <phoneticPr fontId="11" type="noConversion"/>
  </si>
  <si>
    <t>亚洲风力发电（牡丹江）有限公司</t>
    <phoneticPr fontId="11" type="noConversion"/>
  </si>
  <si>
    <t>代马沟</t>
    <phoneticPr fontId="11" type="noConversion"/>
  </si>
  <si>
    <t>国家电投集团广西兴安风电有限公司</t>
    <phoneticPr fontId="11" type="noConversion"/>
  </si>
  <si>
    <t>大唐依兰风力发电有限公司</t>
    <phoneticPr fontId="11" type="noConversion"/>
  </si>
  <si>
    <t>晨光、富强</t>
    <phoneticPr fontId="11" type="noConversion"/>
  </si>
  <si>
    <t>国华(齐齐哈尔)风电有限公司</t>
    <phoneticPr fontId="11" type="noConversion"/>
  </si>
  <si>
    <t>富裕</t>
    <phoneticPr fontId="11" type="noConversion"/>
  </si>
  <si>
    <t>哈尔滨锐驰风力发电有限责任公司</t>
    <phoneticPr fontId="11" type="noConversion"/>
  </si>
  <si>
    <t>锐驰</t>
    <phoneticPr fontId="11" type="noConversion"/>
  </si>
  <si>
    <t>中国水电建设集团新能源开发有限责任公司长岭风电分公司</t>
    <phoneticPr fontId="11" type="noConversion"/>
  </si>
  <si>
    <t>长岭王子</t>
    <phoneticPr fontId="11" type="noConversion"/>
  </si>
  <si>
    <t>2017.9.25</t>
    <phoneticPr fontId="11" type="noConversion"/>
  </si>
  <si>
    <t>国电物资集团有限公司西北物资配送中心</t>
    <phoneticPr fontId="11" type="noConversion"/>
  </si>
  <si>
    <t>芦河</t>
    <phoneticPr fontId="11" type="noConversion"/>
  </si>
  <si>
    <t>密山临河风力发电有限公司</t>
    <phoneticPr fontId="11" type="noConversion"/>
  </si>
  <si>
    <t>兴凯湖（临河）</t>
    <phoneticPr fontId="11" type="noConversion"/>
  </si>
  <si>
    <t>大唐大庆东辉新能源有限公司</t>
    <phoneticPr fontId="11" type="noConversion"/>
  </si>
  <si>
    <t>东辉</t>
    <phoneticPr fontId="11" type="noConversion"/>
  </si>
  <si>
    <t>伊春兴安岭风力发电有限公司</t>
    <phoneticPr fontId="11" type="noConversion"/>
  </si>
  <si>
    <t>大箐山/石帽顶子/耳朵眼</t>
    <phoneticPr fontId="30" type="noConversion"/>
  </si>
  <si>
    <t>黑龙江龙源新能源发展有限公司依兰分公司</t>
    <phoneticPr fontId="11" type="noConversion"/>
  </si>
  <si>
    <t>夹信山</t>
    <phoneticPr fontId="11" type="noConversion"/>
  </si>
  <si>
    <t>2017.9.27</t>
    <phoneticPr fontId="11" type="noConversion"/>
  </si>
  <si>
    <t>新疆华电苇湖梁新能源有限公司</t>
    <phoneticPr fontId="11" type="noConversion"/>
  </si>
  <si>
    <t>苇湖梁东、中、西区</t>
    <phoneticPr fontId="11" type="noConversion"/>
  </si>
  <si>
    <t>抚远龙源风力发电有限公司</t>
    <phoneticPr fontId="11" type="noConversion"/>
  </si>
  <si>
    <t>大蜂山</t>
    <phoneticPr fontId="11" type="noConversion"/>
  </si>
  <si>
    <t>哈密中核风电有限公司</t>
    <phoneticPr fontId="11" type="noConversion"/>
  </si>
  <si>
    <t>哈密烟墩8C</t>
    <phoneticPr fontId="11" type="noConversion"/>
  </si>
  <si>
    <t>2017.10.9</t>
    <phoneticPr fontId="11" type="noConversion"/>
  </si>
  <si>
    <t>海林龙源风力发电有限公司</t>
    <phoneticPr fontId="11" type="noConversion"/>
  </si>
  <si>
    <t>小锅盔</t>
    <phoneticPr fontId="11" type="noConversion"/>
  </si>
  <si>
    <t>中水电中电风力发电有限公司</t>
    <phoneticPr fontId="11" type="noConversion"/>
  </si>
  <si>
    <t>长园深瑞继保自动化有限公司</t>
    <phoneticPr fontId="11" type="noConversion"/>
  </si>
  <si>
    <t>肇源大兴乡华光</t>
    <phoneticPr fontId="11" type="noConversion"/>
  </si>
  <si>
    <t>到货款、验收款</t>
    <phoneticPr fontId="11" type="noConversion"/>
  </si>
  <si>
    <t>2017.10.12</t>
    <phoneticPr fontId="11" type="noConversion"/>
  </si>
  <si>
    <t>中航龙腾风力发电有限公司</t>
    <phoneticPr fontId="11" type="noConversion"/>
  </si>
  <si>
    <t>龙江哈拉海乡（中航龙腾）</t>
    <phoneticPr fontId="11" type="noConversion"/>
  </si>
  <si>
    <t>2017.10.17</t>
    <phoneticPr fontId="11" type="noConversion"/>
  </si>
  <si>
    <t>内蒙古华电秦天风电有限公司</t>
    <phoneticPr fontId="11" type="noConversion"/>
  </si>
  <si>
    <t>吉利</t>
    <phoneticPr fontId="11" type="noConversion"/>
  </si>
  <si>
    <t>龙江杏山风力发电有限公司</t>
    <phoneticPr fontId="11" type="noConversion"/>
  </si>
  <si>
    <t>龙江哈拉海乡（杏山）</t>
    <phoneticPr fontId="11" type="noConversion"/>
  </si>
  <si>
    <t>双鸭山锅盔山风力发电有限公司</t>
    <phoneticPr fontId="11" type="noConversion"/>
  </si>
  <si>
    <t>安邦河（锅盔山）</t>
    <phoneticPr fontId="11" type="noConversion"/>
  </si>
  <si>
    <t>2017.10.20</t>
    <phoneticPr fontId="11" type="noConversion"/>
  </si>
  <si>
    <t>2017.10.23</t>
    <phoneticPr fontId="11" type="noConversion"/>
  </si>
  <si>
    <t>双鸭山杨木岗风力发电有限公司</t>
    <phoneticPr fontId="11" type="noConversion"/>
  </si>
  <si>
    <t>双鸭山老平岗风力发电有限公司</t>
    <phoneticPr fontId="11" type="noConversion"/>
  </si>
  <si>
    <t>吉成</t>
    <phoneticPr fontId="11" type="noConversion"/>
  </si>
  <si>
    <t>华电虎林风力发电有限公司</t>
    <phoneticPr fontId="11" type="noConversion"/>
  </si>
  <si>
    <t>石青山</t>
    <phoneticPr fontId="11" type="noConversion"/>
  </si>
  <si>
    <t>七台河丰润风力发电有限公司汤原分公司</t>
    <phoneticPr fontId="11" type="noConversion"/>
  </si>
  <si>
    <t>汤原渠首</t>
    <phoneticPr fontId="11" type="noConversion"/>
  </si>
  <si>
    <t>大唐集贤风力发电有限公司</t>
    <phoneticPr fontId="11" type="noConversion"/>
  </si>
  <si>
    <t>太阳山</t>
    <phoneticPr fontId="11" type="noConversion"/>
  </si>
  <si>
    <t>2017.10.26</t>
    <phoneticPr fontId="11" type="noConversion"/>
  </si>
  <si>
    <t>七台河丰润风力发电有限公司</t>
    <phoneticPr fontId="11" type="noConversion"/>
  </si>
  <si>
    <t>七里嘎山</t>
    <phoneticPr fontId="11" type="noConversion"/>
  </si>
  <si>
    <t>2017.10.27</t>
    <phoneticPr fontId="11" type="noConversion"/>
  </si>
  <si>
    <t>中国二十二冶集团有限公司</t>
    <phoneticPr fontId="11" type="noConversion"/>
  </si>
  <si>
    <t>部分验收款</t>
    <phoneticPr fontId="11" type="noConversion"/>
  </si>
  <si>
    <t>2017.10.30</t>
    <phoneticPr fontId="11" type="noConversion"/>
  </si>
  <si>
    <t>中电投宁夏能源铝业中卫新能源有限公司</t>
    <phoneticPr fontId="11" type="noConversion"/>
  </si>
  <si>
    <t>中卫香山第四期</t>
    <phoneticPr fontId="11" type="noConversion"/>
  </si>
  <si>
    <t>部分合同款</t>
    <phoneticPr fontId="11" type="noConversion"/>
  </si>
  <si>
    <t>香港风力发电（穆棱）有限公司</t>
    <phoneticPr fontId="11" type="noConversion"/>
  </si>
  <si>
    <t>2017.10.31</t>
    <phoneticPr fontId="11" type="noConversion"/>
  </si>
  <si>
    <t>华能启东风力发电有限公司</t>
    <phoneticPr fontId="11" type="noConversion"/>
  </si>
  <si>
    <t>启东</t>
    <phoneticPr fontId="11" type="noConversion"/>
  </si>
  <si>
    <t>服务费和质保款</t>
    <phoneticPr fontId="11" type="noConversion"/>
  </si>
  <si>
    <t>合同款</t>
    <phoneticPr fontId="11" type="noConversion"/>
  </si>
  <si>
    <t>秦英飞</t>
    <phoneticPr fontId="31" type="noConversion"/>
  </si>
  <si>
    <t>2017.10.31</t>
    <phoneticPr fontId="11" type="noConversion"/>
  </si>
  <si>
    <t>华能江西清洁能源有限责任公司</t>
    <phoneticPr fontId="11" type="noConversion"/>
  </si>
  <si>
    <t>2017.11.2</t>
    <phoneticPr fontId="11" type="noConversion"/>
  </si>
  <si>
    <t>锦州和兴风力发电有限公司</t>
    <phoneticPr fontId="11" type="noConversion"/>
  </si>
  <si>
    <t>黑山龙湾</t>
    <phoneticPr fontId="11" type="noConversion"/>
  </si>
  <si>
    <t>王国先</t>
    <phoneticPr fontId="11" type="noConversion"/>
  </si>
  <si>
    <t xml:space="preserve">中国二十二冶集团有限公司 </t>
    <phoneticPr fontId="11" type="noConversion"/>
  </si>
  <si>
    <t>昌黎大滩</t>
    <phoneticPr fontId="11" type="noConversion"/>
  </si>
  <si>
    <t>王龙波</t>
    <phoneticPr fontId="11" type="noConversion"/>
  </si>
  <si>
    <t>2017.11.2收到一张承兑汇票20万元，汇票到期日期2018.4.25</t>
    <phoneticPr fontId="11" type="noConversion"/>
  </si>
  <si>
    <t>2017.11.3</t>
    <phoneticPr fontId="11" type="noConversion"/>
  </si>
  <si>
    <t>到货款</t>
    <phoneticPr fontId="11" type="noConversion"/>
  </si>
  <si>
    <t>2017.11.7</t>
    <phoneticPr fontId="11" type="noConversion"/>
  </si>
  <si>
    <t>华电铁岭风力发电有限公司</t>
    <phoneticPr fontId="11" type="noConversion"/>
  </si>
  <si>
    <t>镇西堡、李家屯、心田堡</t>
    <phoneticPr fontId="31" type="noConversion"/>
  </si>
  <si>
    <t>服务费</t>
    <phoneticPr fontId="11" type="noConversion"/>
  </si>
  <si>
    <t>2017.11.8</t>
    <phoneticPr fontId="11" type="noConversion"/>
  </si>
  <si>
    <t>大庆银浪风力发电有限公司</t>
    <phoneticPr fontId="11" type="noConversion"/>
  </si>
  <si>
    <t>韩志宇</t>
    <phoneticPr fontId="11" type="noConversion"/>
  </si>
  <si>
    <t>大唐绥滨新能源有限公司</t>
    <phoneticPr fontId="11" type="noConversion"/>
  </si>
  <si>
    <t>吉成</t>
    <phoneticPr fontId="11" type="noConversion"/>
  </si>
  <si>
    <t>验收款</t>
    <phoneticPr fontId="11" type="noConversion"/>
  </si>
  <si>
    <t>林甸东明园风力发电有限公司</t>
    <phoneticPr fontId="11" type="noConversion"/>
  </si>
  <si>
    <t>2017.11.10</t>
    <phoneticPr fontId="11" type="noConversion"/>
  </si>
  <si>
    <t>三峡新能源彰武发电有限公司</t>
    <phoneticPr fontId="11" type="noConversion"/>
  </si>
  <si>
    <t>彰武王家</t>
    <phoneticPr fontId="11" type="noConversion"/>
  </si>
  <si>
    <t>2017.11.13</t>
    <phoneticPr fontId="11" type="noConversion"/>
  </si>
  <si>
    <t>七台河丰润风力发电有限公司汤原分公司</t>
    <phoneticPr fontId="11" type="noConversion"/>
  </si>
  <si>
    <t>2017.11.14</t>
    <phoneticPr fontId="11" type="noConversion"/>
  </si>
  <si>
    <t>龙江杏山风力发电有限公司</t>
    <phoneticPr fontId="11" type="noConversion"/>
  </si>
  <si>
    <t>龙江哈拉海乡（杏山）</t>
    <phoneticPr fontId="11" type="noConversion"/>
  </si>
  <si>
    <t>2017.11.16</t>
    <phoneticPr fontId="11" type="noConversion"/>
  </si>
  <si>
    <t>中国船舶重工集团海装风电股份有限公司</t>
    <phoneticPr fontId="11" type="noConversion"/>
  </si>
  <si>
    <t>烟台龙口二期</t>
    <phoneticPr fontId="11" type="noConversion"/>
  </si>
  <si>
    <t>2017.11.17</t>
    <phoneticPr fontId="11" type="noConversion"/>
  </si>
  <si>
    <t>中广核安丘风力发电有限公司</t>
    <phoneticPr fontId="11" type="noConversion"/>
  </si>
  <si>
    <t>于忠新</t>
    <phoneticPr fontId="11" type="noConversion"/>
  </si>
  <si>
    <t>2017.11.20</t>
    <phoneticPr fontId="11" type="noConversion"/>
  </si>
  <si>
    <t>2017.11.21</t>
    <phoneticPr fontId="11" type="noConversion"/>
  </si>
  <si>
    <t>华电虎林风力发电有限公司</t>
    <phoneticPr fontId="11" type="noConversion"/>
  </si>
  <si>
    <t>武峁子</t>
    <phoneticPr fontId="11" type="noConversion"/>
  </si>
  <si>
    <t xml:space="preserve">2017.11.22收到中国船舶重工集团海装风电股份有限公司的银行电子承兑汇票，汇票金额：495710元。
出票日期：2017/09/19
汇票到期日：2018/03/19
</t>
    <phoneticPr fontId="11" type="noConversion"/>
  </si>
  <si>
    <t>郭文明</t>
    <phoneticPr fontId="11" type="noConversion"/>
  </si>
  <si>
    <t>2017年合计</t>
    <phoneticPr fontId="11" type="noConversion"/>
  </si>
  <si>
    <t>2017.11.27</t>
    <phoneticPr fontId="11" type="noConversion"/>
  </si>
  <si>
    <t>吉林中广核风力发电有限公司</t>
    <phoneticPr fontId="11" type="noConversion"/>
  </si>
  <si>
    <t>大安大岗子</t>
    <phoneticPr fontId="11" type="noConversion"/>
  </si>
  <si>
    <t>服务费</t>
    <phoneticPr fontId="11" type="noConversion"/>
  </si>
  <si>
    <t>王国先</t>
    <phoneticPr fontId="11" type="noConversion"/>
  </si>
  <si>
    <t>双鸭山杨木岗风力发电有限公司</t>
    <phoneticPr fontId="11" type="noConversion"/>
  </si>
  <si>
    <t>安邦河（杨木岗）</t>
    <phoneticPr fontId="11" type="noConversion"/>
  </si>
  <si>
    <t>安邦河（锅盔山）</t>
  </si>
  <si>
    <t>双鸭山老平岗风力发电有限公司</t>
    <phoneticPr fontId="11" type="noConversion"/>
  </si>
  <si>
    <t>安邦河（老平岗）</t>
    <phoneticPr fontId="11" type="noConversion"/>
  </si>
  <si>
    <t>大庆银浪风力发电有限公司</t>
    <phoneticPr fontId="11" type="noConversion"/>
  </si>
  <si>
    <t>大庆银浪</t>
    <phoneticPr fontId="11" type="noConversion"/>
  </si>
  <si>
    <t>试运行款</t>
    <phoneticPr fontId="11" type="noConversion"/>
  </si>
  <si>
    <t>2017.10.18</t>
    <phoneticPr fontId="11" type="noConversion"/>
  </si>
  <si>
    <t>2017.11.29</t>
    <phoneticPr fontId="11" type="noConversion"/>
  </si>
  <si>
    <t>新疆天电达坂城风力发电有限责任公司</t>
    <phoneticPr fontId="11" type="noConversion"/>
  </si>
  <si>
    <t>天电西沟</t>
    <phoneticPr fontId="11" type="noConversion"/>
  </si>
  <si>
    <t>合同款</t>
    <phoneticPr fontId="11" type="noConversion"/>
  </si>
  <si>
    <t>王龙波</t>
    <phoneticPr fontId="11" type="noConversion"/>
  </si>
  <si>
    <t>新疆天电达坂城风力发电有限责任公司</t>
    <phoneticPr fontId="11" type="noConversion"/>
  </si>
  <si>
    <t>达坂城（天电西沟）</t>
    <phoneticPr fontId="11" type="noConversion"/>
  </si>
  <si>
    <t>王龙波</t>
    <phoneticPr fontId="11" type="noConversion"/>
  </si>
  <si>
    <t xml:space="preserve"> 杨振坤 </t>
    <phoneticPr fontId="11" type="noConversion"/>
  </si>
  <si>
    <t>2017.12.4</t>
    <phoneticPr fontId="11" type="noConversion"/>
  </si>
  <si>
    <t>黑龙江富龙风能科技开发有限责任公司</t>
    <phoneticPr fontId="11" type="noConversion"/>
  </si>
  <si>
    <t>乌尔古力</t>
    <phoneticPr fontId="11" type="noConversion"/>
  </si>
  <si>
    <t>50%验收款</t>
    <phoneticPr fontId="11" type="noConversion"/>
  </si>
  <si>
    <t>马梦迪</t>
    <phoneticPr fontId="11" type="noConversion"/>
  </si>
  <si>
    <t>2017.12.5</t>
    <phoneticPr fontId="11" type="noConversion"/>
  </si>
  <si>
    <t>镇西堡、李家屯及心田堡</t>
    <phoneticPr fontId="11" type="noConversion"/>
  </si>
  <si>
    <t>服务费</t>
    <phoneticPr fontId="11" type="noConversion"/>
  </si>
  <si>
    <t>王国先</t>
    <phoneticPr fontId="11" type="noConversion"/>
  </si>
  <si>
    <t>林甸东明园风力发电有限公司</t>
    <phoneticPr fontId="11" type="noConversion"/>
  </si>
  <si>
    <t>2017.12.6</t>
  </si>
  <si>
    <t>马梦迪</t>
    <phoneticPr fontId="11" type="noConversion"/>
  </si>
  <si>
    <t>中广核大北山（瓦房店）风力发电有限公司</t>
    <phoneticPr fontId="11" type="noConversion"/>
  </si>
  <si>
    <t>2017.12.7</t>
    <phoneticPr fontId="11" type="noConversion"/>
  </si>
  <si>
    <t>王国先</t>
    <phoneticPr fontId="11" type="noConversion"/>
  </si>
  <si>
    <t>泡崖大北山</t>
    <phoneticPr fontId="11" type="noConversion"/>
  </si>
  <si>
    <t>质保款</t>
    <phoneticPr fontId="11" type="noConversion"/>
  </si>
  <si>
    <t>2017.12.11</t>
    <phoneticPr fontId="11" type="noConversion"/>
  </si>
  <si>
    <t>大庆绿源风力发电有限公司</t>
    <phoneticPr fontId="11" type="noConversion"/>
  </si>
  <si>
    <t>碾子山</t>
    <phoneticPr fontId="11" type="noConversion"/>
  </si>
  <si>
    <t>验收款</t>
    <phoneticPr fontId="11" type="noConversion"/>
  </si>
  <si>
    <t>李妍</t>
    <phoneticPr fontId="11" type="noConversion"/>
  </si>
  <si>
    <t>和平、兴隆新海</t>
    <phoneticPr fontId="11" type="noConversion"/>
  </si>
  <si>
    <t>郭文明</t>
    <phoneticPr fontId="11" type="noConversion"/>
  </si>
  <si>
    <t>2017.12.12</t>
    <phoneticPr fontId="11" type="noConversion"/>
  </si>
  <si>
    <t>福煤大蚶山（莆田）风电有限公司</t>
    <phoneticPr fontId="11" type="noConversion"/>
  </si>
  <si>
    <t>福能（漳州）风力发电有限责任公司</t>
    <phoneticPr fontId="11" type="noConversion"/>
  </si>
  <si>
    <t>龙海隆教</t>
    <phoneticPr fontId="11" type="noConversion"/>
  </si>
  <si>
    <t>秦英飞</t>
    <phoneticPr fontId="11" type="noConversion"/>
  </si>
  <si>
    <t>15022-2017</t>
    <phoneticPr fontId="35" type="noConversion"/>
  </si>
  <si>
    <t>大蚶山</t>
    <phoneticPr fontId="11" type="noConversion"/>
  </si>
  <si>
    <r>
      <t>1</t>
    </r>
    <r>
      <rPr>
        <sz val="9"/>
        <rFont val="宋体"/>
        <family val="3"/>
        <charset val="134"/>
      </rPr>
      <t>5021-2017</t>
    </r>
    <phoneticPr fontId="35" type="noConversion"/>
  </si>
  <si>
    <t>福能（仙游）风力发电有限责任公司</t>
    <phoneticPr fontId="11" type="noConversion"/>
  </si>
  <si>
    <t>2017.12.15</t>
    <phoneticPr fontId="11" type="noConversion"/>
  </si>
  <si>
    <t>草山</t>
    <phoneticPr fontId="11" type="noConversion"/>
  </si>
  <si>
    <t>中广核安丘风力发电有限公司</t>
    <phoneticPr fontId="11" type="noConversion"/>
  </si>
  <si>
    <t>2017.12.18</t>
    <phoneticPr fontId="11" type="noConversion"/>
  </si>
  <si>
    <t>安丘摘月山</t>
    <phoneticPr fontId="11" type="noConversion"/>
  </si>
  <si>
    <t>于忠新</t>
    <phoneticPr fontId="11" type="noConversion"/>
  </si>
  <si>
    <t>黑龙江省华富电力投资有限公司依兰分公司</t>
  </si>
  <si>
    <t>鸡冠山</t>
    <phoneticPr fontId="11" type="noConversion"/>
  </si>
  <si>
    <t>合同款</t>
    <phoneticPr fontId="11" type="noConversion"/>
  </si>
  <si>
    <t>韩志宇</t>
    <phoneticPr fontId="11" type="noConversion"/>
  </si>
  <si>
    <t>质保款</t>
    <phoneticPr fontId="11" type="noConversion"/>
  </si>
  <si>
    <t>2017.12.19</t>
  </si>
  <si>
    <t>大唐集贤太平风力发电有限公司</t>
    <phoneticPr fontId="11" type="noConversion"/>
  </si>
  <si>
    <t>山东大唐国际东营风电有限责任公司</t>
    <phoneticPr fontId="11" type="noConversion"/>
  </si>
  <si>
    <t>东营大唐</t>
    <phoneticPr fontId="11" type="noConversion"/>
  </si>
  <si>
    <t>太平</t>
    <phoneticPr fontId="11" type="noConversion"/>
  </si>
  <si>
    <t>李妍</t>
    <phoneticPr fontId="11" type="noConversion"/>
  </si>
  <si>
    <t>验收款</t>
    <phoneticPr fontId="11" type="noConversion"/>
  </si>
  <si>
    <t>中节能风力发电（哈密）有限公司</t>
    <phoneticPr fontId="11" type="noConversion"/>
  </si>
  <si>
    <t>2017.12.22</t>
    <phoneticPr fontId="11" type="noConversion"/>
  </si>
  <si>
    <t>烟墩</t>
    <phoneticPr fontId="11" type="noConversion"/>
  </si>
  <si>
    <t>王龙波</t>
    <phoneticPr fontId="11" type="noConversion"/>
  </si>
  <si>
    <t>验收款</t>
    <phoneticPr fontId="11" type="noConversion"/>
  </si>
  <si>
    <t>大庆银浪风力发电有限公司</t>
    <phoneticPr fontId="11" type="noConversion"/>
  </si>
  <si>
    <t>大庆银浪</t>
    <phoneticPr fontId="11" type="noConversion"/>
  </si>
  <si>
    <t>试运行款</t>
    <phoneticPr fontId="11" type="noConversion"/>
  </si>
  <si>
    <t>韩志宇</t>
    <phoneticPr fontId="11" type="noConversion"/>
  </si>
  <si>
    <t>国电和风风电开发有限公司桦川分公司</t>
    <phoneticPr fontId="11" type="noConversion"/>
  </si>
  <si>
    <t>黑龙江龙源新能源发展有限公司克东分公司</t>
    <phoneticPr fontId="11" type="noConversion"/>
  </si>
  <si>
    <t>2017.12.25</t>
    <phoneticPr fontId="11" type="noConversion"/>
  </si>
  <si>
    <t>爱华</t>
    <phoneticPr fontId="11" type="noConversion"/>
  </si>
  <si>
    <t>合同款</t>
    <phoneticPr fontId="11" type="noConversion"/>
  </si>
  <si>
    <t>李妍</t>
    <phoneticPr fontId="11" type="noConversion"/>
  </si>
  <si>
    <t>大青背</t>
    <phoneticPr fontId="11" type="noConversion"/>
  </si>
  <si>
    <t>部分回款</t>
    <phoneticPr fontId="11" type="noConversion"/>
  </si>
  <si>
    <t>2016年服务费</t>
    <phoneticPr fontId="11" type="noConversion"/>
  </si>
  <si>
    <t>马梦迪</t>
    <phoneticPr fontId="11" type="noConversion"/>
  </si>
  <si>
    <t>三峡新能源尚义风电有限公司</t>
    <phoneticPr fontId="11" type="noConversion"/>
  </si>
  <si>
    <t>尚义</t>
    <phoneticPr fontId="11" type="noConversion"/>
  </si>
  <si>
    <t>王龙波</t>
    <phoneticPr fontId="11" type="noConversion"/>
  </si>
  <si>
    <t>验收款、质保款</t>
    <phoneticPr fontId="11" type="noConversion"/>
  </si>
  <si>
    <t>2017.12.21</t>
    <phoneticPr fontId="11" type="noConversion"/>
  </si>
  <si>
    <t>到货款</t>
    <phoneticPr fontId="11" type="noConversion"/>
  </si>
  <si>
    <t>内蒙古华电乌套海风电有限公司</t>
    <phoneticPr fontId="11" type="noConversion"/>
  </si>
  <si>
    <t>久和</t>
    <phoneticPr fontId="11" type="noConversion"/>
  </si>
  <si>
    <t>于忠新</t>
    <phoneticPr fontId="11" type="noConversion"/>
  </si>
  <si>
    <t>到货款</t>
    <phoneticPr fontId="11" type="noConversion"/>
  </si>
  <si>
    <t>华能哈密风力发电有限公司</t>
    <phoneticPr fontId="11" type="noConversion"/>
  </si>
  <si>
    <t>锦州和兴风力发电有限公司</t>
    <phoneticPr fontId="11" type="noConversion"/>
  </si>
  <si>
    <t>2017.12.26</t>
    <phoneticPr fontId="11" type="noConversion"/>
  </si>
  <si>
    <t>黑山龙湾</t>
    <phoneticPr fontId="11" type="noConversion"/>
  </si>
  <si>
    <t>部分回款</t>
    <phoneticPr fontId="11" type="noConversion"/>
  </si>
  <si>
    <t>王国先</t>
    <phoneticPr fontId="11" type="noConversion"/>
  </si>
  <si>
    <t>哈密石城子</t>
    <phoneticPr fontId="11" type="noConversion"/>
  </si>
  <si>
    <t>王龙波</t>
    <phoneticPr fontId="11" type="noConversion"/>
  </si>
  <si>
    <t>服务费</t>
    <phoneticPr fontId="11" type="noConversion"/>
  </si>
  <si>
    <t>15003-2017</t>
    <phoneticPr fontId="11" type="noConversion"/>
  </si>
  <si>
    <t>烟墩</t>
    <phoneticPr fontId="11" type="noConversion"/>
  </si>
  <si>
    <t>预付款</t>
    <phoneticPr fontId="11" type="noConversion"/>
  </si>
  <si>
    <t>2017.12.27</t>
  </si>
  <si>
    <t>中电投宣化新能源发电有限公司</t>
    <phoneticPr fontId="11" type="noConversion"/>
  </si>
  <si>
    <t>阳城子</t>
    <phoneticPr fontId="11" type="noConversion"/>
  </si>
  <si>
    <t>王龙波</t>
    <phoneticPr fontId="11" type="noConversion"/>
  </si>
  <si>
    <t>中电投宁夏能源铝业中卫新能源有限公司</t>
    <phoneticPr fontId="11" type="noConversion"/>
  </si>
  <si>
    <t>2017.12.28</t>
  </si>
  <si>
    <t>中卫香山七、八期</t>
  </si>
  <si>
    <t>中卫香山九期</t>
  </si>
  <si>
    <t>杨振坤</t>
    <phoneticPr fontId="11" type="noConversion"/>
  </si>
  <si>
    <t>华润新能源（明光）风能有限公司</t>
    <phoneticPr fontId="11" type="noConversion"/>
  </si>
  <si>
    <t>2017.12.29</t>
  </si>
  <si>
    <t>明光东山</t>
    <phoneticPr fontId="11" type="noConversion"/>
  </si>
  <si>
    <t>到货验收款</t>
    <phoneticPr fontId="11" type="noConversion"/>
  </si>
  <si>
    <t>赵亮</t>
    <phoneticPr fontId="11" type="noConversion"/>
  </si>
  <si>
    <t>上海电气风电设备东台有限公司</t>
    <phoneticPr fontId="11" type="noConversion"/>
  </si>
  <si>
    <t>中卫香山第六风电场</t>
    <phoneticPr fontId="11" type="noConversion"/>
  </si>
  <si>
    <t>部分回款</t>
    <phoneticPr fontId="11" type="noConversion"/>
  </si>
  <si>
    <t>验收款和质保款</t>
    <phoneticPr fontId="11" type="noConversion"/>
  </si>
  <si>
    <t>双鸭山锅盔山风力发电有限公司</t>
    <phoneticPr fontId="11" type="noConversion"/>
  </si>
  <si>
    <t>2018年合计</t>
    <phoneticPr fontId="11" type="noConversion"/>
  </si>
  <si>
    <t>2018.1.2</t>
    <phoneticPr fontId="11" type="noConversion"/>
  </si>
  <si>
    <t>安达中广核太阳能科技有限公司</t>
    <phoneticPr fontId="11" type="noConversion"/>
  </si>
  <si>
    <t>安达万宝山</t>
  </si>
  <si>
    <t>中广核盖州风力发电有限公司</t>
    <phoneticPr fontId="11" type="noConversion"/>
  </si>
  <si>
    <t>2018.1.10</t>
    <phoneticPr fontId="11" type="noConversion"/>
  </si>
  <si>
    <t>沙岗子</t>
    <phoneticPr fontId="11" type="noConversion"/>
  </si>
  <si>
    <t>验收款</t>
    <phoneticPr fontId="11" type="noConversion"/>
  </si>
  <si>
    <t>王国先</t>
    <phoneticPr fontId="11" type="noConversion"/>
  </si>
  <si>
    <t>回款日期</t>
    <phoneticPr fontId="11" type="noConversion"/>
  </si>
  <si>
    <t>场站名称</t>
    <phoneticPr fontId="11" type="noConversion"/>
  </si>
  <si>
    <t>汇票回款(元)</t>
    <phoneticPr fontId="11" type="noConversion"/>
  </si>
  <si>
    <t>现金回款(元)</t>
    <phoneticPr fontId="11" type="noConversion"/>
  </si>
  <si>
    <t>回款比例</t>
    <phoneticPr fontId="11" type="noConversion"/>
  </si>
  <si>
    <t>款项名称</t>
    <phoneticPr fontId="11" type="noConversion"/>
  </si>
  <si>
    <t>销售经理</t>
    <phoneticPr fontId="11" type="noConversion"/>
  </si>
  <si>
    <t>备注</t>
    <phoneticPr fontId="11" type="noConversion"/>
  </si>
  <si>
    <t>2018.1.12</t>
    <phoneticPr fontId="11" type="noConversion"/>
  </si>
  <si>
    <t>新誉集团有限公司</t>
    <phoneticPr fontId="11" type="noConversion"/>
  </si>
  <si>
    <t>到保</t>
    <phoneticPr fontId="11" type="noConversion"/>
  </si>
  <si>
    <t>部分回款</t>
    <phoneticPr fontId="11" type="noConversion"/>
  </si>
  <si>
    <t>合同款</t>
    <phoneticPr fontId="11" type="noConversion"/>
  </si>
  <si>
    <t>亚洲风力发电（牡丹江）有限公司</t>
    <phoneticPr fontId="11" type="noConversion"/>
  </si>
  <si>
    <t>2018.1.18</t>
    <phoneticPr fontId="11" type="noConversion"/>
  </si>
  <si>
    <t>代马沟</t>
    <phoneticPr fontId="11" type="noConversion"/>
  </si>
  <si>
    <t>韩志宇</t>
    <phoneticPr fontId="11" type="noConversion"/>
  </si>
  <si>
    <t>服务费</t>
    <phoneticPr fontId="11" type="noConversion"/>
  </si>
  <si>
    <t>香港风力发电（穆棱）有限公司</t>
    <phoneticPr fontId="11" type="noConversion"/>
  </si>
  <si>
    <t>2018.1.23</t>
    <phoneticPr fontId="11" type="noConversion"/>
  </si>
  <si>
    <t>林甸东明园风力发电有限公司</t>
    <phoneticPr fontId="11" type="noConversion"/>
  </si>
  <si>
    <t>林甸东明园</t>
    <phoneticPr fontId="11" type="noConversion"/>
  </si>
  <si>
    <t>马梦迪</t>
    <phoneticPr fontId="11" type="noConversion"/>
  </si>
  <si>
    <t>2018.1.24</t>
  </si>
  <si>
    <t>锦州和兴风力发电有限公司</t>
    <phoneticPr fontId="11" type="noConversion"/>
  </si>
  <si>
    <t>黑山龙湾</t>
    <phoneticPr fontId="11" type="noConversion"/>
  </si>
  <si>
    <t>王国先</t>
    <phoneticPr fontId="11" type="noConversion"/>
  </si>
  <si>
    <t>大唐华安（齐齐哈尔）风力发电有限公司</t>
    <phoneticPr fontId="11" type="noConversion"/>
  </si>
  <si>
    <t>中电投宁夏能源铝业中卫新能源有限公司</t>
    <phoneticPr fontId="11" type="noConversion"/>
  </si>
  <si>
    <t>2018.1.26</t>
    <phoneticPr fontId="11" type="noConversion"/>
  </si>
  <si>
    <t>碾子山</t>
    <phoneticPr fontId="11" type="noConversion"/>
  </si>
  <si>
    <t>李妍</t>
    <phoneticPr fontId="11" type="noConversion"/>
  </si>
  <si>
    <t>中卫香山第四风电场、中卫香山第六风电场</t>
    <phoneticPr fontId="11" type="noConversion"/>
  </si>
  <si>
    <t>杨振坤</t>
    <phoneticPr fontId="11" type="noConversion"/>
  </si>
  <si>
    <t>服务费</t>
    <phoneticPr fontId="11" type="noConversion"/>
  </si>
  <si>
    <t>验收款</t>
    <phoneticPr fontId="11" type="noConversion"/>
  </si>
  <si>
    <t>张北华实建投风能有限公司</t>
    <phoneticPr fontId="11" type="noConversion"/>
  </si>
  <si>
    <t>曹碾沟</t>
    <phoneticPr fontId="11" type="noConversion"/>
  </si>
  <si>
    <t>2016年服务费</t>
    <phoneticPr fontId="11" type="noConversion"/>
  </si>
  <si>
    <t>王龙波</t>
    <phoneticPr fontId="11" type="noConversion"/>
  </si>
  <si>
    <t>大唐集贤太平风力发电有限公司</t>
    <phoneticPr fontId="11" type="noConversion"/>
  </si>
  <si>
    <t>2018.1.29</t>
    <phoneticPr fontId="11" type="noConversion"/>
  </si>
  <si>
    <t>国华（齐齐哈尔）风电有限公司</t>
    <phoneticPr fontId="11" type="noConversion"/>
  </si>
  <si>
    <t>富裕三期</t>
    <phoneticPr fontId="11" type="noConversion"/>
  </si>
  <si>
    <t>马梦迪</t>
    <phoneticPr fontId="11" type="noConversion"/>
  </si>
  <si>
    <t>太平</t>
    <phoneticPr fontId="11" type="noConversion"/>
  </si>
  <si>
    <t>李妍</t>
    <phoneticPr fontId="11" type="noConversion"/>
  </si>
  <si>
    <t>验收款</t>
    <phoneticPr fontId="11" type="noConversion"/>
  </si>
  <si>
    <t>20%服务费</t>
    <phoneticPr fontId="11" type="noConversion"/>
  </si>
  <si>
    <t>华能江西清洁能源有限责任公司蒋公岭风电场</t>
    <phoneticPr fontId="11" type="noConversion"/>
  </si>
  <si>
    <t>2018.1.30</t>
  </si>
  <si>
    <t>蒋公岭（一期、二期）</t>
    <phoneticPr fontId="11" type="noConversion"/>
  </si>
  <si>
    <t>秦英飞</t>
    <phoneticPr fontId="11" type="noConversion"/>
  </si>
  <si>
    <t>服务费</t>
    <phoneticPr fontId="11" type="noConversion"/>
  </si>
  <si>
    <t>海林中电海浪风力发电有限公司</t>
    <phoneticPr fontId="11" type="noConversion"/>
  </si>
  <si>
    <t>海浪</t>
    <phoneticPr fontId="11" type="noConversion"/>
  </si>
  <si>
    <t>合同款</t>
    <phoneticPr fontId="11" type="noConversion"/>
  </si>
  <si>
    <t>大唐华银绥宁新能源有限公司</t>
    <phoneticPr fontId="11" type="noConversion"/>
  </si>
  <si>
    <t>秦英飞</t>
    <phoneticPr fontId="11" type="noConversion"/>
  </si>
  <si>
    <t>银子山</t>
    <phoneticPr fontId="11" type="noConversion"/>
  </si>
  <si>
    <t>验收款</t>
    <phoneticPr fontId="11" type="noConversion"/>
  </si>
  <si>
    <t>华能定边新能源发电有限公司</t>
    <phoneticPr fontId="11" type="noConversion"/>
  </si>
  <si>
    <t>2018.1.31</t>
  </si>
  <si>
    <t>贺圈</t>
    <phoneticPr fontId="11" type="noConversion"/>
  </si>
  <si>
    <t>到货款</t>
    <phoneticPr fontId="11" type="noConversion"/>
  </si>
  <si>
    <t>大唐集贤太平风力发电有限公司</t>
    <phoneticPr fontId="11" type="noConversion"/>
  </si>
  <si>
    <t>2018.2.6</t>
    <phoneticPr fontId="11" type="noConversion"/>
  </si>
  <si>
    <t>太平</t>
    <phoneticPr fontId="11" type="noConversion"/>
  </si>
  <si>
    <t>山东龙源风力发电有限公司</t>
    <phoneticPr fontId="11" type="noConversion"/>
  </si>
  <si>
    <t>2018.2.8</t>
    <phoneticPr fontId="11" type="noConversion"/>
  </si>
  <si>
    <t>新疆天电达坂城风力发电有限责任公司</t>
    <phoneticPr fontId="11" type="noConversion"/>
  </si>
  <si>
    <t>大唐华安（齐齐哈尔）风力发电有限公司</t>
    <phoneticPr fontId="11" type="noConversion"/>
  </si>
  <si>
    <t>滨海龙源</t>
  </si>
  <si>
    <t>于忠新</t>
    <phoneticPr fontId="11" type="noConversion"/>
  </si>
  <si>
    <t>天电西沟</t>
    <phoneticPr fontId="11" type="noConversion"/>
  </si>
  <si>
    <t>王龙波</t>
    <phoneticPr fontId="11" type="noConversion"/>
  </si>
  <si>
    <t>碾子山</t>
    <phoneticPr fontId="11" type="noConversion"/>
  </si>
  <si>
    <t>李妍</t>
    <phoneticPr fontId="11" type="noConversion"/>
  </si>
  <si>
    <t>2018.2.9</t>
  </si>
  <si>
    <t>华电福新新疆木垒能源有限公司</t>
    <phoneticPr fontId="11" type="noConversion"/>
  </si>
  <si>
    <t>国华（齐齐哈尔）风电有限公司</t>
    <phoneticPr fontId="11" type="noConversion"/>
  </si>
  <si>
    <t>富裕</t>
    <phoneticPr fontId="11" type="noConversion"/>
  </si>
  <si>
    <t>马梦迪</t>
    <phoneticPr fontId="11" type="noConversion"/>
  </si>
  <si>
    <t>福新木垒光伏一电站</t>
    <phoneticPr fontId="11" type="noConversion"/>
  </si>
  <si>
    <t>王龙波</t>
    <phoneticPr fontId="11" type="noConversion"/>
  </si>
  <si>
    <t>合同款</t>
    <phoneticPr fontId="11" type="noConversion"/>
  </si>
  <si>
    <t>大庆绿源风力发电有限公司</t>
    <phoneticPr fontId="11" type="noConversion"/>
  </si>
  <si>
    <t>大庆兴隆、新海</t>
    <phoneticPr fontId="11" type="noConversion"/>
  </si>
  <si>
    <t>郭文明</t>
    <phoneticPr fontId="11" type="noConversion"/>
  </si>
  <si>
    <t>部分回款</t>
    <phoneticPr fontId="11" type="noConversion"/>
  </si>
  <si>
    <t>林口胜利风力发电有限公司</t>
    <phoneticPr fontId="11" type="noConversion"/>
  </si>
  <si>
    <t>2018.2.11</t>
    <phoneticPr fontId="11" type="noConversion"/>
  </si>
  <si>
    <t>林口胜利</t>
    <phoneticPr fontId="11" type="noConversion"/>
  </si>
  <si>
    <t>验收款</t>
    <phoneticPr fontId="11" type="noConversion"/>
  </si>
  <si>
    <t>马梦迪</t>
    <phoneticPr fontId="11" type="noConversion"/>
  </si>
  <si>
    <t>内蒙古华电乌套海风电有限公司</t>
    <phoneticPr fontId="11" type="noConversion"/>
  </si>
  <si>
    <t>2018.2.12</t>
    <phoneticPr fontId="11" type="noConversion"/>
  </si>
  <si>
    <t>久和</t>
    <phoneticPr fontId="11" type="noConversion"/>
  </si>
  <si>
    <t>于忠新</t>
    <phoneticPr fontId="11" type="noConversion"/>
  </si>
  <si>
    <t>验收款</t>
    <phoneticPr fontId="11" type="noConversion"/>
  </si>
  <si>
    <t>五凌汝城电力有限公司</t>
    <phoneticPr fontId="11" type="noConversion"/>
  </si>
  <si>
    <t>东岗岭</t>
    <phoneticPr fontId="11" type="noConversion"/>
  </si>
  <si>
    <t>王国先</t>
    <phoneticPr fontId="11" type="noConversion"/>
  </si>
  <si>
    <t>2018.3.8</t>
    <phoneticPr fontId="11" type="noConversion"/>
  </si>
  <si>
    <t>福建永福电力设计股份有限公司</t>
    <phoneticPr fontId="11" type="noConversion"/>
  </si>
  <si>
    <t>高嵛山</t>
    <phoneticPr fontId="11" type="noConversion"/>
  </si>
  <si>
    <t>预付款</t>
    <phoneticPr fontId="11" type="noConversion"/>
  </si>
  <si>
    <t>秦英飞</t>
    <phoneticPr fontId="11" type="noConversion"/>
  </si>
  <si>
    <t>中节能风力发电（哈密）有限公司</t>
    <phoneticPr fontId="11" type="noConversion"/>
  </si>
  <si>
    <t>2018.3.13</t>
    <phoneticPr fontId="11" type="noConversion"/>
  </si>
  <si>
    <t>哈密景峡</t>
    <phoneticPr fontId="11" type="noConversion"/>
  </si>
  <si>
    <t>王龙波</t>
    <phoneticPr fontId="11" type="noConversion"/>
  </si>
  <si>
    <t>黑龙江省华富电力投资有限公司东宁分公司</t>
    <phoneticPr fontId="11" type="noConversion"/>
  </si>
  <si>
    <t>2018.3.15</t>
    <phoneticPr fontId="11" type="noConversion"/>
  </si>
  <si>
    <t>瑞信</t>
    <phoneticPr fontId="11" type="noConversion"/>
  </si>
  <si>
    <t>韩志宇</t>
    <phoneticPr fontId="11" type="noConversion"/>
  </si>
  <si>
    <t>中船重工财务有限责任公司</t>
    <phoneticPr fontId="11" type="noConversion"/>
  </si>
  <si>
    <t>2018.3.19</t>
    <phoneticPr fontId="11" type="noConversion"/>
  </si>
  <si>
    <t>武峁子</t>
    <phoneticPr fontId="11" type="noConversion"/>
  </si>
  <si>
    <t>汇票进账</t>
    <phoneticPr fontId="11" type="noConversion"/>
  </si>
  <si>
    <t>汇票进账</t>
    <phoneticPr fontId="11" type="noConversion"/>
  </si>
  <si>
    <t>三峡新能源白城风电发展有限公司</t>
    <phoneticPr fontId="11" type="noConversion"/>
  </si>
  <si>
    <t>查干浩特</t>
    <phoneticPr fontId="11" type="noConversion"/>
  </si>
  <si>
    <t>2018.3.21</t>
    <phoneticPr fontId="11" type="noConversion"/>
  </si>
  <si>
    <t>冯涛</t>
    <phoneticPr fontId="11" type="noConversion"/>
  </si>
  <si>
    <t>国华（乾安）风电有限公司</t>
    <phoneticPr fontId="11" type="noConversion"/>
  </si>
  <si>
    <t>大庆红骥风力发电有限公司</t>
    <phoneticPr fontId="11" type="noConversion"/>
  </si>
  <si>
    <t>大庆红骥</t>
    <phoneticPr fontId="11" type="noConversion"/>
  </si>
  <si>
    <t>试运行款</t>
    <phoneticPr fontId="11" type="noConversion"/>
  </si>
  <si>
    <t>乾安腾字</t>
    <phoneticPr fontId="11" type="noConversion"/>
  </si>
  <si>
    <t>验收款+质保款</t>
    <phoneticPr fontId="11" type="noConversion"/>
  </si>
  <si>
    <t>乾安腾字二期</t>
    <phoneticPr fontId="11" type="noConversion"/>
  </si>
  <si>
    <t>2018.3.26</t>
    <phoneticPr fontId="11" type="noConversion"/>
  </si>
  <si>
    <t>华润新能源（明光）风能有限公司</t>
    <phoneticPr fontId="11" type="noConversion"/>
  </si>
  <si>
    <t>2018.3.30</t>
    <phoneticPr fontId="11" type="noConversion"/>
  </si>
  <si>
    <t>明光东山</t>
    <phoneticPr fontId="11" type="noConversion"/>
  </si>
  <si>
    <t>初步验收款</t>
    <phoneticPr fontId="11" type="noConversion"/>
  </si>
  <si>
    <t>王国先</t>
    <phoneticPr fontId="11" type="noConversion"/>
  </si>
  <si>
    <t>2018.4.3</t>
    <phoneticPr fontId="11" type="noConversion"/>
  </si>
  <si>
    <t>林口胜利风力发电有限公司</t>
    <phoneticPr fontId="11" type="noConversion"/>
  </si>
  <si>
    <t>2018.4.4</t>
    <phoneticPr fontId="11" type="noConversion"/>
  </si>
  <si>
    <t>大庆大丰</t>
    <phoneticPr fontId="11" type="noConversion"/>
  </si>
  <si>
    <t>亚洲风力发电（牡丹江）有限公司</t>
    <phoneticPr fontId="11" type="noConversion"/>
  </si>
  <si>
    <t>代马沟</t>
    <phoneticPr fontId="11" type="noConversion"/>
  </si>
  <si>
    <t>预验收款</t>
    <phoneticPr fontId="11" type="noConversion"/>
  </si>
  <si>
    <t>2018年销售合同回款登记台账</t>
    <phoneticPr fontId="11" type="noConversion"/>
  </si>
  <si>
    <t>2018.4.11</t>
    <phoneticPr fontId="11" type="noConversion"/>
  </si>
  <si>
    <t>保定四方继保工程技术有限公司</t>
    <phoneticPr fontId="11" type="noConversion"/>
  </si>
  <si>
    <t>肇东德昌</t>
  </si>
  <si>
    <t>大庆双榆</t>
  </si>
  <si>
    <t>到货款</t>
    <phoneticPr fontId="11" type="noConversion"/>
  </si>
  <si>
    <t>安达1号、2号</t>
    <phoneticPr fontId="11" type="noConversion"/>
  </si>
  <si>
    <t>约15.45%到货款</t>
    <phoneticPr fontId="11" type="noConversion"/>
  </si>
  <si>
    <t>2018.4.17</t>
    <phoneticPr fontId="11" type="noConversion"/>
  </si>
  <si>
    <t>约50.55%验收款</t>
    <phoneticPr fontId="11" type="noConversion"/>
  </si>
  <si>
    <t>15%到货款+50%验收款</t>
    <phoneticPr fontId="11" type="noConversion"/>
  </si>
  <si>
    <t>2018.4.16</t>
    <phoneticPr fontId="11" type="noConversion"/>
  </si>
  <si>
    <t>十文字</t>
    <phoneticPr fontId="11" type="noConversion"/>
  </si>
  <si>
    <t>韩志宇</t>
    <phoneticPr fontId="11" type="noConversion"/>
  </si>
  <si>
    <t>黑龙江华富风力发电穆棱有限责任公司</t>
    <phoneticPr fontId="11" type="noConversion"/>
  </si>
  <si>
    <t>大唐依兰风力发电有限公司</t>
    <phoneticPr fontId="11" type="noConversion"/>
  </si>
  <si>
    <t>2018.4.19</t>
    <phoneticPr fontId="11" type="noConversion"/>
  </si>
  <si>
    <t>大唐依兰风力发电有限公司</t>
    <phoneticPr fontId="11" type="noConversion"/>
  </si>
  <si>
    <t>晨光</t>
    <phoneticPr fontId="11" type="noConversion"/>
  </si>
  <si>
    <t>富强</t>
    <phoneticPr fontId="11" type="noConversion"/>
  </si>
  <si>
    <t>50%服务费</t>
    <phoneticPr fontId="11" type="noConversion"/>
  </si>
  <si>
    <t>郭文明</t>
    <phoneticPr fontId="11" type="noConversion"/>
  </si>
  <si>
    <t>2018.4.27</t>
    <phoneticPr fontId="11" type="noConversion"/>
  </si>
  <si>
    <t>2018.4.26</t>
    <phoneticPr fontId="11" type="noConversion"/>
  </si>
  <si>
    <t>2018.4.24</t>
    <phoneticPr fontId="11" type="noConversion"/>
  </si>
  <si>
    <t>黑龙江东宁华富风力发电有限责任公司</t>
    <phoneticPr fontId="11" type="noConversion"/>
  </si>
  <si>
    <t>大唐绥滨新能源有限公司</t>
    <phoneticPr fontId="11" type="noConversion"/>
  </si>
  <si>
    <t>绥滨吉成</t>
    <phoneticPr fontId="11" type="noConversion"/>
  </si>
  <si>
    <t>大唐绥滨新能源有限公司</t>
    <phoneticPr fontId="11" type="noConversion"/>
  </si>
  <si>
    <t>大唐绥滨新能源有限公司</t>
    <phoneticPr fontId="11" type="noConversion"/>
  </si>
  <si>
    <t>大唐桦川风力发电有限公司</t>
    <phoneticPr fontId="11" type="noConversion"/>
  </si>
  <si>
    <t>苏家店</t>
    <phoneticPr fontId="11" type="noConversion"/>
  </si>
  <si>
    <t>绥阳</t>
    <phoneticPr fontId="11" type="noConversion"/>
  </si>
  <si>
    <t>华能钟祥风电有限责任公司</t>
    <phoneticPr fontId="11" type="noConversion"/>
  </si>
  <si>
    <t>钟祥胡家湾</t>
    <phoneticPr fontId="11" type="noConversion"/>
  </si>
  <si>
    <t>秦英飞</t>
    <phoneticPr fontId="11" type="noConversion"/>
  </si>
  <si>
    <t>中广核安丘风力发电有限公司</t>
    <phoneticPr fontId="11" type="noConversion"/>
  </si>
  <si>
    <t>摘月中广</t>
    <phoneticPr fontId="11" type="noConversion"/>
  </si>
  <si>
    <t>于忠新</t>
    <phoneticPr fontId="11" type="noConversion"/>
  </si>
  <si>
    <t>山东中车风电有限公司</t>
    <phoneticPr fontId="11" type="noConversion"/>
  </si>
  <si>
    <t>到货设备款</t>
    <phoneticPr fontId="11" type="noConversion"/>
  </si>
  <si>
    <t>沈口子</t>
    <phoneticPr fontId="11" type="noConversion"/>
  </si>
  <si>
    <t>杨振坤</t>
    <phoneticPr fontId="11" type="noConversion"/>
  </si>
  <si>
    <t>部分验收款</t>
    <phoneticPr fontId="11" type="noConversion"/>
  </si>
  <si>
    <t>2018.5.2</t>
    <phoneticPr fontId="11" type="noConversion"/>
  </si>
  <si>
    <t>2018.5.3</t>
    <phoneticPr fontId="11" type="noConversion"/>
  </si>
  <si>
    <t>2018.5.7</t>
    <phoneticPr fontId="11" type="noConversion"/>
  </si>
  <si>
    <t>2018.5.8</t>
    <phoneticPr fontId="11" type="noConversion"/>
  </si>
  <si>
    <t>2018.5.11</t>
    <phoneticPr fontId="11" type="noConversion"/>
  </si>
  <si>
    <t>三峡新能源开原风电有限公司</t>
    <phoneticPr fontId="11" type="noConversion"/>
  </si>
  <si>
    <t>三峡威远</t>
    <phoneticPr fontId="11" type="noConversion"/>
  </si>
  <si>
    <t>冯涛</t>
    <phoneticPr fontId="11" type="noConversion"/>
  </si>
  <si>
    <t>福能（仙游）风力发电有限责任公司</t>
    <phoneticPr fontId="11" type="noConversion"/>
  </si>
  <si>
    <t>草山</t>
    <phoneticPr fontId="11" type="noConversion"/>
  </si>
  <si>
    <t>福能（漳州）风力发电有限责任公司</t>
    <phoneticPr fontId="11" type="noConversion"/>
  </si>
  <si>
    <t>龙海隆教</t>
    <phoneticPr fontId="11" type="noConversion"/>
  </si>
  <si>
    <t>大蚶山</t>
    <phoneticPr fontId="11" type="noConversion"/>
  </si>
  <si>
    <t>绥化远大电力建设集团有限责任公司</t>
    <phoneticPr fontId="11" type="noConversion"/>
  </si>
  <si>
    <t>林口胜利</t>
    <phoneticPr fontId="11" type="noConversion"/>
  </si>
  <si>
    <t>部分验收款</t>
    <phoneticPr fontId="11" type="noConversion"/>
  </si>
  <si>
    <t>约10%</t>
    <phoneticPr fontId="11" type="noConversion"/>
  </si>
  <si>
    <t>马梦迪</t>
    <phoneticPr fontId="11" type="noConversion"/>
  </si>
  <si>
    <t>预付款</t>
    <phoneticPr fontId="11" type="noConversion"/>
  </si>
  <si>
    <t>齐齐哈尔祥鹤</t>
    <phoneticPr fontId="11" type="noConversion"/>
  </si>
  <si>
    <t>制表：</t>
    <phoneticPr fontId="11" type="noConversion"/>
  </si>
  <si>
    <t>2018.5.18</t>
    <phoneticPr fontId="11" type="noConversion"/>
  </si>
  <si>
    <t>2018.5.16</t>
    <phoneticPr fontId="11" type="noConversion"/>
  </si>
  <si>
    <t>新疆华电十三间房风电有限责任公司</t>
    <phoneticPr fontId="11" type="noConversion"/>
  </si>
  <si>
    <t>2018.5.15</t>
    <phoneticPr fontId="11" type="noConversion"/>
  </si>
  <si>
    <t>2018.5.14</t>
    <phoneticPr fontId="11" type="noConversion"/>
  </si>
  <si>
    <t>2018.5.17</t>
    <phoneticPr fontId="11" type="noConversion"/>
  </si>
  <si>
    <t>新疆华电苦水风电有限责任公司</t>
    <phoneticPr fontId="11" type="noConversion"/>
  </si>
  <si>
    <t>华电石城子光伏二电站</t>
  </si>
  <si>
    <t>华电石城子光伏电站</t>
  </si>
  <si>
    <t>服务费</t>
    <phoneticPr fontId="11" type="noConversion"/>
  </si>
  <si>
    <t>王龙波</t>
    <phoneticPr fontId="11" type="noConversion"/>
  </si>
  <si>
    <t>华电苦水东风电一场</t>
  </si>
  <si>
    <t>东方民生淖毛湖</t>
  </si>
  <si>
    <t>巴里坤东方民生新能源有限公司</t>
    <phoneticPr fontId="11" type="noConversion"/>
  </si>
  <si>
    <t>东方民生麻黄沟东风电一场/一期+二三四期（东方民生麻黄沟东风电一场（直流/直流配套））</t>
  </si>
  <si>
    <t>新疆华电淖毛湖风电有限责任公司</t>
    <phoneticPr fontId="11" type="noConversion"/>
  </si>
  <si>
    <t>华电淖毛湖风电一场+华电淖毛湖风电一场（二期/直流）</t>
    <phoneticPr fontId="37" type="noConversion"/>
  </si>
  <si>
    <t>华电嘉利二场</t>
  </si>
  <si>
    <t>义县中广核义北风力发电有限公司</t>
    <phoneticPr fontId="11" type="noConversion"/>
  </si>
  <si>
    <t>刘龙台</t>
    <phoneticPr fontId="37" type="noConversion"/>
  </si>
  <si>
    <t>冯涛</t>
    <phoneticPr fontId="11" type="noConversion"/>
  </si>
  <si>
    <t>到货款</t>
    <phoneticPr fontId="11" type="noConversion"/>
  </si>
  <si>
    <t>上海电气风电集团有限公司</t>
    <phoneticPr fontId="11" type="noConversion"/>
  </si>
  <si>
    <t>东辉(祝三)</t>
    <phoneticPr fontId="37" type="noConversion"/>
  </si>
  <si>
    <t>18024-1</t>
    <phoneticPr fontId="11" type="noConversion"/>
  </si>
  <si>
    <t>约83%</t>
    <phoneticPr fontId="11" type="noConversion"/>
  </si>
  <si>
    <t>验收款</t>
    <phoneticPr fontId="11" type="noConversion"/>
  </si>
  <si>
    <t>郭文明</t>
    <phoneticPr fontId="11" type="noConversion"/>
  </si>
  <si>
    <t>东方民生石城子光伏一电站</t>
  </si>
  <si>
    <t>力诺石城子光伏一电站</t>
  </si>
  <si>
    <t>晨光、富强</t>
    <phoneticPr fontId="37" type="noConversion"/>
  </si>
  <si>
    <t>约87%</t>
    <phoneticPr fontId="11" type="noConversion"/>
  </si>
  <si>
    <t>富裕友谊</t>
  </si>
  <si>
    <t>合同款</t>
    <phoneticPr fontId="11" type="noConversion"/>
  </si>
  <si>
    <t>韩志宇</t>
    <phoneticPr fontId="11" type="noConversion"/>
  </si>
  <si>
    <t>2018.5.25</t>
    <phoneticPr fontId="11" type="noConversion"/>
  </si>
  <si>
    <t>2018.5.24</t>
    <phoneticPr fontId="11" type="noConversion"/>
  </si>
  <si>
    <t>验收款</t>
    <phoneticPr fontId="11" type="noConversion"/>
  </si>
  <si>
    <t>吉成</t>
    <phoneticPr fontId="37" type="noConversion"/>
  </si>
  <si>
    <t>宾县大个岭风力发电有限公司</t>
    <phoneticPr fontId="11" type="noConversion"/>
  </si>
  <si>
    <t>服务费</t>
    <phoneticPr fontId="11" type="noConversion"/>
  </si>
  <si>
    <t>韩志宇</t>
    <phoneticPr fontId="11" type="noConversion"/>
  </si>
  <si>
    <t>宾县大泉子、大个岭</t>
    <phoneticPr fontId="11" type="noConversion"/>
  </si>
  <si>
    <t>2018.6.20</t>
    <phoneticPr fontId="11" type="noConversion"/>
  </si>
  <si>
    <t>2018.6.14</t>
    <phoneticPr fontId="11" type="noConversion"/>
  </si>
  <si>
    <t>2018.6.8</t>
    <phoneticPr fontId="11" type="noConversion"/>
  </si>
  <si>
    <t>海林威虎山</t>
    <phoneticPr fontId="11" type="noConversion"/>
  </si>
  <si>
    <t>验收款</t>
    <phoneticPr fontId="11" type="noConversion"/>
  </si>
  <si>
    <t>郭文明</t>
    <phoneticPr fontId="11" type="noConversion"/>
  </si>
  <si>
    <t>义县天润风电有限公司</t>
    <phoneticPr fontId="11" type="noConversion"/>
  </si>
  <si>
    <t>质保款</t>
    <phoneticPr fontId="11" type="noConversion"/>
  </si>
  <si>
    <t>留龙沟</t>
    <phoneticPr fontId="11" type="noConversion"/>
  </si>
  <si>
    <t>王国先</t>
    <phoneticPr fontId="11" type="noConversion"/>
  </si>
  <si>
    <t>尚义石井</t>
    <phoneticPr fontId="11" type="noConversion"/>
  </si>
  <si>
    <t>约78.5%</t>
    <phoneticPr fontId="11" type="noConversion"/>
  </si>
  <si>
    <t>部分合同款</t>
    <phoneticPr fontId="11" type="noConversion"/>
  </si>
  <si>
    <t>王龙波</t>
    <phoneticPr fontId="11" type="noConversion"/>
  </si>
  <si>
    <t>东岗岭</t>
    <phoneticPr fontId="11" type="noConversion"/>
  </si>
  <si>
    <t>合同款</t>
    <phoneticPr fontId="11" type="noConversion"/>
  </si>
  <si>
    <t>2018.6.21</t>
    <phoneticPr fontId="11" type="noConversion"/>
  </si>
  <si>
    <t>新疆浦类海能源发展有限公司</t>
    <phoneticPr fontId="11" type="noConversion"/>
  </si>
  <si>
    <t>蒲类海麻黄沟西风电场</t>
    <phoneticPr fontId="11" type="noConversion"/>
  </si>
  <si>
    <t>哈密景峡</t>
  </si>
  <si>
    <t>2018.6.25</t>
    <phoneticPr fontId="11" type="noConversion"/>
  </si>
  <si>
    <t>王国先</t>
    <phoneticPr fontId="6" type="noConversion"/>
  </si>
  <si>
    <t>2018.6.26</t>
    <phoneticPr fontId="11" type="noConversion"/>
  </si>
  <si>
    <t>松原绿筑</t>
    <phoneticPr fontId="6" type="noConversion"/>
  </si>
  <si>
    <t>2018.6.26</t>
    <phoneticPr fontId="11" type="noConversion"/>
  </si>
  <si>
    <t>上海电气商业保理有限公司</t>
    <phoneticPr fontId="11" type="noConversion"/>
  </si>
  <si>
    <t>2018.6.28</t>
    <phoneticPr fontId="11" type="noConversion"/>
  </si>
  <si>
    <t>上海电气风电设备黑龙江有限公司</t>
    <phoneticPr fontId="11" type="noConversion"/>
  </si>
  <si>
    <t>东辉(青山)</t>
  </si>
  <si>
    <t>18024-2</t>
    <phoneticPr fontId="11" type="noConversion"/>
  </si>
  <si>
    <t>中电（昆明）新能源发电有限公司</t>
    <phoneticPr fontId="11" type="noConversion"/>
  </si>
  <si>
    <t>2018.7.2</t>
    <phoneticPr fontId="11" type="noConversion"/>
  </si>
  <si>
    <t>陕西金电电子科技有限责任公司</t>
    <phoneticPr fontId="11" type="noConversion"/>
  </si>
  <si>
    <t>岐山</t>
    <phoneticPr fontId="11" type="noConversion"/>
  </si>
  <si>
    <t>江苏苏美达能源控股有限公司</t>
    <phoneticPr fontId="11" type="noConversion"/>
  </si>
  <si>
    <t>大庆春雷农场苏美达</t>
    <phoneticPr fontId="11" type="noConversion"/>
  </si>
  <si>
    <t>约90%</t>
    <phoneticPr fontId="11" type="noConversion"/>
  </si>
  <si>
    <t>2018.6.29</t>
    <phoneticPr fontId="11" type="noConversion"/>
  </si>
  <si>
    <t>2018.7.3</t>
    <phoneticPr fontId="11" type="noConversion"/>
  </si>
  <si>
    <t>电子商业承兑汇票</t>
    <phoneticPr fontId="11" type="noConversion"/>
  </si>
  <si>
    <t>2018年5月17日50万元电子商业承兑汇票贴现到账</t>
    <phoneticPr fontId="11" type="noConversion"/>
  </si>
  <si>
    <t>约33%</t>
    <phoneticPr fontId="11" type="noConversion"/>
  </si>
  <si>
    <t>约22%</t>
    <phoneticPr fontId="11" type="noConversion"/>
  </si>
  <si>
    <t>部分到货款+部分验收款</t>
    <phoneticPr fontId="11" type="noConversion"/>
  </si>
  <si>
    <t>王龙波</t>
    <phoneticPr fontId="11" type="noConversion"/>
  </si>
  <si>
    <t>2018.7.9</t>
    <phoneticPr fontId="11" type="noConversion"/>
  </si>
  <si>
    <t>到货款+验收款</t>
    <phoneticPr fontId="11" type="noConversion"/>
  </si>
  <si>
    <t>2018.7.11</t>
    <phoneticPr fontId="11" type="noConversion"/>
  </si>
  <si>
    <t>林口胜利风力发电有限公司</t>
  </si>
  <si>
    <t>林口胜利</t>
  </si>
  <si>
    <t>约12%</t>
    <phoneticPr fontId="11" type="noConversion"/>
  </si>
  <si>
    <t>2018.7.12</t>
    <phoneticPr fontId="11" type="noConversion"/>
  </si>
  <si>
    <t>2018.7.13</t>
    <phoneticPr fontId="11" type="noConversion"/>
  </si>
  <si>
    <t>客户名称：大唐桦南风力发电有限公司</t>
    <phoneticPr fontId="11" type="noConversion"/>
  </si>
  <si>
    <t>客户名称：大唐集贤风力发电有限公司</t>
    <phoneticPr fontId="11" type="noConversion"/>
  </si>
  <si>
    <t>马梦迪</t>
    <phoneticPr fontId="11" type="noConversion"/>
  </si>
  <si>
    <t>湖南汝城东岗岭</t>
    <phoneticPr fontId="11" type="noConversion"/>
  </si>
  <si>
    <t>电子银行承兑汇票，汇票开具日期2018年6月12日，到期日期2019年1月12日</t>
    <phoneticPr fontId="11" type="noConversion"/>
  </si>
  <si>
    <t>电子商业承兑汇票，汇票开具日期2018年7月2日，到期日期2019年1月2日</t>
    <phoneticPr fontId="11" type="noConversion"/>
  </si>
  <si>
    <t>约31%</t>
    <phoneticPr fontId="11" type="noConversion"/>
  </si>
  <si>
    <t>电子银行承兑汇票，汇票开具日期2018年7月6日，到期日期2019年7月6日</t>
    <phoneticPr fontId="11" type="noConversion"/>
  </si>
  <si>
    <t>2018.7.16</t>
    <phoneticPr fontId="11" type="noConversion"/>
  </si>
  <si>
    <t>大庆宏伟</t>
    <phoneticPr fontId="11" type="noConversion"/>
  </si>
  <si>
    <t>2018.7.17</t>
    <phoneticPr fontId="11" type="noConversion"/>
  </si>
  <si>
    <t>大个岭</t>
    <phoneticPr fontId="11" type="noConversion"/>
  </si>
  <si>
    <t>2018.7.18</t>
    <phoneticPr fontId="11" type="noConversion"/>
  </si>
  <si>
    <t>兴隆新海</t>
    <phoneticPr fontId="11" type="noConversion"/>
  </si>
  <si>
    <t>2018.7.20</t>
    <phoneticPr fontId="11" type="noConversion"/>
  </si>
  <si>
    <t>大唐集贤风力发电公司</t>
    <phoneticPr fontId="11" type="noConversion"/>
  </si>
  <si>
    <t>2018.7.25</t>
    <phoneticPr fontId="11" type="noConversion"/>
  </si>
  <si>
    <t>黑龙江龙源新能源发展有限公司金山分公司</t>
    <phoneticPr fontId="11" type="noConversion"/>
  </si>
  <si>
    <t>2018.7.26</t>
    <phoneticPr fontId="11" type="noConversion"/>
  </si>
  <si>
    <t>黑龙江龙源新能源发展有限公司桦南雄亚分公司</t>
    <phoneticPr fontId="11" type="noConversion"/>
  </si>
  <si>
    <t>2018.7.27</t>
    <phoneticPr fontId="11" type="noConversion"/>
  </si>
  <si>
    <t>黑龙江龙源新能源发展有限公司克山分公司</t>
    <phoneticPr fontId="11" type="noConversion"/>
  </si>
  <si>
    <t>黑龙江龙源新能源发展有限公司黑河分公司</t>
    <phoneticPr fontId="11" type="noConversion"/>
  </si>
  <si>
    <t>约13%</t>
    <phoneticPr fontId="11" type="noConversion"/>
  </si>
  <si>
    <t>2018.7.25</t>
    <phoneticPr fontId="11" type="noConversion"/>
  </si>
  <si>
    <t>马梦迪</t>
    <phoneticPr fontId="11" type="noConversion"/>
  </si>
  <si>
    <t>2018.7.31</t>
    <phoneticPr fontId="11" type="noConversion"/>
  </si>
  <si>
    <t>国电霞浦延亭风力发电有限公司</t>
    <phoneticPr fontId="11" type="noConversion"/>
  </si>
  <si>
    <t>霞浦马耳山</t>
    <phoneticPr fontId="11" type="noConversion"/>
  </si>
  <si>
    <t>国电霞浦延亭风力发电有限公司</t>
    <phoneticPr fontId="11" type="noConversion"/>
  </si>
  <si>
    <t>2018.8.1</t>
    <phoneticPr fontId="11" type="noConversion"/>
  </si>
  <si>
    <t>2018.8.2</t>
    <phoneticPr fontId="11" type="noConversion"/>
  </si>
  <si>
    <t>18069-1</t>
    <phoneticPr fontId="11" type="noConversion"/>
  </si>
  <si>
    <t>18069-2</t>
    <phoneticPr fontId="11" type="noConversion"/>
  </si>
  <si>
    <t>庄河</t>
    <phoneticPr fontId="11" type="noConversion"/>
  </si>
  <si>
    <t>王星</t>
    <phoneticPr fontId="11" type="noConversion"/>
  </si>
  <si>
    <t>大箐山</t>
    <phoneticPr fontId="11" type="noConversion"/>
  </si>
  <si>
    <t>石帽顶子</t>
    <phoneticPr fontId="11" type="noConversion"/>
  </si>
  <si>
    <t>耳朵眼</t>
    <phoneticPr fontId="11" type="noConversion"/>
  </si>
  <si>
    <t>18068-1</t>
    <phoneticPr fontId="11" type="noConversion"/>
  </si>
  <si>
    <t>18068-2</t>
    <phoneticPr fontId="11" type="noConversion"/>
  </si>
  <si>
    <t>18068-3</t>
    <phoneticPr fontId="11" type="noConversion"/>
  </si>
  <si>
    <t>2018.8.13</t>
    <phoneticPr fontId="11" type="noConversion"/>
  </si>
  <si>
    <t>约21.90%</t>
    <phoneticPr fontId="11" type="noConversion"/>
  </si>
  <si>
    <t>2018年4月16日收到一张承兑汇票30万元， 汇票到期日期2018年5月28日。分两个项目，合同17044为9.2万元，合同17043为20.8万元</t>
    <phoneticPr fontId="11" type="noConversion"/>
  </si>
  <si>
    <t>湖北百里荒</t>
    <phoneticPr fontId="11" type="noConversion"/>
  </si>
  <si>
    <t>2018.8.13收到电子银行承兑汇票10万，汇票开具日期2018年7月20日，到期日期2019年7月20日；分两个项目， 合同15002湖南汝城东岗岭为6.9924万元，合同15002湖北百里荒风电场为3.0076万元</t>
    <phoneticPr fontId="11" type="noConversion"/>
  </si>
  <si>
    <t>约9.42%</t>
    <phoneticPr fontId="11" type="noConversion"/>
  </si>
  <si>
    <t>2018.8.21</t>
    <phoneticPr fontId="11" type="noConversion"/>
  </si>
  <si>
    <t>伊春华宇电力新能源有限公司</t>
  </si>
  <si>
    <t>阿廷河</t>
    <phoneticPr fontId="11" type="noConversion"/>
  </si>
  <si>
    <t>伊春美林</t>
    <phoneticPr fontId="11" type="noConversion"/>
  </si>
  <si>
    <t>福能埭头（莆田）风力发电有限公司</t>
    <phoneticPr fontId="11" type="noConversion"/>
  </si>
  <si>
    <t>18052-1</t>
    <phoneticPr fontId="6" type="noConversion"/>
  </si>
  <si>
    <t>18052-2</t>
  </si>
  <si>
    <t>2018.8.22</t>
    <phoneticPr fontId="11" type="noConversion"/>
  </si>
  <si>
    <t>乌尔古力、五顶山</t>
  </si>
  <si>
    <t>2018.8.23</t>
    <phoneticPr fontId="11" type="noConversion"/>
  </si>
  <si>
    <r>
      <t>18039</t>
    </r>
    <r>
      <rPr>
        <sz val="9"/>
        <rFont val="宋体"/>
        <family val="3"/>
        <charset val="134"/>
      </rPr>
      <t>-1</t>
    </r>
    <phoneticPr fontId="6" type="noConversion"/>
  </si>
  <si>
    <r>
      <t>18039</t>
    </r>
    <r>
      <rPr>
        <sz val="9"/>
        <rFont val="宋体"/>
        <family val="3"/>
        <charset val="134"/>
      </rPr>
      <t>-2</t>
    </r>
    <phoneticPr fontId="6" type="noConversion"/>
  </si>
  <si>
    <t>龙井市智新镇光伏扶贫项目</t>
    <phoneticPr fontId="6" type="noConversion"/>
  </si>
  <si>
    <t>2018.8.24</t>
    <phoneticPr fontId="11" type="noConversion"/>
  </si>
  <si>
    <t>省山</t>
  </si>
  <si>
    <r>
      <t>1</t>
    </r>
    <r>
      <rPr>
        <sz val="9"/>
        <rFont val="宋体"/>
        <family val="3"/>
        <charset val="134"/>
      </rPr>
      <t>8049-1</t>
    </r>
    <phoneticPr fontId="6" type="noConversion"/>
  </si>
  <si>
    <r>
      <t>1</t>
    </r>
    <r>
      <rPr>
        <sz val="9"/>
        <rFont val="宋体"/>
        <family val="3"/>
        <charset val="134"/>
      </rPr>
      <t>8049-2</t>
    </r>
    <r>
      <rPr>
        <sz val="11"/>
        <color indexed="8"/>
        <rFont val="宋体"/>
        <family val="3"/>
        <charset val="134"/>
      </rPr>
      <t/>
    </r>
  </si>
  <si>
    <t>福能平海（莆田）风力发电有限公司</t>
    <phoneticPr fontId="11" type="noConversion"/>
  </si>
  <si>
    <t>石塘</t>
  </si>
  <si>
    <t>18051-1</t>
    <phoneticPr fontId="6" type="noConversion"/>
  </si>
  <si>
    <t>18051-2</t>
  </si>
  <si>
    <t>隆教</t>
  </si>
  <si>
    <t>18050-1</t>
    <phoneticPr fontId="6" type="noConversion"/>
  </si>
  <si>
    <t>18050-2</t>
  </si>
  <si>
    <t>到货款+验收款+质保款</t>
    <phoneticPr fontId="11" type="noConversion"/>
  </si>
  <si>
    <t>预付款+到货款+验收款</t>
    <phoneticPr fontId="11" type="noConversion"/>
  </si>
  <si>
    <t>坵坪</t>
    <phoneticPr fontId="11" type="noConversion"/>
  </si>
  <si>
    <t>大安风水山</t>
    <phoneticPr fontId="11" type="noConversion"/>
  </si>
  <si>
    <t>2018.8.27</t>
    <phoneticPr fontId="11" type="noConversion"/>
  </si>
  <si>
    <t>约9.20%</t>
    <phoneticPr fontId="11" type="noConversion"/>
  </si>
  <si>
    <t>腾字</t>
    <phoneticPr fontId="11" type="noConversion"/>
  </si>
  <si>
    <t>马梦迪</t>
  </si>
  <si>
    <t>2018.8.28</t>
    <phoneticPr fontId="11" type="noConversion"/>
  </si>
  <si>
    <t>霞浦廷亭</t>
    <phoneticPr fontId="11" type="noConversion"/>
  </si>
  <si>
    <t>2018.8.29</t>
    <phoneticPr fontId="11" type="noConversion"/>
  </si>
  <si>
    <t>国家电投集团广西金紫山风电有限公司</t>
    <phoneticPr fontId="11" type="noConversion"/>
  </si>
  <si>
    <t>约31.65%</t>
    <phoneticPr fontId="11" type="noConversion"/>
  </si>
  <si>
    <t>2018.9.3</t>
    <phoneticPr fontId="11" type="noConversion"/>
  </si>
  <si>
    <t>五凌布尔津电力有限公司</t>
    <phoneticPr fontId="11" type="noConversion"/>
  </si>
  <si>
    <t>张铁民</t>
    <phoneticPr fontId="11" type="noConversion"/>
  </si>
  <si>
    <t>布尔津</t>
    <phoneticPr fontId="11" type="noConversion"/>
  </si>
  <si>
    <t>富裕友谊一期</t>
  </si>
  <si>
    <t>2018.9.10</t>
    <phoneticPr fontId="11" type="noConversion"/>
  </si>
  <si>
    <t>兴隆、新海</t>
    <phoneticPr fontId="11" type="noConversion"/>
  </si>
  <si>
    <t>2018.9.12</t>
    <phoneticPr fontId="11" type="noConversion"/>
  </si>
  <si>
    <t>长岭中电建新能源风力发电有限责任公司</t>
    <phoneticPr fontId="11" type="noConversion"/>
  </si>
  <si>
    <t>18018-3</t>
    <phoneticPr fontId="11" type="noConversion"/>
  </si>
  <si>
    <t>长岭王子三期</t>
    <phoneticPr fontId="11" type="noConversion"/>
  </si>
  <si>
    <t>王星</t>
    <phoneticPr fontId="11" type="noConversion"/>
  </si>
  <si>
    <t>2018.9.13</t>
    <phoneticPr fontId="11" type="noConversion"/>
  </si>
  <si>
    <t>中水电中电风力发电有限公司</t>
    <phoneticPr fontId="11" type="noConversion"/>
  </si>
  <si>
    <t>长岭王子二期</t>
    <phoneticPr fontId="11" type="noConversion"/>
  </si>
  <si>
    <t>18018-2</t>
    <phoneticPr fontId="11" type="noConversion"/>
  </si>
  <si>
    <t>服务费</t>
    <phoneticPr fontId="11" type="noConversion"/>
  </si>
  <si>
    <t>2018.9.20</t>
    <phoneticPr fontId="11" type="noConversion"/>
  </si>
  <si>
    <t>乾安网新风电有限公司</t>
    <phoneticPr fontId="11" type="noConversion"/>
  </si>
  <si>
    <t>王星</t>
    <phoneticPr fontId="11" type="noConversion"/>
  </si>
  <si>
    <t>乾安</t>
  </si>
  <si>
    <t>服务费</t>
    <phoneticPr fontId="11" type="noConversion"/>
  </si>
  <si>
    <t>保定四方继保工程技术有限公司</t>
    <phoneticPr fontId="11" type="noConversion"/>
  </si>
  <si>
    <t>2018.9.26</t>
    <phoneticPr fontId="11" type="noConversion"/>
  </si>
  <si>
    <t>18041-2</t>
    <phoneticPr fontId="11" type="noConversion"/>
  </si>
  <si>
    <t>18041-1</t>
    <phoneticPr fontId="11" type="noConversion"/>
  </si>
  <si>
    <t>马梦迪</t>
    <phoneticPr fontId="11" type="noConversion"/>
  </si>
  <si>
    <t>安达利源</t>
    <phoneticPr fontId="6" type="noConversion"/>
  </si>
  <si>
    <t>2018.9.26收到电子银行承兑汇票20万，汇票开具日期2018年9月14日，到期日期2019年6月14日；分两个项目， 合同18041-1为15.79396万元，合同18041-2为4.20604万元</t>
    <phoneticPr fontId="11" type="noConversion"/>
  </si>
  <si>
    <t>2018.9.26收到电子银行承兑汇票20万，汇票开具日期2018年9月14日，到期日期2019年6月14日</t>
    <phoneticPr fontId="11" type="noConversion"/>
  </si>
  <si>
    <t>2018.9.26</t>
    <phoneticPr fontId="11" type="noConversion"/>
  </si>
  <si>
    <t>河南省第二建设集团有限公司</t>
    <phoneticPr fontId="11" type="noConversion"/>
  </si>
  <si>
    <t>安达3号、4号</t>
    <phoneticPr fontId="11" type="noConversion"/>
  </si>
  <si>
    <t>验收款</t>
    <phoneticPr fontId="11" type="noConversion"/>
  </si>
  <si>
    <t>马梦迪</t>
    <phoneticPr fontId="11" type="noConversion"/>
  </si>
  <si>
    <t>2018.9.26</t>
    <phoneticPr fontId="11" type="noConversion"/>
  </si>
  <si>
    <t>大庆绿源风力发电有限公司</t>
    <phoneticPr fontId="11" type="noConversion"/>
  </si>
  <si>
    <t>兴隆、新海</t>
  </si>
  <si>
    <t>李妍</t>
    <phoneticPr fontId="11" type="noConversion"/>
  </si>
  <si>
    <t>南京南瑞继保工程技术有限公司</t>
    <phoneticPr fontId="11" type="noConversion"/>
  </si>
  <si>
    <t>宣化阳城子</t>
  </si>
  <si>
    <t>质保款</t>
    <phoneticPr fontId="11" type="noConversion"/>
  </si>
  <si>
    <t>王龙波</t>
    <phoneticPr fontId="11" type="noConversion"/>
  </si>
  <si>
    <t>2018.9.28</t>
    <phoneticPr fontId="11" type="noConversion"/>
  </si>
  <si>
    <t>大唐集贤太平风力发电有限公司</t>
    <phoneticPr fontId="11" type="noConversion"/>
  </si>
  <si>
    <t>服务费</t>
    <phoneticPr fontId="11" type="noConversion"/>
  </si>
  <si>
    <t>太平</t>
    <phoneticPr fontId="11" type="noConversion"/>
  </si>
  <si>
    <t>李妍</t>
    <phoneticPr fontId="11" type="noConversion"/>
  </si>
  <si>
    <t>2018.9.28</t>
    <phoneticPr fontId="11" type="noConversion"/>
  </si>
  <si>
    <t>义县天润风电有限公司</t>
    <phoneticPr fontId="11" type="noConversion"/>
  </si>
  <si>
    <t>天润留龙沟</t>
  </si>
  <si>
    <t>服务费</t>
    <phoneticPr fontId="11" type="noConversion"/>
  </si>
  <si>
    <t>王星</t>
    <phoneticPr fontId="11" type="noConversion"/>
  </si>
  <si>
    <t>2018.9.28</t>
    <phoneticPr fontId="11" type="noConversion"/>
  </si>
  <si>
    <t>新疆华电十三间房风电有限责任公司</t>
    <phoneticPr fontId="11" type="noConversion"/>
  </si>
  <si>
    <t>服务费</t>
    <phoneticPr fontId="11" type="noConversion"/>
  </si>
  <si>
    <t>王龙波</t>
    <phoneticPr fontId="11" type="noConversion"/>
  </si>
  <si>
    <t>哈密力诺太阳能电力有限公司</t>
    <phoneticPr fontId="11" type="noConversion"/>
  </si>
  <si>
    <t>预付款+到货款+部分验收款</t>
    <phoneticPr fontId="11" type="noConversion"/>
  </si>
  <si>
    <t>剩余到货款+部分验收款</t>
    <phoneticPr fontId="11" type="noConversion"/>
  </si>
  <si>
    <t>剩余预付款+部分到货款</t>
    <phoneticPr fontId="11" type="noConversion"/>
  </si>
  <si>
    <t>2018.9.29</t>
    <phoneticPr fontId="11" type="noConversion"/>
  </si>
  <si>
    <t>合同款</t>
    <phoneticPr fontId="11" type="noConversion"/>
  </si>
  <si>
    <t>马梦迪</t>
    <phoneticPr fontId="11" type="noConversion"/>
  </si>
  <si>
    <t>2018.9.26收到电子银行承兑汇票20万，汇票开具日期2018年9月14日，到期日期2019年6月14日；分两个项目， 合同18041-1为15.79396万元，合同18041-2为4.20604万元</t>
    <phoneticPr fontId="11" type="noConversion"/>
  </si>
  <si>
    <t>2018.10.10</t>
    <phoneticPr fontId="11" type="noConversion"/>
  </si>
  <si>
    <t>锦州和兴风力发电有限公司</t>
  </si>
  <si>
    <t>黑山龙湾</t>
    <phoneticPr fontId="6" type="noConversion"/>
  </si>
  <si>
    <t>服务费</t>
    <phoneticPr fontId="11" type="noConversion"/>
  </si>
  <si>
    <t>王星</t>
    <phoneticPr fontId="11" type="noConversion"/>
  </si>
  <si>
    <t>黑山龙湾</t>
    <phoneticPr fontId="11" type="noConversion"/>
  </si>
  <si>
    <t>约6.90%</t>
    <phoneticPr fontId="11" type="noConversion"/>
  </si>
  <si>
    <t>验收款</t>
    <phoneticPr fontId="11" type="noConversion"/>
  </si>
  <si>
    <t>2018.10.8</t>
    <phoneticPr fontId="11" type="noConversion"/>
  </si>
  <si>
    <t>东方民生麻黄沟东风电一场（东方民生三塘湖一期、二期、三期、四期）</t>
    <phoneticPr fontId="6" type="noConversion"/>
  </si>
  <si>
    <t>服务费</t>
    <phoneticPr fontId="11" type="noConversion"/>
  </si>
  <si>
    <t>王龙波</t>
    <phoneticPr fontId="11" type="noConversion"/>
  </si>
  <si>
    <t>华电苦水东风电一场</t>
    <phoneticPr fontId="6" type="noConversion"/>
  </si>
  <si>
    <t>华电石城子光伏二电站</t>
    <phoneticPr fontId="6" type="noConversion"/>
  </si>
  <si>
    <t>华电石城子光伏电站</t>
    <phoneticPr fontId="6" type="noConversion"/>
  </si>
  <si>
    <t>2018.10.11</t>
    <phoneticPr fontId="11" type="noConversion"/>
  </si>
  <si>
    <t>哈密市东方民生太阳能源开发有限公司</t>
  </si>
  <si>
    <t>伊吾东方民生新能源有限公司</t>
  </si>
  <si>
    <t>新疆华电淖毛湖风电有限责任公司</t>
  </si>
  <si>
    <t>东方民生石城子光伏一电站</t>
    <phoneticPr fontId="6" type="noConversion"/>
  </si>
  <si>
    <t>东方民生淖毛湖</t>
    <phoneticPr fontId="6" type="noConversion"/>
  </si>
  <si>
    <t>华电淖毛湖风电一场（淖毛湖一期+淖毛湖二期）</t>
    <phoneticPr fontId="6" type="noConversion"/>
  </si>
  <si>
    <t>2018.10.12</t>
    <phoneticPr fontId="11" type="noConversion"/>
  </si>
  <si>
    <t>云霄汇海风电有限公司</t>
  </si>
  <si>
    <t>云霄曾江</t>
    <phoneticPr fontId="11" type="noConversion"/>
  </si>
  <si>
    <t>服务费</t>
    <phoneticPr fontId="11" type="noConversion"/>
  </si>
  <si>
    <t>秦英飞</t>
    <phoneticPr fontId="11" type="noConversion"/>
  </si>
  <si>
    <t>2018.10.15</t>
    <phoneticPr fontId="11" type="noConversion"/>
  </si>
  <si>
    <t>伊春太阳风新能源有限公司</t>
    <phoneticPr fontId="11" type="noConversion"/>
  </si>
  <si>
    <t>美林</t>
    <phoneticPr fontId="11" type="noConversion"/>
  </si>
  <si>
    <t>合同款</t>
    <phoneticPr fontId="11" type="noConversion"/>
  </si>
  <si>
    <t>马梦迪</t>
    <phoneticPr fontId="11" type="noConversion"/>
  </si>
  <si>
    <t>七台河丰润风力发电有限公司汤原分公司</t>
    <phoneticPr fontId="11" type="noConversion"/>
  </si>
  <si>
    <t>汤原渠首</t>
    <phoneticPr fontId="11" type="noConversion"/>
  </si>
  <si>
    <t>服务费</t>
    <phoneticPr fontId="11" type="noConversion"/>
  </si>
  <si>
    <t>2018.10.16</t>
    <phoneticPr fontId="11" type="noConversion"/>
  </si>
  <si>
    <t>神华宜君新能源有限责任公司</t>
    <phoneticPr fontId="11" type="noConversion"/>
  </si>
  <si>
    <t>国华云梦（二三期）</t>
    <phoneticPr fontId="11" type="noConversion"/>
  </si>
  <si>
    <t>到货款</t>
    <phoneticPr fontId="11" type="noConversion"/>
  </si>
  <si>
    <t>杨振坤</t>
    <phoneticPr fontId="11" type="noConversion"/>
  </si>
  <si>
    <t>2018.10.19</t>
    <phoneticPr fontId="11" type="noConversion"/>
  </si>
  <si>
    <t>福煤大蚶山（莆田）风电有限公司</t>
    <phoneticPr fontId="11" type="noConversion"/>
  </si>
  <si>
    <t>质保款</t>
    <phoneticPr fontId="11" type="noConversion"/>
  </si>
  <si>
    <t>秦英飞</t>
    <phoneticPr fontId="11" type="noConversion"/>
  </si>
  <si>
    <t>大蚶山</t>
    <phoneticPr fontId="11" type="noConversion"/>
  </si>
  <si>
    <t>2018.10.19</t>
    <phoneticPr fontId="11" type="noConversion"/>
  </si>
  <si>
    <t>大唐华安（齐齐哈尔）风力发电有限公司</t>
    <phoneticPr fontId="11" type="noConversion"/>
  </si>
  <si>
    <t>服务费</t>
    <phoneticPr fontId="11" type="noConversion"/>
  </si>
  <si>
    <t>李妍</t>
    <phoneticPr fontId="11" type="noConversion"/>
  </si>
  <si>
    <t>碾子山</t>
    <phoneticPr fontId="11" type="noConversion"/>
  </si>
  <si>
    <t>2018.10.22</t>
    <phoneticPr fontId="11" type="noConversion"/>
  </si>
  <si>
    <t>中国水电建设集团新能源开发有限责任公司长岭风电分公司</t>
    <phoneticPr fontId="11" type="noConversion"/>
  </si>
  <si>
    <t>18018-1</t>
    <phoneticPr fontId="11" type="noConversion"/>
  </si>
  <si>
    <t>长岭王子一期</t>
    <phoneticPr fontId="11" type="noConversion"/>
  </si>
  <si>
    <t>服务费</t>
    <phoneticPr fontId="11" type="noConversion"/>
  </si>
  <si>
    <t>王星</t>
    <phoneticPr fontId="11" type="noConversion"/>
  </si>
  <si>
    <t>南京南瑞继保工程技术有限公司</t>
    <phoneticPr fontId="11" type="noConversion"/>
  </si>
  <si>
    <t>大庆长元</t>
    <phoneticPr fontId="11" type="noConversion"/>
  </si>
  <si>
    <t>合同款</t>
    <phoneticPr fontId="11" type="noConversion"/>
  </si>
  <si>
    <t>马梦迪</t>
    <phoneticPr fontId="11" type="noConversion"/>
  </si>
  <si>
    <t>2018.10.23</t>
    <phoneticPr fontId="11" type="noConversion"/>
  </si>
  <si>
    <t>七台河丰润风力发电有限公司汤原分公司</t>
    <phoneticPr fontId="11" type="noConversion"/>
  </si>
  <si>
    <t>服务费</t>
    <phoneticPr fontId="11" type="noConversion"/>
  </si>
  <si>
    <t>马梦迪</t>
    <phoneticPr fontId="11" type="noConversion"/>
  </si>
  <si>
    <t>渠首</t>
    <phoneticPr fontId="11" type="noConversion"/>
  </si>
  <si>
    <t>华电虎林风力发电有限公司</t>
    <phoneticPr fontId="11" type="noConversion"/>
  </si>
  <si>
    <t>石青山</t>
    <phoneticPr fontId="11" type="noConversion"/>
  </si>
  <si>
    <t>2018.10.24</t>
    <phoneticPr fontId="11" type="noConversion"/>
  </si>
  <si>
    <t>朝阳远大新能源有限公司</t>
    <phoneticPr fontId="11" type="noConversion"/>
  </si>
  <si>
    <t>建平上新井</t>
    <phoneticPr fontId="11" type="noConversion"/>
  </si>
  <si>
    <t>预付款</t>
    <phoneticPr fontId="11" type="noConversion"/>
  </si>
  <si>
    <t>鞠云峰</t>
    <phoneticPr fontId="11" type="noConversion"/>
  </si>
  <si>
    <t>2018.10.25</t>
    <phoneticPr fontId="11" type="noConversion"/>
  </si>
  <si>
    <t>七台河丰润风力发电有限公司</t>
    <phoneticPr fontId="11" type="noConversion"/>
  </si>
  <si>
    <t>七里嘎山</t>
    <phoneticPr fontId="11" type="noConversion"/>
  </si>
  <si>
    <t>服务费</t>
    <phoneticPr fontId="11" type="noConversion"/>
  </si>
  <si>
    <t>马梦迪</t>
    <phoneticPr fontId="11" type="noConversion"/>
  </si>
  <si>
    <t>2018.10.25</t>
    <phoneticPr fontId="11" type="noConversion"/>
  </si>
  <si>
    <t>七台河宏浩风力发电有限公司</t>
    <phoneticPr fontId="11" type="noConversion"/>
  </si>
  <si>
    <t>义县中广核义北风力发电有限公司</t>
    <phoneticPr fontId="11" type="noConversion"/>
  </si>
  <si>
    <t>验收款</t>
    <phoneticPr fontId="11" type="noConversion"/>
  </si>
  <si>
    <t>王星</t>
    <phoneticPr fontId="11" type="noConversion"/>
  </si>
  <si>
    <t>2018.10.26</t>
    <phoneticPr fontId="11" type="noConversion"/>
  </si>
  <si>
    <t>河北华电尚义风力发电有限公司</t>
    <phoneticPr fontId="11" type="noConversion"/>
  </si>
  <si>
    <t>尚义二工地</t>
    <phoneticPr fontId="11" type="noConversion"/>
  </si>
  <si>
    <t>王龙波</t>
    <phoneticPr fontId="11" type="noConversion"/>
  </si>
  <si>
    <t>服务费</t>
    <phoneticPr fontId="11" type="noConversion"/>
  </si>
  <si>
    <t>2018.10.29</t>
    <phoneticPr fontId="11" type="noConversion"/>
  </si>
  <si>
    <t>新疆华电苇湖梁新能源有限公司</t>
    <phoneticPr fontId="11" type="noConversion"/>
  </si>
  <si>
    <t>18070-1</t>
    <phoneticPr fontId="11" type="noConversion"/>
  </si>
  <si>
    <t>18070-2</t>
    <phoneticPr fontId="11" type="noConversion"/>
  </si>
  <si>
    <t>华电达坂城大连湖风电一场</t>
    <phoneticPr fontId="6" type="noConversion"/>
  </si>
  <si>
    <t>华电达坂城西沟风电一场</t>
    <phoneticPr fontId="6" type="noConversion"/>
  </si>
  <si>
    <t>服务费</t>
    <phoneticPr fontId="11" type="noConversion"/>
  </si>
  <si>
    <t>18070-3</t>
  </si>
  <si>
    <t>华电达坂城白杨沟风电一场</t>
    <phoneticPr fontId="6" type="noConversion"/>
  </si>
  <si>
    <t>2018.10.29</t>
    <phoneticPr fontId="11" type="noConversion"/>
  </si>
  <si>
    <t>国家电力投资集团有限公司物资装备分公司</t>
    <phoneticPr fontId="11" type="noConversion"/>
  </si>
  <si>
    <t>质保款</t>
    <phoneticPr fontId="11" type="noConversion"/>
  </si>
  <si>
    <t>秦英飞</t>
    <phoneticPr fontId="11" type="noConversion"/>
  </si>
  <si>
    <t>金紫山</t>
    <phoneticPr fontId="11" type="noConversion"/>
  </si>
  <si>
    <t>中国电力投资集团公司物资装备分公司</t>
    <phoneticPr fontId="11" type="noConversion"/>
  </si>
  <si>
    <t>2018.10.31</t>
    <phoneticPr fontId="11" type="noConversion"/>
  </si>
  <si>
    <t>华电龙口风电有限公司</t>
    <phoneticPr fontId="11" type="noConversion"/>
  </si>
  <si>
    <t>合同款</t>
    <phoneticPr fontId="11" type="noConversion"/>
  </si>
  <si>
    <t>王龙波</t>
    <phoneticPr fontId="11" type="noConversion"/>
  </si>
  <si>
    <t>龙口</t>
    <phoneticPr fontId="11" type="noConversion"/>
  </si>
  <si>
    <t>2018.10.31</t>
    <phoneticPr fontId="11" type="noConversion"/>
  </si>
  <si>
    <t>华能定边新能源发电有限公司</t>
    <phoneticPr fontId="11" type="noConversion"/>
  </si>
  <si>
    <t>贺圈</t>
    <phoneticPr fontId="11" type="noConversion"/>
  </si>
  <si>
    <t>合同款</t>
    <phoneticPr fontId="11" type="noConversion"/>
  </si>
  <si>
    <t>杨振坤</t>
    <phoneticPr fontId="11" type="noConversion"/>
  </si>
  <si>
    <t>2018.11.1</t>
    <phoneticPr fontId="11" type="noConversion"/>
  </si>
  <si>
    <t>华能江西清洁能源有限责任公司</t>
    <phoneticPr fontId="11" type="noConversion"/>
  </si>
  <si>
    <t>高龙山</t>
    <phoneticPr fontId="11" type="noConversion"/>
  </si>
  <si>
    <t>预付款</t>
    <phoneticPr fontId="11" type="noConversion"/>
  </si>
  <si>
    <t>秦英飞</t>
    <phoneticPr fontId="11" type="noConversion"/>
  </si>
  <si>
    <t>黑龙江富龙风能科技开发有限责任公司</t>
    <phoneticPr fontId="11" type="noConversion"/>
  </si>
  <si>
    <t>服务费</t>
    <phoneticPr fontId="11" type="noConversion"/>
  </si>
  <si>
    <t>马梦迪</t>
    <phoneticPr fontId="11" type="noConversion"/>
  </si>
  <si>
    <t>2018.11.1</t>
    <phoneticPr fontId="11" type="noConversion"/>
  </si>
  <si>
    <t>杨振坤</t>
    <phoneticPr fontId="11" type="noConversion"/>
  </si>
  <si>
    <t>2018年11月1日收到一张承兑汇票2.6457万元， 汇票出票日期为2018年9月30日，到期日期2019年2月26日</t>
    <phoneticPr fontId="11" type="noConversion"/>
  </si>
  <si>
    <t>岐山</t>
    <phoneticPr fontId="11" type="noConversion"/>
  </si>
  <si>
    <t>部分到货款</t>
    <phoneticPr fontId="11" type="noConversion"/>
  </si>
  <si>
    <t>2018.11.3</t>
    <phoneticPr fontId="11" type="noConversion"/>
  </si>
  <si>
    <t>锦州和兴风力发电有限公司</t>
    <phoneticPr fontId="11" type="noConversion"/>
  </si>
  <si>
    <t>黑山龙湾</t>
    <phoneticPr fontId="11" type="noConversion"/>
  </si>
  <si>
    <t>王星</t>
    <phoneticPr fontId="11" type="noConversion"/>
  </si>
  <si>
    <t>剩余验收款+部分质保金</t>
    <phoneticPr fontId="11" type="noConversion"/>
  </si>
  <si>
    <t>2018.11.7</t>
    <phoneticPr fontId="11" type="noConversion"/>
  </si>
  <si>
    <t>龙江杏山风力发电有限公司</t>
  </si>
  <si>
    <t>双鸭山老平岗风力发电有限公司</t>
    <phoneticPr fontId="11" type="noConversion"/>
  </si>
  <si>
    <t>安邦河</t>
  </si>
  <si>
    <t>哈拉海</t>
  </si>
  <si>
    <t>预付款+验收款</t>
    <phoneticPr fontId="11" type="noConversion"/>
  </si>
  <si>
    <t>2018.11.13</t>
    <phoneticPr fontId="11" type="noConversion"/>
  </si>
  <si>
    <t>安达中广核太阳能科技有限公司</t>
    <phoneticPr fontId="11" type="noConversion"/>
  </si>
  <si>
    <t>安达万宝山</t>
    <phoneticPr fontId="11" type="noConversion"/>
  </si>
  <si>
    <t>2018.11.13</t>
    <phoneticPr fontId="11" type="noConversion"/>
  </si>
  <si>
    <t>大庆银浪风力发电有限公司</t>
    <phoneticPr fontId="11" type="noConversion"/>
  </si>
  <si>
    <t>大庆银浪</t>
    <phoneticPr fontId="11" type="noConversion"/>
  </si>
  <si>
    <t>2018.11.16</t>
    <phoneticPr fontId="11" type="noConversion"/>
  </si>
  <si>
    <t>吉林中广核风力发电有限公司</t>
    <phoneticPr fontId="11" type="noConversion"/>
  </si>
  <si>
    <t>大岗子</t>
    <phoneticPr fontId="11" type="noConversion"/>
  </si>
  <si>
    <t>王星</t>
    <phoneticPr fontId="11" type="noConversion"/>
  </si>
  <si>
    <t>服务费</t>
    <phoneticPr fontId="11" type="noConversion"/>
  </si>
  <si>
    <t>2018.11.20</t>
    <phoneticPr fontId="11" type="noConversion"/>
  </si>
  <si>
    <t>马梦迪</t>
    <phoneticPr fontId="11" type="noConversion"/>
  </si>
  <si>
    <t>安达中广核新能源有限公司</t>
    <phoneticPr fontId="11" type="noConversion"/>
  </si>
  <si>
    <t>安达农义</t>
  </si>
  <si>
    <t>2018.11.21</t>
    <phoneticPr fontId="11" type="noConversion"/>
  </si>
  <si>
    <t>福能（仙游）风力发电有限责任公司</t>
  </si>
  <si>
    <t>福能草山</t>
    <phoneticPr fontId="11" type="noConversion"/>
  </si>
  <si>
    <t>质保款</t>
    <phoneticPr fontId="11" type="noConversion"/>
  </si>
  <si>
    <t>秦英飞</t>
    <phoneticPr fontId="11" type="noConversion"/>
  </si>
  <si>
    <t>2018.11.22</t>
    <phoneticPr fontId="11" type="noConversion"/>
  </si>
  <si>
    <t>通河龙源风力发电有限公司</t>
    <phoneticPr fontId="11" type="noConversion"/>
  </si>
  <si>
    <t>岔林河</t>
    <phoneticPr fontId="11" type="noConversion"/>
  </si>
  <si>
    <t>服务费</t>
    <phoneticPr fontId="11" type="noConversion"/>
  </si>
  <si>
    <t>2018.11.22</t>
    <phoneticPr fontId="11" type="noConversion"/>
  </si>
  <si>
    <t>华电吉林双辽风力发电有限公司</t>
    <phoneticPr fontId="11" type="noConversion"/>
  </si>
  <si>
    <t>陕西金电电子科技有限责任公司</t>
    <phoneticPr fontId="11" type="noConversion"/>
  </si>
  <si>
    <t>部分到货款</t>
    <phoneticPr fontId="11" type="noConversion"/>
  </si>
  <si>
    <t>约12.90%</t>
    <phoneticPr fontId="11" type="noConversion"/>
  </si>
  <si>
    <t>服务费</t>
    <phoneticPr fontId="11" type="noConversion"/>
  </si>
  <si>
    <t>王星</t>
    <phoneticPr fontId="11" type="noConversion"/>
  </si>
  <si>
    <t>双辽那木斯</t>
    <phoneticPr fontId="11" type="noConversion"/>
  </si>
  <si>
    <t>2018.11.23</t>
    <phoneticPr fontId="11" type="noConversion"/>
  </si>
  <si>
    <t>黑龙江龙源新能源发展有限公司黑河分公司</t>
    <phoneticPr fontId="11" type="noConversion"/>
  </si>
  <si>
    <t>大黑山</t>
    <phoneticPr fontId="11" type="noConversion"/>
  </si>
  <si>
    <t>黑龙江龙源新能源发展有限公司杜尔伯特分公司</t>
    <phoneticPr fontId="11" type="noConversion"/>
  </si>
  <si>
    <t>草原</t>
    <phoneticPr fontId="11" type="noConversion"/>
  </si>
  <si>
    <t>伊春龙源风力发电有限公司</t>
    <phoneticPr fontId="11" type="noConversion"/>
  </si>
  <si>
    <t>小城山</t>
    <phoneticPr fontId="11" type="noConversion"/>
  </si>
  <si>
    <t>伊春龙源雄亚风力发电有限公司</t>
    <phoneticPr fontId="11" type="noConversion"/>
  </si>
  <si>
    <t>白山</t>
    <phoneticPr fontId="11" type="noConversion"/>
  </si>
  <si>
    <t>伊春兴安岭风力发电有限公司</t>
    <phoneticPr fontId="11" type="noConversion"/>
  </si>
  <si>
    <t>大箐山</t>
    <phoneticPr fontId="6" type="noConversion"/>
  </si>
  <si>
    <t>石帽顶子</t>
    <phoneticPr fontId="6" type="noConversion"/>
  </si>
  <si>
    <t>耳朵眼</t>
    <phoneticPr fontId="6" type="noConversion"/>
  </si>
  <si>
    <t>岭东</t>
    <phoneticPr fontId="6" type="noConversion"/>
  </si>
  <si>
    <r>
      <t>1</t>
    </r>
    <r>
      <rPr>
        <sz val="9"/>
        <rFont val="宋体"/>
        <family val="3"/>
        <charset val="134"/>
      </rPr>
      <t>8072-1</t>
    </r>
    <phoneticPr fontId="6" type="noConversion"/>
  </si>
  <si>
    <r>
      <t>1</t>
    </r>
    <r>
      <rPr>
        <sz val="9"/>
        <rFont val="宋体"/>
        <family val="3"/>
        <charset val="134"/>
      </rPr>
      <t>8072-2</t>
    </r>
    <r>
      <rPr>
        <sz val="11"/>
        <color indexed="8"/>
        <rFont val="宋体"/>
        <family val="3"/>
        <charset val="134"/>
      </rPr>
      <t/>
    </r>
  </si>
  <si>
    <r>
      <t>1</t>
    </r>
    <r>
      <rPr>
        <sz val="9"/>
        <rFont val="宋体"/>
        <family val="3"/>
        <charset val="134"/>
      </rPr>
      <t>8072-3</t>
    </r>
    <r>
      <rPr>
        <sz val="11"/>
        <color indexed="8"/>
        <rFont val="宋体"/>
        <family val="3"/>
        <charset val="134"/>
      </rPr>
      <t/>
    </r>
  </si>
  <si>
    <r>
      <t>1</t>
    </r>
    <r>
      <rPr>
        <sz val="9"/>
        <rFont val="宋体"/>
        <family val="3"/>
        <charset val="134"/>
      </rPr>
      <t>8072-4</t>
    </r>
    <r>
      <rPr>
        <sz val="11"/>
        <color indexed="8"/>
        <rFont val="宋体"/>
        <family val="3"/>
        <charset val="134"/>
      </rPr>
      <t/>
    </r>
  </si>
  <si>
    <t>2018年11月23日回款504000元。</t>
    <phoneticPr fontId="11" type="noConversion"/>
  </si>
  <si>
    <t>2018.11.23</t>
    <phoneticPr fontId="11" type="noConversion"/>
  </si>
  <si>
    <t>剩余到货款+验收款</t>
    <phoneticPr fontId="11" type="noConversion"/>
  </si>
  <si>
    <t>王龙波</t>
    <phoneticPr fontId="11" type="noConversion"/>
  </si>
  <si>
    <t>湖北百里荒</t>
    <phoneticPr fontId="11" type="noConversion"/>
  </si>
  <si>
    <t>约80.58%</t>
    <phoneticPr fontId="11" type="noConversion"/>
  </si>
  <si>
    <t>安徽南谯五个风电场</t>
    <phoneticPr fontId="11" type="noConversion"/>
  </si>
  <si>
    <t>约29.01%</t>
    <phoneticPr fontId="11" type="noConversion"/>
  </si>
  <si>
    <t>部分到货款</t>
    <phoneticPr fontId="11" type="noConversion"/>
  </si>
  <si>
    <t>2018年11月23日收到一张电子银行承兑汇票35万元， 汇票出票日期为2018年2月12日，到期日期2019年2月12日。分两个项目， 合同百里荒为25.7348万元，合同南谯为9.2652万元</t>
    <phoneticPr fontId="11" type="noConversion"/>
  </si>
  <si>
    <t>2018.11.26</t>
    <phoneticPr fontId="11" type="noConversion"/>
  </si>
  <si>
    <t>望云峰</t>
    <phoneticPr fontId="11" type="noConversion"/>
  </si>
  <si>
    <t>依兰龙源风力发电有限公司</t>
    <phoneticPr fontId="11" type="noConversion"/>
  </si>
  <si>
    <t>马鞍山</t>
    <phoneticPr fontId="11" type="noConversion"/>
  </si>
  <si>
    <t>2018.11.22</t>
    <phoneticPr fontId="11" type="noConversion"/>
  </si>
  <si>
    <t>昌黎新天风能有限公司</t>
    <phoneticPr fontId="11" type="noConversion"/>
  </si>
  <si>
    <t>建投七里</t>
    <phoneticPr fontId="11" type="noConversion"/>
  </si>
  <si>
    <t>王龙波</t>
    <phoneticPr fontId="11" type="noConversion"/>
  </si>
  <si>
    <t>验收款</t>
    <phoneticPr fontId="11" type="noConversion"/>
  </si>
  <si>
    <t>2018.11.27</t>
    <phoneticPr fontId="11" type="noConversion"/>
  </si>
  <si>
    <t>桦南龙源风力发电有限公司</t>
    <phoneticPr fontId="11" type="noConversion"/>
  </si>
  <si>
    <t>横岱山</t>
    <phoneticPr fontId="11" type="noConversion"/>
  </si>
  <si>
    <t>抚远龙源风力发电有限公司</t>
    <phoneticPr fontId="11" type="noConversion"/>
  </si>
  <si>
    <t>大蜂山</t>
    <phoneticPr fontId="11" type="noConversion"/>
  </si>
  <si>
    <t>双鸭山龙源风力发电有限公司</t>
    <phoneticPr fontId="11" type="noConversion"/>
  </si>
  <si>
    <t>蝙蝠山</t>
    <phoneticPr fontId="11" type="noConversion"/>
  </si>
  <si>
    <t>黑龙江龙源新能源发展有限公司桦南雄亚分公司</t>
    <phoneticPr fontId="11" type="noConversion"/>
  </si>
  <si>
    <t>驿马山</t>
    <phoneticPr fontId="11" type="noConversion"/>
  </si>
  <si>
    <t>海林龙源风力发电有限公司</t>
    <phoneticPr fontId="11" type="noConversion"/>
  </si>
  <si>
    <t>小锅盔</t>
    <phoneticPr fontId="11" type="noConversion"/>
  </si>
  <si>
    <t>2018.11.27</t>
    <phoneticPr fontId="11" type="noConversion"/>
  </si>
  <si>
    <t>密山临河风力发电有限公司</t>
    <phoneticPr fontId="11" type="noConversion"/>
  </si>
  <si>
    <t>兴凯湖</t>
    <phoneticPr fontId="11" type="noConversion"/>
  </si>
  <si>
    <t>2018.11.28</t>
    <phoneticPr fontId="11" type="noConversion"/>
  </si>
  <si>
    <t>中广核大北山（瓦房店）风力发电有限公司</t>
    <phoneticPr fontId="11" type="noConversion"/>
  </si>
  <si>
    <t>黑龙江龙源新能源发展有限公司克山分公司</t>
    <phoneticPr fontId="11" type="noConversion"/>
  </si>
  <si>
    <t>曙光</t>
    <phoneticPr fontId="11" type="noConversion"/>
  </si>
  <si>
    <t>黑龙江龙源新能源发展有限公司克东分公司</t>
    <phoneticPr fontId="11" type="noConversion"/>
  </si>
  <si>
    <t>爱华</t>
    <phoneticPr fontId="11" type="noConversion"/>
  </si>
  <si>
    <t>质保款</t>
    <phoneticPr fontId="11" type="noConversion"/>
  </si>
  <si>
    <t>王星</t>
    <phoneticPr fontId="11" type="noConversion"/>
  </si>
  <si>
    <t>陕西光伏太阳能发电有限公司</t>
    <phoneticPr fontId="11" type="noConversion"/>
  </si>
  <si>
    <t>2018.11.28</t>
    <phoneticPr fontId="11" type="noConversion"/>
  </si>
  <si>
    <t>上欠井</t>
    <phoneticPr fontId="11" type="noConversion"/>
  </si>
  <si>
    <t>杨振坤</t>
    <phoneticPr fontId="11" type="noConversion"/>
  </si>
  <si>
    <t>服务费</t>
    <phoneticPr fontId="11" type="noConversion"/>
  </si>
  <si>
    <t>2018.11.29</t>
    <phoneticPr fontId="11" type="noConversion"/>
  </si>
  <si>
    <t>华能钟祥风电有限责任公司</t>
    <phoneticPr fontId="11" type="noConversion"/>
  </si>
  <si>
    <t>到货款</t>
    <phoneticPr fontId="11" type="noConversion"/>
  </si>
  <si>
    <t>秦英飞</t>
    <phoneticPr fontId="11" type="noConversion"/>
  </si>
  <si>
    <t>钟祥胡家湾</t>
    <phoneticPr fontId="11" type="noConversion"/>
  </si>
  <si>
    <t>南京国电南自电网自动化有限公司</t>
    <phoneticPr fontId="11" type="noConversion"/>
  </si>
  <si>
    <t>马梦迪</t>
    <phoneticPr fontId="11" type="noConversion"/>
  </si>
  <si>
    <t>到货款</t>
    <phoneticPr fontId="11" type="noConversion"/>
  </si>
  <si>
    <t>大庆肇州80MW单晶</t>
    <phoneticPr fontId="6" type="noConversion"/>
  </si>
  <si>
    <t>2018年11月29日收到一张电子银行承兑汇票7.45万元， 汇票出票日期为2018年10月25日，到期日期2019年04月25日。</t>
    <phoneticPr fontId="11" type="noConversion"/>
  </si>
  <si>
    <t>2018年11月29日收到一张电子银行承兑汇票5万元， 汇票出票日期为2018年11月2日，到期日期2019年5月2日。</t>
    <phoneticPr fontId="11" type="noConversion"/>
  </si>
  <si>
    <t>国电陕西新能源有限公司</t>
    <phoneticPr fontId="11" type="noConversion"/>
  </si>
  <si>
    <t>验收款</t>
    <phoneticPr fontId="11" type="noConversion"/>
  </si>
  <si>
    <t>杨振坤</t>
    <phoneticPr fontId="11" type="noConversion"/>
  </si>
  <si>
    <t>芦河</t>
    <phoneticPr fontId="11" type="noConversion"/>
  </si>
  <si>
    <t>2018.11.30</t>
    <phoneticPr fontId="11" type="noConversion"/>
  </si>
  <si>
    <t>2018.11.30</t>
    <phoneticPr fontId="11" type="noConversion"/>
  </si>
  <si>
    <t>中电投宁夏能源铝业中卫新能源有限公司</t>
    <phoneticPr fontId="11" type="noConversion"/>
  </si>
  <si>
    <t>服务费</t>
    <phoneticPr fontId="11" type="noConversion"/>
  </si>
  <si>
    <t>杨振坤</t>
    <phoneticPr fontId="11" type="noConversion"/>
  </si>
  <si>
    <t>中卫香山第四风电场</t>
    <phoneticPr fontId="11" type="noConversion"/>
  </si>
  <si>
    <t>2018.12.03</t>
    <phoneticPr fontId="11" type="noConversion"/>
  </si>
  <si>
    <t>黑龙江北星电力有限公司</t>
    <phoneticPr fontId="11" type="noConversion"/>
  </si>
  <si>
    <t>安达3号、4号</t>
    <phoneticPr fontId="11" type="noConversion"/>
  </si>
  <si>
    <t>合同款</t>
    <phoneticPr fontId="11" type="noConversion"/>
  </si>
  <si>
    <t>马梦迪</t>
    <phoneticPr fontId="11" type="noConversion"/>
  </si>
  <si>
    <t>2018.12.06</t>
    <phoneticPr fontId="11" type="noConversion"/>
  </si>
  <si>
    <t>华电吉林大安风力发电有限公司</t>
    <phoneticPr fontId="11" type="noConversion"/>
  </si>
  <si>
    <t>华电吉林双辽风力发电有限公司</t>
    <phoneticPr fontId="11" type="noConversion"/>
  </si>
  <si>
    <t>风水山</t>
    <phoneticPr fontId="11" type="noConversion"/>
  </si>
  <si>
    <t>王星</t>
    <phoneticPr fontId="11" type="noConversion"/>
  </si>
  <si>
    <t>那木斯</t>
    <phoneticPr fontId="11" type="noConversion"/>
  </si>
  <si>
    <t>中广核大悟阳平风力发电有限公司</t>
    <phoneticPr fontId="11" type="noConversion"/>
  </si>
  <si>
    <t>敖家山</t>
    <phoneticPr fontId="11" type="noConversion"/>
  </si>
  <si>
    <t>秦英飞</t>
    <phoneticPr fontId="11" type="noConversion"/>
  </si>
  <si>
    <t>到货款</t>
    <phoneticPr fontId="11" type="noConversion"/>
  </si>
  <si>
    <t>2018.12.10</t>
    <phoneticPr fontId="11" type="noConversion"/>
  </si>
  <si>
    <t>2018.12.11</t>
    <phoneticPr fontId="11" type="noConversion"/>
  </si>
  <si>
    <t>大庆华能双榆太阳能发电有限公司</t>
    <phoneticPr fontId="11" type="noConversion"/>
  </si>
  <si>
    <t>18027-1</t>
    <phoneticPr fontId="6" type="noConversion"/>
  </si>
  <si>
    <r>
      <t>1</t>
    </r>
    <r>
      <rPr>
        <sz val="9"/>
        <rFont val="宋体"/>
        <family val="3"/>
        <charset val="134"/>
      </rPr>
      <t>8027-2</t>
    </r>
    <phoneticPr fontId="6" type="noConversion"/>
  </si>
  <si>
    <t>验收款</t>
    <phoneticPr fontId="11" type="noConversion"/>
  </si>
  <si>
    <t>马梦迪</t>
    <phoneticPr fontId="11" type="noConversion"/>
  </si>
  <si>
    <t>运行款</t>
    <phoneticPr fontId="11" type="noConversion"/>
  </si>
  <si>
    <t>马梦迪</t>
    <phoneticPr fontId="11" type="noConversion"/>
  </si>
  <si>
    <t>2018.12.12</t>
    <phoneticPr fontId="11" type="noConversion"/>
  </si>
  <si>
    <t>安达中广核太阳能科技有限公司</t>
    <phoneticPr fontId="11" type="noConversion"/>
  </si>
  <si>
    <t>验收款</t>
    <phoneticPr fontId="11" type="noConversion"/>
  </si>
  <si>
    <t>2018.12.13</t>
    <phoneticPr fontId="11" type="noConversion"/>
  </si>
  <si>
    <t>国电霞浦延亭风力发电有限公司</t>
    <phoneticPr fontId="11" type="noConversion"/>
  </si>
  <si>
    <t>锦州和兴风力发电有限公司</t>
    <phoneticPr fontId="11" type="noConversion"/>
  </si>
  <si>
    <t>黑山龙湾</t>
    <phoneticPr fontId="11" type="noConversion"/>
  </si>
  <si>
    <t>约5.74%</t>
    <phoneticPr fontId="11" type="noConversion"/>
  </si>
  <si>
    <t>王星</t>
    <phoneticPr fontId="11" type="noConversion"/>
  </si>
  <si>
    <t>剩余质保款</t>
    <phoneticPr fontId="11" type="noConversion"/>
  </si>
  <si>
    <t>霞浦延亭（一期+二期）</t>
    <phoneticPr fontId="11" type="noConversion"/>
  </si>
  <si>
    <t>约29.41%</t>
    <phoneticPr fontId="11" type="noConversion"/>
  </si>
  <si>
    <t>服务费</t>
    <phoneticPr fontId="11" type="noConversion"/>
  </si>
  <si>
    <t>5个月服务费</t>
    <phoneticPr fontId="11" type="noConversion"/>
  </si>
  <si>
    <t>秦英飞</t>
    <phoneticPr fontId="11" type="noConversion"/>
  </si>
  <si>
    <t>2018.12.14</t>
    <phoneticPr fontId="11" type="noConversion"/>
  </si>
  <si>
    <t>河北华电尚义风力发电有限公司</t>
    <phoneticPr fontId="11" type="noConversion"/>
  </si>
  <si>
    <t>尚义二工地</t>
    <phoneticPr fontId="11" type="noConversion"/>
  </si>
  <si>
    <t>到货款</t>
    <phoneticPr fontId="11" type="noConversion"/>
  </si>
  <si>
    <t>王龙波</t>
    <phoneticPr fontId="11" type="noConversion"/>
  </si>
  <si>
    <t>2018.12.14</t>
    <phoneticPr fontId="11" type="noConversion"/>
  </si>
  <si>
    <t>中广核盖州风力发电有限公司</t>
    <phoneticPr fontId="11" type="noConversion"/>
  </si>
  <si>
    <t>质保款</t>
    <phoneticPr fontId="11" type="noConversion"/>
  </si>
  <si>
    <t>王星</t>
    <phoneticPr fontId="11" type="noConversion"/>
  </si>
  <si>
    <t>太阳升</t>
    <phoneticPr fontId="11" type="noConversion"/>
  </si>
  <si>
    <t>2018.12.17</t>
    <phoneticPr fontId="11" type="noConversion"/>
  </si>
  <si>
    <t>新疆华电苇湖梁新能源有限公司</t>
    <phoneticPr fontId="11" type="noConversion"/>
  </si>
  <si>
    <t>18070-1</t>
    <phoneticPr fontId="11" type="noConversion"/>
  </si>
  <si>
    <t>18070-2</t>
  </si>
  <si>
    <t>服务费</t>
    <phoneticPr fontId="11" type="noConversion"/>
  </si>
  <si>
    <t>王龙波</t>
    <phoneticPr fontId="11" type="noConversion"/>
  </si>
  <si>
    <t>哈密中核风电有限公司</t>
    <phoneticPr fontId="11" type="noConversion"/>
  </si>
  <si>
    <t>中核庙尔沟风电一场</t>
  </si>
  <si>
    <t>服务费</t>
    <phoneticPr fontId="11" type="noConversion"/>
  </si>
  <si>
    <t>王龙波</t>
    <phoneticPr fontId="11" type="noConversion"/>
  </si>
  <si>
    <t>2018.12.19</t>
    <phoneticPr fontId="11" type="noConversion"/>
  </si>
  <si>
    <t>绥化远大电力建设集团有限责任公司</t>
    <phoneticPr fontId="11" type="noConversion"/>
  </si>
  <si>
    <t>验收款</t>
    <phoneticPr fontId="11" type="noConversion"/>
  </si>
  <si>
    <t>齐齐哈尔祥鹤</t>
    <phoneticPr fontId="11" type="noConversion"/>
  </si>
  <si>
    <t>马梦迪</t>
    <phoneticPr fontId="11" type="noConversion"/>
  </si>
  <si>
    <t>2018.12.07</t>
    <phoneticPr fontId="11" type="noConversion"/>
  </si>
  <si>
    <t>2018.12.20</t>
    <phoneticPr fontId="11" type="noConversion"/>
  </si>
  <si>
    <t>河北华电尚义风力发电有限公司</t>
    <phoneticPr fontId="11" type="noConversion"/>
  </si>
  <si>
    <t>尚义二工地</t>
    <phoneticPr fontId="11" type="noConversion"/>
  </si>
  <si>
    <t>王龙波</t>
    <phoneticPr fontId="11" type="noConversion"/>
  </si>
  <si>
    <t>2018.12.21</t>
    <phoneticPr fontId="11" type="noConversion"/>
  </si>
  <si>
    <t>三峡新能源哈密风电有限公司</t>
    <phoneticPr fontId="11" type="noConversion"/>
  </si>
  <si>
    <t>苦水</t>
    <phoneticPr fontId="11" type="noConversion"/>
  </si>
  <si>
    <t>验收款</t>
    <phoneticPr fontId="11" type="noConversion"/>
  </si>
  <si>
    <t>王龙波</t>
    <phoneticPr fontId="11" type="noConversion"/>
  </si>
  <si>
    <t>2018.12.21</t>
    <phoneticPr fontId="11" type="noConversion"/>
  </si>
  <si>
    <t>芦河</t>
    <phoneticPr fontId="11" type="noConversion"/>
  </si>
  <si>
    <t>杨振坤</t>
    <phoneticPr fontId="11" type="noConversion"/>
  </si>
  <si>
    <t>约33.33%</t>
    <phoneticPr fontId="11" type="noConversion"/>
  </si>
  <si>
    <t>1年服务费</t>
    <phoneticPr fontId="11" type="noConversion"/>
  </si>
  <si>
    <t>双鸭山龙源风力发电有限公司</t>
    <phoneticPr fontId="11" type="noConversion"/>
  </si>
  <si>
    <t>合同款</t>
    <phoneticPr fontId="11" type="noConversion"/>
  </si>
  <si>
    <t>马梦迪</t>
    <phoneticPr fontId="11" type="noConversion"/>
  </si>
  <si>
    <t>蝙蝠山</t>
    <phoneticPr fontId="11" type="noConversion"/>
  </si>
  <si>
    <t>鹤岗龙源风力发电有限公司</t>
    <phoneticPr fontId="11" type="noConversion"/>
  </si>
  <si>
    <t>望云峰</t>
    <phoneticPr fontId="11" type="noConversion"/>
  </si>
  <si>
    <t>新疆天电达坂城风力发电有限责任公司</t>
    <phoneticPr fontId="11" type="noConversion"/>
  </si>
  <si>
    <t>2018.12.21</t>
    <phoneticPr fontId="11" type="noConversion"/>
  </si>
  <si>
    <t>18154-1</t>
    <phoneticPr fontId="11" type="noConversion"/>
  </si>
  <si>
    <t>18154-2</t>
    <phoneticPr fontId="11" type="noConversion"/>
  </si>
  <si>
    <t>天电西沟（一期）</t>
    <phoneticPr fontId="6" type="noConversion"/>
  </si>
  <si>
    <t>天电西沟（二期）</t>
    <phoneticPr fontId="6" type="noConversion"/>
  </si>
  <si>
    <t>服务费</t>
    <phoneticPr fontId="11" type="noConversion"/>
  </si>
  <si>
    <t>王龙波</t>
    <phoneticPr fontId="11" type="noConversion"/>
  </si>
  <si>
    <t>2018.12.21</t>
    <phoneticPr fontId="11" type="noConversion"/>
  </si>
  <si>
    <t>2018.12.24</t>
    <phoneticPr fontId="11" type="noConversion"/>
  </si>
  <si>
    <t>华能新能源湘乡风力发电有限公司</t>
    <phoneticPr fontId="11" type="noConversion"/>
  </si>
  <si>
    <t>梅桥镇</t>
    <phoneticPr fontId="11" type="noConversion"/>
  </si>
  <si>
    <t>秦英飞</t>
    <phoneticPr fontId="11" type="noConversion"/>
  </si>
  <si>
    <t>到货款</t>
    <phoneticPr fontId="11" type="noConversion"/>
  </si>
  <si>
    <t>华能定边新能源发电有限公司</t>
    <phoneticPr fontId="11" type="noConversion"/>
  </si>
  <si>
    <t>沈口子</t>
    <phoneticPr fontId="11" type="noConversion"/>
  </si>
  <si>
    <t>服务费</t>
    <phoneticPr fontId="11" type="noConversion"/>
  </si>
  <si>
    <t>杨振坤</t>
    <phoneticPr fontId="11" type="noConversion"/>
  </si>
  <si>
    <t>黑龙江龙源新能源发展有限公司黑河分公司</t>
    <phoneticPr fontId="11" type="noConversion"/>
  </si>
  <si>
    <t>大黑山</t>
    <phoneticPr fontId="11" type="noConversion"/>
  </si>
  <si>
    <t>黑龙江龙源新能源发展有限公司杜尔伯特分公司</t>
  </si>
  <si>
    <t>2018.12.24</t>
    <phoneticPr fontId="11" type="noConversion"/>
  </si>
  <si>
    <t>草原</t>
    <phoneticPr fontId="11" type="noConversion"/>
  </si>
  <si>
    <t>黑龙江龙源新能源发展有限公司桦南雄亚分公司</t>
    <phoneticPr fontId="11" type="noConversion"/>
  </si>
  <si>
    <t>驿马山</t>
    <phoneticPr fontId="11" type="noConversion"/>
  </si>
  <si>
    <t>黑龙江龙源新能源发展有限公司依兰分公司</t>
    <phoneticPr fontId="11" type="noConversion"/>
  </si>
  <si>
    <t>夹信山</t>
    <phoneticPr fontId="11" type="noConversion"/>
  </si>
  <si>
    <t>黑龙江龙源新能源发展有限公司克山分公司</t>
    <phoneticPr fontId="11" type="noConversion"/>
  </si>
  <si>
    <t>曙光</t>
    <phoneticPr fontId="11" type="noConversion"/>
  </si>
  <si>
    <t>黑龙江龙源新能源发展有限公司克东分公司</t>
    <phoneticPr fontId="11" type="noConversion"/>
  </si>
  <si>
    <t>爱华</t>
    <phoneticPr fontId="11" type="noConversion"/>
  </si>
  <si>
    <t>桦南龙源风力发电有限公司</t>
    <phoneticPr fontId="11" type="noConversion"/>
  </si>
  <si>
    <t>横岱山</t>
    <phoneticPr fontId="11" type="noConversion"/>
  </si>
  <si>
    <t>伊春兴安岭风力发电有限公司</t>
    <phoneticPr fontId="11" type="noConversion"/>
  </si>
  <si>
    <t>岭东</t>
    <phoneticPr fontId="11" type="noConversion"/>
  </si>
  <si>
    <t>通河龙源风力发电有限公司</t>
    <phoneticPr fontId="11" type="noConversion"/>
  </si>
  <si>
    <t>岔林河</t>
    <phoneticPr fontId="11" type="noConversion"/>
  </si>
  <si>
    <t>伊春龙源风力发电有限公司</t>
    <phoneticPr fontId="11" type="noConversion"/>
  </si>
  <si>
    <t>小城山</t>
    <phoneticPr fontId="11" type="noConversion"/>
  </si>
  <si>
    <t>伊春龙源雄亚风力发电有限公司</t>
    <phoneticPr fontId="11" type="noConversion"/>
  </si>
  <si>
    <t>白山</t>
    <phoneticPr fontId="11" type="noConversion"/>
  </si>
  <si>
    <t>2018.12.24</t>
    <phoneticPr fontId="11" type="noConversion"/>
  </si>
  <si>
    <t>吉林省加禧电力工程技术有限公司</t>
    <phoneticPr fontId="11" type="noConversion"/>
  </si>
  <si>
    <t>王星</t>
    <phoneticPr fontId="11" type="noConversion"/>
  </si>
  <si>
    <t>部分验收款</t>
    <phoneticPr fontId="11" type="noConversion"/>
  </si>
  <si>
    <t>2018.12.25</t>
    <phoneticPr fontId="11" type="noConversion"/>
  </si>
  <si>
    <t>宾县大泉子风力发电有限公司</t>
    <phoneticPr fontId="11" type="noConversion"/>
  </si>
  <si>
    <t>宾县大泉子</t>
    <phoneticPr fontId="11" type="noConversion"/>
  </si>
  <si>
    <t>质保款</t>
    <phoneticPr fontId="11" type="noConversion"/>
  </si>
  <si>
    <t>马梦迪</t>
    <phoneticPr fontId="11" type="noConversion"/>
  </si>
  <si>
    <t>2018.12.26</t>
    <phoneticPr fontId="11" type="noConversion"/>
  </si>
  <si>
    <t>焉耆县光润新能源发电有限公司</t>
    <phoneticPr fontId="11" type="noConversion"/>
  </si>
  <si>
    <t>2018.12.27</t>
    <phoneticPr fontId="11" type="noConversion"/>
  </si>
  <si>
    <t>五凌托克逊电力有限公司</t>
    <phoneticPr fontId="11" type="noConversion"/>
  </si>
  <si>
    <t>五凌小草湖南风电一场</t>
    <phoneticPr fontId="11" type="noConversion"/>
  </si>
  <si>
    <t>验收款</t>
    <phoneticPr fontId="11" type="noConversion"/>
  </si>
  <si>
    <t>张铁民</t>
    <phoneticPr fontId="11" type="noConversion"/>
  </si>
  <si>
    <t>新疆浦类海能源发展有限公司</t>
    <phoneticPr fontId="11" type="noConversion"/>
  </si>
  <si>
    <t>蒲类海麻黄沟西风电场</t>
  </si>
  <si>
    <t>服务费</t>
    <phoneticPr fontId="11" type="noConversion"/>
  </si>
  <si>
    <t>王龙波</t>
    <phoneticPr fontId="11" type="noConversion"/>
  </si>
  <si>
    <t>光润</t>
    <phoneticPr fontId="11" type="noConversion"/>
  </si>
  <si>
    <t>约85.47%</t>
    <phoneticPr fontId="11" type="noConversion"/>
  </si>
  <si>
    <t>合同款</t>
    <phoneticPr fontId="11" type="noConversion"/>
  </si>
  <si>
    <t>王龙波</t>
    <phoneticPr fontId="11" type="noConversion"/>
  </si>
  <si>
    <t>2018.12.28</t>
    <phoneticPr fontId="11" type="noConversion"/>
  </si>
  <si>
    <t>国家电投集团广西金紫山风电有限公司</t>
    <phoneticPr fontId="11" type="noConversion"/>
  </si>
  <si>
    <t>金紫山</t>
    <phoneticPr fontId="11" type="noConversion"/>
  </si>
  <si>
    <t>秦英飞</t>
    <phoneticPr fontId="11" type="noConversion"/>
  </si>
  <si>
    <t>验收款</t>
    <phoneticPr fontId="11" type="noConversion"/>
  </si>
  <si>
    <t>2018.12.29</t>
    <phoneticPr fontId="11" type="noConversion"/>
  </si>
  <si>
    <t>大唐集贤太平风力发电有限公司</t>
    <phoneticPr fontId="11" type="noConversion"/>
  </si>
  <si>
    <t>太平</t>
    <phoneticPr fontId="11" type="noConversion"/>
  </si>
  <si>
    <t>合同款</t>
    <phoneticPr fontId="11" type="noConversion"/>
  </si>
  <si>
    <t>李妍</t>
    <phoneticPr fontId="11" type="noConversion"/>
  </si>
  <si>
    <t>七台河丰润风力发电有限公司汤原分公司</t>
    <phoneticPr fontId="11" type="noConversion"/>
  </si>
  <si>
    <t>渠首</t>
    <phoneticPr fontId="11" type="noConversion"/>
  </si>
  <si>
    <t>到货款</t>
    <phoneticPr fontId="11" type="noConversion"/>
  </si>
  <si>
    <t>马梦迪</t>
    <phoneticPr fontId="11" type="noConversion"/>
  </si>
  <si>
    <t>2018.12.29</t>
    <phoneticPr fontId="11" type="noConversion"/>
  </si>
  <si>
    <t>王龙波</t>
    <phoneticPr fontId="11" type="noConversion"/>
  </si>
  <si>
    <t>剩余到货款+部分验收款</t>
    <phoneticPr fontId="11" type="noConversion"/>
  </si>
  <si>
    <t>约31.31%</t>
    <phoneticPr fontId="11" type="noConversion"/>
  </si>
  <si>
    <t>安徽南谯五个风电场</t>
    <phoneticPr fontId="6" type="noConversion"/>
  </si>
  <si>
    <t>2018年12月29日收到一张电子银行承兑汇票10万元， 汇票出票日期为2018年12月28日，到期日期2019年12月28日。</t>
    <phoneticPr fontId="11" type="noConversion"/>
  </si>
  <si>
    <t>2019年销售合同回款登记台账</t>
    <phoneticPr fontId="11" type="noConversion"/>
  </si>
  <si>
    <t>2019.1.3</t>
    <phoneticPr fontId="11" type="noConversion"/>
  </si>
  <si>
    <t>朝阳远大新能源有限公司</t>
  </si>
  <si>
    <t>鞠云峰</t>
    <phoneticPr fontId="11" type="noConversion"/>
  </si>
  <si>
    <t>验收款</t>
    <phoneticPr fontId="11" type="noConversion"/>
  </si>
  <si>
    <t>2019.1.4</t>
    <phoneticPr fontId="11" type="noConversion"/>
  </si>
  <si>
    <t>新疆吐鲁番广恒新能源有限公司</t>
    <phoneticPr fontId="11" type="noConversion"/>
  </si>
  <si>
    <t>质保款</t>
    <phoneticPr fontId="11" type="noConversion"/>
  </si>
  <si>
    <t>王龙波</t>
    <phoneticPr fontId="11" type="noConversion"/>
  </si>
  <si>
    <t>小草湖</t>
    <phoneticPr fontId="11" type="noConversion"/>
  </si>
  <si>
    <t>2019.1.7</t>
    <phoneticPr fontId="11" type="noConversion"/>
  </si>
  <si>
    <t>预付款+到货款</t>
    <phoneticPr fontId="11" type="noConversion"/>
  </si>
  <si>
    <t>2019.1.8</t>
    <phoneticPr fontId="11" type="noConversion"/>
  </si>
  <si>
    <t>陕西光伏太阳能发电有限公司</t>
    <phoneticPr fontId="11" type="noConversion"/>
  </si>
  <si>
    <t>服务费</t>
    <phoneticPr fontId="11" type="noConversion"/>
  </si>
  <si>
    <t>陕西锐正电气科技有限公司</t>
    <phoneticPr fontId="11" type="noConversion"/>
  </si>
  <si>
    <t>质保款</t>
    <phoneticPr fontId="11" type="noConversion"/>
  </si>
  <si>
    <t>靖边上欠井</t>
    <phoneticPr fontId="39" type="noConversion"/>
  </si>
  <si>
    <t>2019.1.14</t>
    <phoneticPr fontId="11" type="noConversion"/>
  </si>
  <si>
    <t>大庆绿源风力发电有限公司</t>
    <phoneticPr fontId="11" type="noConversion"/>
  </si>
  <si>
    <t>服务费</t>
    <phoneticPr fontId="11" type="noConversion"/>
  </si>
  <si>
    <t>李妍</t>
    <phoneticPr fontId="11" type="noConversion"/>
  </si>
  <si>
    <t>2019.1.14</t>
    <phoneticPr fontId="11" type="noConversion"/>
  </si>
  <si>
    <t>合同款</t>
    <phoneticPr fontId="11" type="noConversion"/>
  </si>
  <si>
    <t>2019.1.17</t>
    <phoneticPr fontId="11" type="noConversion"/>
  </si>
  <si>
    <t>上海电气风电设备黑龙江有限公司</t>
    <phoneticPr fontId="11" type="noConversion"/>
  </si>
  <si>
    <t>18024-3</t>
    <phoneticPr fontId="11" type="noConversion"/>
  </si>
  <si>
    <t>东辉(祝三)</t>
    <phoneticPr fontId="6" type="noConversion"/>
  </si>
  <si>
    <t>验收款</t>
    <phoneticPr fontId="11" type="noConversion"/>
  </si>
  <si>
    <t>李妍</t>
    <phoneticPr fontId="11" type="noConversion"/>
  </si>
  <si>
    <t>约66.67%</t>
    <phoneticPr fontId="11" type="noConversion"/>
  </si>
  <si>
    <t>2019.1.18</t>
    <phoneticPr fontId="11" type="noConversion"/>
  </si>
  <si>
    <t>华能钟祥风电有限责任公司</t>
    <phoneticPr fontId="11" type="noConversion"/>
  </si>
  <si>
    <t>初步验收款</t>
    <phoneticPr fontId="11" type="noConversion"/>
  </si>
  <si>
    <t>秦英飞</t>
    <phoneticPr fontId="11" type="noConversion"/>
  </si>
  <si>
    <t>2019.1.23</t>
    <phoneticPr fontId="11" type="noConversion"/>
  </si>
  <si>
    <t>密山潘家店风力发电有限公司</t>
    <phoneticPr fontId="11" type="noConversion"/>
  </si>
  <si>
    <t>兴凯湖（潘家店）</t>
    <phoneticPr fontId="11" type="noConversion"/>
  </si>
  <si>
    <t>服务费</t>
    <phoneticPr fontId="11" type="noConversion"/>
  </si>
  <si>
    <t>马梦迪</t>
    <phoneticPr fontId="11" type="noConversion"/>
  </si>
  <si>
    <t>2019.1.23</t>
    <phoneticPr fontId="11" type="noConversion"/>
  </si>
  <si>
    <t>北京金风慧能技术有限公司</t>
    <phoneticPr fontId="11" type="noConversion"/>
  </si>
  <si>
    <t>十三间房四期</t>
    <phoneticPr fontId="39" type="noConversion"/>
  </si>
  <si>
    <t>预付款</t>
    <phoneticPr fontId="11" type="noConversion"/>
  </si>
  <si>
    <t>王龙波</t>
    <phoneticPr fontId="11" type="noConversion"/>
  </si>
  <si>
    <t>签订合同
销售经理</t>
    <phoneticPr fontId="11" type="noConversion"/>
  </si>
  <si>
    <t>销售联系人</t>
    <phoneticPr fontId="11" type="noConversion"/>
  </si>
  <si>
    <t>韩志宇</t>
    <phoneticPr fontId="11" type="noConversion"/>
  </si>
  <si>
    <t>郭文明</t>
    <phoneticPr fontId="11" type="noConversion"/>
  </si>
  <si>
    <t>2019年合计</t>
    <phoneticPr fontId="11" type="noConversion"/>
  </si>
  <si>
    <t>2019.1.24</t>
    <phoneticPr fontId="11" type="noConversion"/>
  </si>
  <si>
    <t>黑龙江北方风力发电有限公司</t>
    <phoneticPr fontId="11" type="noConversion"/>
  </si>
  <si>
    <t>兴凯湖（蜂蜜山）</t>
    <phoneticPr fontId="6" type="noConversion"/>
  </si>
  <si>
    <t>服务费</t>
    <phoneticPr fontId="11" type="noConversion"/>
  </si>
  <si>
    <t>2019.1.23</t>
    <phoneticPr fontId="11" type="noConversion"/>
  </si>
  <si>
    <t>2019.1.24</t>
    <phoneticPr fontId="11" type="noConversion"/>
  </si>
  <si>
    <t>密山临河风力发电有限公司</t>
    <phoneticPr fontId="11" type="noConversion"/>
  </si>
  <si>
    <t>双鸭山杨木岗风力发电有限公司</t>
  </si>
  <si>
    <t>2019.1.25</t>
    <phoneticPr fontId="11" type="noConversion"/>
  </si>
  <si>
    <t>国家电投集团宁夏能源铝业中卫新能源有限公司</t>
  </si>
  <si>
    <t>大庆银浪风力发电有限公司</t>
    <phoneticPr fontId="11" type="noConversion"/>
  </si>
  <si>
    <t>大庆银浪（大庆银浪+大庆宏伟）</t>
    <phoneticPr fontId="6" type="noConversion"/>
  </si>
  <si>
    <t>双鸭山锅盔山风力发电有限公司</t>
    <phoneticPr fontId="11" type="noConversion"/>
  </si>
  <si>
    <t>安邦河（锅盔山)</t>
    <phoneticPr fontId="11" type="noConversion"/>
  </si>
  <si>
    <t>安邦河（老平岗）</t>
    <phoneticPr fontId="11" type="noConversion"/>
  </si>
  <si>
    <t>华电吉林双辽风力发电有限公司</t>
    <phoneticPr fontId="11" type="noConversion"/>
  </si>
  <si>
    <t>那木斯</t>
    <phoneticPr fontId="11" type="noConversion"/>
  </si>
  <si>
    <t>王星</t>
    <phoneticPr fontId="11" type="noConversion"/>
  </si>
  <si>
    <t>风水山</t>
    <phoneticPr fontId="11" type="noConversion"/>
  </si>
  <si>
    <t>国家电投集团宁夏能源铝业中卫新能源有限公司</t>
    <phoneticPr fontId="11" type="noConversion"/>
  </si>
  <si>
    <t>中卫香山第六风电场</t>
    <phoneticPr fontId="6" type="noConversion"/>
  </si>
  <si>
    <t>中卫香山第四风电场</t>
    <phoneticPr fontId="6" type="noConversion"/>
  </si>
  <si>
    <t>杨振坤</t>
    <phoneticPr fontId="11" type="noConversion"/>
  </si>
  <si>
    <t>2019.1.28</t>
    <phoneticPr fontId="11" type="noConversion"/>
  </si>
  <si>
    <t>大唐文登风力发电有限公司</t>
    <phoneticPr fontId="11" type="noConversion"/>
  </si>
  <si>
    <t>文登</t>
    <phoneticPr fontId="11" type="noConversion"/>
  </si>
  <si>
    <t>质保款</t>
    <phoneticPr fontId="11" type="noConversion"/>
  </si>
  <si>
    <t>于忠新</t>
    <phoneticPr fontId="11" type="noConversion"/>
  </si>
  <si>
    <t>孙立中</t>
    <phoneticPr fontId="11" type="noConversion"/>
  </si>
  <si>
    <t>曹碾沟</t>
    <phoneticPr fontId="11" type="noConversion"/>
  </si>
  <si>
    <t>王龙波</t>
    <phoneticPr fontId="11" type="noConversion"/>
  </si>
  <si>
    <t>约49.43%</t>
    <phoneticPr fontId="11" type="noConversion"/>
  </si>
  <si>
    <t>服务费</t>
    <phoneticPr fontId="11" type="noConversion"/>
  </si>
  <si>
    <t>2019.1.30</t>
    <phoneticPr fontId="11" type="noConversion"/>
  </si>
  <si>
    <t>国电和风风电开发有限公司桦川分公司</t>
    <phoneticPr fontId="11" type="noConversion"/>
  </si>
  <si>
    <t>大青背</t>
    <phoneticPr fontId="11" type="noConversion"/>
  </si>
  <si>
    <t>验收款</t>
    <phoneticPr fontId="11" type="noConversion"/>
  </si>
  <si>
    <t>韩志宇</t>
    <phoneticPr fontId="11" type="noConversion"/>
  </si>
  <si>
    <t>马梦迪</t>
    <phoneticPr fontId="11" type="noConversion"/>
  </si>
  <si>
    <t>质保款</t>
    <phoneticPr fontId="11" type="noConversion"/>
  </si>
  <si>
    <t>东营</t>
    <phoneticPr fontId="11" type="noConversion"/>
  </si>
  <si>
    <t>王维</t>
    <phoneticPr fontId="11" type="noConversion"/>
  </si>
  <si>
    <t>孙立中</t>
    <phoneticPr fontId="11" type="noConversion"/>
  </si>
  <si>
    <t>福建永福电力设计股份有限公司</t>
    <phoneticPr fontId="11" type="noConversion"/>
  </si>
  <si>
    <t>高嵛山</t>
    <phoneticPr fontId="11" type="noConversion"/>
  </si>
  <si>
    <t>约39.90%</t>
    <phoneticPr fontId="11" type="noConversion"/>
  </si>
  <si>
    <t>秦英飞</t>
    <phoneticPr fontId="11" type="noConversion"/>
  </si>
  <si>
    <t>2019年1月30日收到一张电子银行承兑汇票17.784675万元， 汇票出票日期为2019年1月25日，到期日期2019年7月25日。</t>
    <phoneticPr fontId="11" type="noConversion"/>
  </si>
  <si>
    <t>华能定边新能源发电有限公司</t>
    <phoneticPr fontId="11" type="noConversion"/>
  </si>
  <si>
    <t>沈口子（一二期）</t>
    <phoneticPr fontId="6" type="noConversion"/>
  </si>
  <si>
    <t>服务费</t>
    <phoneticPr fontId="11" type="noConversion"/>
  </si>
  <si>
    <t>杨振坤</t>
    <phoneticPr fontId="11" type="noConversion"/>
  </si>
  <si>
    <t>2019.2.1</t>
    <phoneticPr fontId="11" type="noConversion"/>
  </si>
  <si>
    <t>2019.2.11</t>
    <phoneticPr fontId="11" type="noConversion"/>
  </si>
  <si>
    <t>中航龙腾风力发电有限公司</t>
    <phoneticPr fontId="11" type="noConversion"/>
  </si>
  <si>
    <t>哈拉海（龙腾）</t>
    <phoneticPr fontId="6" type="noConversion"/>
  </si>
  <si>
    <t>2019.2.12</t>
    <phoneticPr fontId="11" type="noConversion"/>
  </si>
  <si>
    <t>华能同江风力发电有限公司</t>
    <phoneticPr fontId="11" type="noConversion"/>
  </si>
  <si>
    <t>街津山</t>
    <phoneticPr fontId="11" type="noConversion"/>
  </si>
  <si>
    <t>服务费</t>
    <phoneticPr fontId="11" type="noConversion"/>
  </si>
  <si>
    <t>郭文明</t>
    <phoneticPr fontId="11" type="noConversion"/>
  </si>
  <si>
    <t>李妍</t>
    <phoneticPr fontId="11" type="noConversion"/>
  </si>
  <si>
    <t>2019.2.12</t>
    <phoneticPr fontId="11" type="noConversion"/>
  </si>
  <si>
    <t>龙江杏山风力发电有限公司</t>
    <phoneticPr fontId="11" type="noConversion"/>
  </si>
  <si>
    <t>哈拉海（杏山）</t>
    <phoneticPr fontId="11" type="noConversion"/>
  </si>
  <si>
    <t>2019.2.27</t>
    <phoneticPr fontId="11" type="noConversion"/>
  </si>
  <si>
    <t>国电和风风电开发有限公司桦川分公司</t>
    <phoneticPr fontId="11" type="noConversion"/>
  </si>
  <si>
    <t>大青背</t>
    <phoneticPr fontId="11" type="noConversion"/>
  </si>
  <si>
    <t>服务费</t>
    <phoneticPr fontId="11" type="noConversion"/>
  </si>
  <si>
    <t>贾本玉</t>
    <phoneticPr fontId="11" type="noConversion"/>
  </si>
  <si>
    <t>马梦迪</t>
    <phoneticPr fontId="11" type="noConversion"/>
  </si>
  <si>
    <t>约33.33%</t>
    <phoneticPr fontId="11" type="noConversion"/>
  </si>
  <si>
    <t>2018年服务费</t>
    <phoneticPr fontId="11" type="noConversion"/>
  </si>
  <si>
    <t>集团</t>
    <phoneticPr fontId="11" type="noConversion"/>
  </si>
  <si>
    <t>省（区）</t>
    <phoneticPr fontId="11" type="noConversion"/>
  </si>
  <si>
    <t>产品线</t>
    <phoneticPr fontId="11" type="noConversion"/>
  </si>
  <si>
    <t>合同项目内容</t>
    <phoneticPr fontId="11" type="noConversion"/>
  </si>
  <si>
    <t>辽宁</t>
    <phoneticPr fontId="6" type="noConversion"/>
  </si>
  <si>
    <t>国电投</t>
    <phoneticPr fontId="6" type="noConversion"/>
  </si>
  <si>
    <t>建平上新井</t>
    <phoneticPr fontId="6" type="noConversion"/>
  </si>
  <si>
    <t>风电功率预测</t>
    <phoneticPr fontId="6" type="noConversion"/>
  </si>
  <si>
    <t>短期软件；超短期软件；系统硬件；测风塔；测风塔设备；预测服务1年</t>
    <phoneticPr fontId="21" type="noConversion"/>
  </si>
  <si>
    <t>新疆</t>
  </si>
  <si>
    <t>鲁能</t>
  </si>
  <si>
    <t>风电功率预测</t>
  </si>
  <si>
    <t>测风塔设备</t>
  </si>
  <si>
    <t>广西</t>
    <phoneticPr fontId="6" type="noConversion"/>
  </si>
  <si>
    <t>坵坪</t>
    <phoneticPr fontId="6" type="noConversion"/>
  </si>
  <si>
    <t>系统硬件</t>
    <phoneticPr fontId="6" type="noConversion"/>
  </si>
  <si>
    <t>陕西</t>
    <phoneticPr fontId="6" type="noConversion"/>
  </si>
  <si>
    <t>陕光伏</t>
    <phoneticPr fontId="6" type="noConversion"/>
  </si>
  <si>
    <t>上欠井</t>
    <phoneticPr fontId="6" type="noConversion"/>
  </si>
  <si>
    <t>光伏功率预测</t>
    <phoneticPr fontId="6" type="noConversion"/>
  </si>
  <si>
    <t>预测服务2年</t>
    <phoneticPr fontId="6" type="noConversion"/>
  </si>
  <si>
    <t>陕西</t>
  </si>
  <si>
    <t>陕光伏</t>
  </si>
  <si>
    <t>光伏功率预测</t>
  </si>
  <si>
    <t>短期软件；超短期软件；系统硬件；光伏气象站；光伏气象站设备；预测服务1年</t>
    <phoneticPr fontId="21" type="noConversion"/>
  </si>
  <si>
    <t>黑龙江</t>
    <phoneticPr fontId="6" type="noConversion"/>
  </si>
  <si>
    <t>华能</t>
    <phoneticPr fontId="6" type="noConversion"/>
  </si>
  <si>
    <t>和平</t>
    <phoneticPr fontId="6" type="noConversion"/>
  </si>
  <si>
    <t>预测服务1年</t>
    <phoneticPr fontId="6" type="noConversion"/>
  </si>
  <si>
    <t>兴隆新海</t>
    <phoneticPr fontId="6" type="noConversion"/>
  </si>
  <si>
    <t>新疆</t>
    <phoneticPr fontId="6" type="noConversion"/>
  </si>
  <si>
    <t>华电</t>
    <phoneticPr fontId="6" type="noConversion"/>
  </si>
  <si>
    <t>测风塔设备</t>
    <phoneticPr fontId="6" type="noConversion"/>
  </si>
  <si>
    <t>大唐</t>
    <phoneticPr fontId="6" type="noConversion"/>
  </si>
  <si>
    <t>电力通讯</t>
    <phoneticPr fontId="6" type="noConversion"/>
  </si>
  <si>
    <t>黑龙江风电场综合通讯管理系统软件；系统硬件</t>
    <phoneticPr fontId="6" type="noConversion"/>
  </si>
  <si>
    <t>湖北</t>
    <phoneticPr fontId="6" type="noConversion"/>
  </si>
  <si>
    <t>钟祥胡家湾</t>
  </si>
  <si>
    <t>短期软件；超短期软件；系统硬件；测风塔1；测风塔1设备；测风塔2；测风塔2设备；预测服务1年</t>
  </si>
  <si>
    <t>中广核</t>
    <phoneticPr fontId="6" type="noConversion"/>
  </si>
  <si>
    <t>预测服务8个月</t>
    <phoneticPr fontId="6" type="noConversion"/>
  </si>
  <si>
    <t>建模扩容</t>
  </si>
  <si>
    <t>吉林</t>
    <phoneticPr fontId="6" type="noConversion"/>
  </si>
  <si>
    <t>宁夏</t>
    <phoneticPr fontId="6" type="noConversion"/>
  </si>
  <si>
    <t>山东</t>
    <phoneticPr fontId="6" type="noConversion"/>
  </si>
  <si>
    <t xml:space="preserve">风电功率预测 </t>
    <phoneticPr fontId="6" type="noConversion"/>
  </si>
  <si>
    <t>软件升级</t>
    <phoneticPr fontId="6" type="noConversion"/>
  </si>
  <si>
    <t>河北</t>
    <phoneticPr fontId="6" type="noConversion"/>
  </si>
  <si>
    <t>河北建投</t>
    <phoneticPr fontId="6" type="noConversion"/>
  </si>
  <si>
    <t>预测服务2年</t>
    <phoneticPr fontId="21" type="noConversion"/>
  </si>
  <si>
    <t>黑龙江</t>
  </si>
  <si>
    <t>国电和风</t>
  </si>
  <si>
    <t>山东</t>
  </si>
  <si>
    <t>大唐</t>
  </si>
  <si>
    <t>短期软件；超短期软件；系统硬件；测风塔；测风塔设备；预测服务3年</t>
    <phoneticPr fontId="21" type="noConversion"/>
  </si>
  <si>
    <t>福建</t>
    <phoneticPr fontId="6" type="noConversion"/>
  </si>
  <si>
    <t>中核</t>
    <phoneticPr fontId="6" type="noConversion"/>
  </si>
  <si>
    <t>短期软件；超短期软件；系统硬件；测风塔；测风塔设备；预测服务1年</t>
    <phoneticPr fontId="6" type="noConversion"/>
  </si>
  <si>
    <t>预测服务3个月</t>
    <phoneticPr fontId="6" type="noConversion"/>
  </si>
  <si>
    <t>国电</t>
    <phoneticPr fontId="6" type="noConversion"/>
  </si>
  <si>
    <t>预测服务1年</t>
  </si>
  <si>
    <t>2019.3.14</t>
    <phoneticPr fontId="11" type="noConversion"/>
  </si>
  <si>
    <t>五凌汝城电力有限公司</t>
    <phoneticPr fontId="11" type="noConversion"/>
  </si>
  <si>
    <t>湖南</t>
    <phoneticPr fontId="6" type="noConversion"/>
  </si>
  <si>
    <t>东岗岭</t>
    <phoneticPr fontId="6" type="noConversion"/>
  </si>
  <si>
    <t>技术服务</t>
    <phoneticPr fontId="6" type="noConversion"/>
  </si>
  <si>
    <t>合同款</t>
    <phoneticPr fontId="11" type="noConversion"/>
  </si>
  <si>
    <t>段洪宇</t>
    <phoneticPr fontId="11" type="noConversion"/>
  </si>
  <si>
    <t>2019.3.15</t>
    <phoneticPr fontId="11" type="noConversion"/>
  </si>
  <si>
    <t>中国大唐集团财务有限公司</t>
    <phoneticPr fontId="11" type="noConversion"/>
  </si>
  <si>
    <t>2019.3.22</t>
    <phoneticPr fontId="11" type="noConversion"/>
  </si>
  <si>
    <t>国家电投集团广西兴安风电有限公司</t>
    <phoneticPr fontId="11" type="noConversion"/>
  </si>
  <si>
    <t>服务费</t>
    <phoneticPr fontId="11" type="noConversion"/>
  </si>
  <si>
    <t>秦英飞</t>
    <phoneticPr fontId="11" type="noConversion"/>
  </si>
  <si>
    <t>2019.3.25</t>
    <phoneticPr fontId="11" type="noConversion"/>
  </si>
  <si>
    <t>林甸东明园风力发电有限公司</t>
    <phoneticPr fontId="11" type="noConversion"/>
  </si>
  <si>
    <t>合同款</t>
    <phoneticPr fontId="11" type="noConversion"/>
  </si>
  <si>
    <t>大庆大丰</t>
    <phoneticPr fontId="6" type="noConversion"/>
  </si>
  <si>
    <t>林甸东明园</t>
    <phoneticPr fontId="6" type="noConversion"/>
  </si>
  <si>
    <t>电力通讯</t>
    <phoneticPr fontId="21" type="noConversion"/>
  </si>
  <si>
    <t>黑龙江风电场理论功率上传软件；系统硬件</t>
    <phoneticPr fontId="21" type="noConversion"/>
  </si>
  <si>
    <t>马梦迪</t>
    <phoneticPr fontId="11" type="noConversion"/>
  </si>
  <si>
    <t>2019.3.26</t>
    <phoneticPr fontId="11" type="noConversion"/>
  </si>
  <si>
    <t>国华（齐齐哈尔）风电有限公司</t>
    <phoneticPr fontId="11" type="noConversion"/>
  </si>
  <si>
    <t>国华</t>
  </si>
  <si>
    <t>富裕</t>
    <phoneticPr fontId="6" type="noConversion"/>
  </si>
  <si>
    <t>2019.3.28</t>
    <phoneticPr fontId="11" type="noConversion"/>
  </si>
  <si>
    <t>国电和风风电开发有限公司桦川分公司</t>
    <phoneticPr fontId="11" type="noConversion"/>
  </si>
  <si>
    <t>黑龙江</t>
    <phoneticPr fontId="6" type="noConversion"/>
  </si>
  <si>
    <t>国电</t>
    <phoneticPr fontId="6" type="noConversion"/>
  </si>
  <si>
    <t>大青背</t>
    <phoneticPr fontId="6" type="noConversion"/>
  </si>
  <si>
    <t>2019.3.29</t>
    <phoneticPr fontId="11" type="noConversion"/>
  </si>
  <si>
    <t>华能江西清洁能源有限责任公司</t>
    <phoneticPr fontId="11" type="noConversion"/>
  </si>
  <si>
    <t>江西</t>
    <phoneticPr fontId="6" type="noConversion"/>
  </si>
  <si>
    <t>华能</t>
  </si>
  <si>
    <t>高龙山</t>
  </si>
  <si>
    <t>短期软件；超短期软件；系统硬件；测风塔；测风塔设备；预测服务3年</t>
    <phoneticPr fontId="6" type="noConversion"/>
  </si>
  <si>
    <t>到货款</t>
    <phoneticPr fontId="11" type="noConversion"/>
  </si>
  <si>
    <t>国电投</t>
  </si>
  <si>
    <t>兴安10个风场</t>
    <phoneticPr fontId="6" type="noConversion"/>
  </si>
  <si>
    <t>短期软件；超短期软件；系统硬件；测风塔1；测风塔1设备；测风塔2；测风塔2设备；测风塔3；测风塔3设备；测风塔4；测风塔4设备；预测服务2年</t>
    <phoneticPr fontId="6" type="noConversion"/>
  </si>
  <si>
    <t>邵楠</t>
  </si>
  <si>
    <t>部分验收款+质保款</t>
    <phoneticPr fontId="11" type="noConversion"/>
  </si>
  <si>
    <t>约21.18%</t>
    <phoneticPr fontId="11" type="noConversion"/>
  </si>
  <si>
    <t>2019.4.1</t>
    <phoneticPr fontId="11" type="noConversion"/>
  </si>
  <si>
    <t>亚洲风力发电（牡丹江）有限公司
香港风力发电（穆棱）有限公司</t>
    <phoneticPr fontId="11" type="noConversion"/>
  </si>
  <si>
    <t>黑龙江</t>
    <phoneticPr fontId="39" type="noConversion"/>
  </si>
  <si>
    <t>亚洲电力</t>
    <phoneticPr fontId="39" type="noConversion"/>
  </si>
  <si>
    <t>代马沟</t>
    <phoneticPr fontId="39" type="noConversion"/>
  </si>
  <si>
    <t>风电功率预测</t>
    <phoneticPr fontId="39" type="noConversion"/>
  </si>
  <si>
    <t>预测服务1年</t>
    <phoneticPr fontId="39" type="noConversion"/>
  </si>
  <si>
    <t>服务费</t>
    <phoneticPr fontId="11" type="noConversion"/>
  </si>
  <si>
    <t>韩志宇</t>
    <phoneticPr fontId="6" type="noConversion"/>
  </si>
  <si>
    <t>马梦迪</t>
    <phoneticPr fontId="6" type="noConversion"/>
  </si>
  <si>
    <t>2019.4.1</t>
    <phoneticPr fontId="11" type="noConversion"/>
  </si>
  <si>
    <t>南京南瑞继保工程技术有限公司</t>
    <phoneticPr fontId="11" type="noConversion"/>
  </si>
  <si>
    <t>18069-1</t>
    <phoneticPr fontId="11" type="noConversion"/>
  </si>
  <si>
    <t>18069-2</t>
    <phoneticPr fontId="11" type="noConversion"/>
  </si>
  <si>
    <t>三峡新能源</t>
    <phoneticPr fontId="6" type="noConversion"/>
  </si>
  <si>
    <t>庄河</t>
    <phoneticPr fontId="6" type="noConversion"/>
  </si>
  <si>
    <t>短期软件；超短期软件；系统硬件；预测服务3年；激光测风雷达</t>
    <phoneticPr fontId="6" type="noConversion"/>
  </si>
  <si>
    <t>风资源评估</t>
    <phoneticPr fontId="6" type="noConversion"/>
  </si>
  <si>
    <t>风机运行评估系统</t>
    <phoneticPr fontId="6" type="noConversion"/>
  </si>
  <si>
    <t>到货款</t>
    <phoneticPr fontId="11" type="noConversion"/>
  </si>
  <si>
    <t>王星</t>
    <phoneticPr fontId="11" type="noConversion"/>
  </si>
  <si>
    <t>2019.3.19</t>
    <phoneticPr fontId="11" type="noConversion"/>
  </si>
  <si>
    <t>其它</t>
    <phoneticPr fontId="6" type="noConversion"/>
  </si>
  <si>
    <t>落星堡</t>
  </si>
  <si>
    <t>约17.07%</t>
    <phoneticPr fontId="11" type="noConversion"/>
  </si>
  <si>
    <t>2019.4.12</t>
    <phoneticPr fontId="11" type="noConversion"/>
  </si>
  <si>
    <t>中广核大悟阳平风力发电有限公司</t>
  </si>
  <si>
    <t>敖家山</t>
    <phoneticPr fontId="6" type="noConversion"/>
  </si>
  <si>
    <t>短期软件；超短期软件；系统硬件；测风塔；测风塔设备；预测服务2年</t>
    <phoneticPr fontId="6" type="noConversion"/>
  </si>
  <si>
    <t>2019.4.24</t>
    <phoneticPr fontId="11" type="noConversion"/>
  </si>
  <si>
    <t>贺圈</t>
    <phoneticPr fontId="6" type="noConversion"/>
  </si>
  <si>
    <t>2019.4.25</t>
    <phoneticPr fontId="11" type="noConversion"/>
  </si>
  <si>
    <t>其他</t>
    <phoneticPr fontId="6" type="noConversion"/>
  </si>
  <si>
    <t>到保</t>
    <phoneticPr fontId="6" type="noConversion"/>
  </si>
  <si>
    <t>系统硬件；测风塔设备</t>
    <phoneticPr fontId="6" type="noConversion"/>
  </si>
  <si>
    <t>中电</t>
    <phoneticPr fontId="6" type="noConversion"/>
  </si>
  <si>
    <t>乾安</t>
    <phoneticPr fontId="6" type="noConversion"/>
  </si>
  <si>
    <t>2019.4.26</t>
    <phoneticPr fontId="11" type="noConversion"/>
  </si>
  <si>
    <t>龙源</t>
    <phoneticPr fontId="6" type="noConversion"/>
  </si>
  <si>
    <t>爱华</t>
    <phoneticPr fontId="6" type="noConversion"/>
  </si>
  <si>
    <t>硬件设备</t>
    <phoneticPr fontId="6" type="noConversion"/>
  </si>
  <si>
    <t>曹碾沟</t>
    <phoneticPr fontId="6" type="noConversion"/>
  </si>
  <si>
    <t>电力安全三区综合通讯系统软件河北版；系统硬件</t>
    <phoneticPr fontId="6" type="noConversion"/>
  </si>
  <si>
    <t>2019.4.29</t>
    <phoneticPr fontId="11" type="noConversion"/>
  </si>
  <si>
    <t>剩余验收款+质保款</t>
    <phoneticPr fontId="11" type="noConversion"/>
  </si>
  <si>
    <t>大唐</t>
    <phoneticPr fontId="6" type="noConversion"/>
  </si>
  <si>
    <t>东辉(祝三)</t>
    <phoneticPr fontId="6" type="noConversion"/>
  </si>
  <si>
    <t>东辉(青山)</t>
    <phoneticPr fontId="6" type="noConversion"/>
  </si>
  <si>
    <t>约16.82%</t>
    <phoneticPr fontId="11" type="noConversion"/>
  </si>
  <si>
    <t>陕西</t>
    <phoneticPr fontId="6" type="noConversion"/>
  </si>
  <si>
    <t>其他</t>
    <phoneticPr fontId="6" type="noConversion"/>
  </si>
  <si>
    <t>岐山</t>
    <phoneticPr fontId="6" type="noConversion"/>
  </si>
  <si>
    <t>短期软件；超短期软件；系统硬件；光伏气象站；光伏气象站设备；预测服务1年</t>
    <phoneticPr fontId="6" type="noConversion"/>
  </si>
  <si>
    <t>约3.23%</t>
    <phoneticPr fontId="11" type="noConversion"/>
  </si>
  <si>
    <t>2019.5.7</t>
    <phoneticPr fontId="11" type="noConversion"/>
  </si>
  <si>
    <t>山东泰开箱变有限公司</t>
    <phoneticPr fontId="11" type="noConversion"/>
  </si>
  <si>
    <t>华润</t>
    <phoneticPr fontId="6" type="noConversion"/>
  </si>
  <si>
    <t>安达3号、安达4号</t>
    <phoneticPr fontId="6" type="noConversion"/>
  </si>
  <si>
    <t>箱变测控</t>
    <phoneticPr fontId="6" type="noConversion"/>
  </si>
  <si>
    <t>马梦迪</t>
    <phoneticPr fontId="11" type="noConversion"/>
  </si>
  <si>
    <t>约3.39%</t>
    <phoneticPr fontId="11" type="noConversion"/>
  </si>
  <si>
    <t>部分验收款</t>
    <phoneticPr fontId="11" type="noConversion"/>
  </si>
  <si>
    <t>2019.5.10</t>
    <phoneticPr fontId="11" type="noConversion"/>
  </si>
  <si>
    <t>约6.78%</t>
    <phoneticPr fontId="11" type="noConversion"/>
  </si>
  <si>
    <t>2019年5月10日收到一张电子银行承兑汇票2万元， 汇票出票日期为2018年11月22日，到期日期2019年05月22日。</t>
    <phoneticPr fontId="11" type="noConversion"/>
  </si>
  <si>
    <t>大庆绿源风力发电有限公司</t>
    <phoneticPr fontId="11" type="noConversion"/>
  </si>
  <si>
    <t>合同款</t>
    <phoneticPr fontId="11" type="noConversion"/>
  </si>
  <si>
    <t>郭文明</t>
    <phoneticPr fontId="11" type="noConversion"/>
  </si>
  <si>
    <t>李妍</t>
    <phoneticPr fontId="11" type="noConversion"/>
  </si>
  <si>
    <t>约95.00%</t>
    <phoneticPr fontId="11" type="noConversion"/>
  </si>
  <si>
    <t>2019.5.22</t>
    <phoneticPr fontId="11" type="noConversion"/>
  </si>
  <si>
    <t>乾安网新风电有限公司</t>
    <phoneticPr fontId="11" type="noConversion"/>
  </si>
  <si>
    <t>服务费</t>
    <phoneticPr fontId="11" type="noConversion"/>
  </si>
  <si>
    <t>王星</t>
    <phoneticPr fontId="11" type="noConversion"/>
  </si>
  <si>
    <t>2019.5.22</t>
    <phoneticPr fontId="11" type="noConversion"/>
  </si>
  <si>
    <t>浙江稠州商业银行股份有限公司福州分行</t>
  </si>
  <si>
    <t>2019.5.23</t>
    <phoneticPr fontId="11" type="noConversion"/>
  </si>
  <si>
    <t>汇票进账</t>
    <phoneticPr fontId="11" type="noConversion"/>
  </si>
  <si>
    <t>晨光</t>
    <phoneticPr fontId="6" type="noConversion"/>
  </si>
  <si>
    <t>富强</t>
    <phoneticPr fontId="6" type="noConversion"/>
  </si>
  <si>
    <t>服务费</t>
    <phoneticPr fontId="11" type="noConversion"/>
  </si>
  <si>
    <t>郭文明</t>
    <phoneticPr fontId="11" type="noConversion"/>
  </si>
  <si>
    <t>李妍</t>
    <phoneticPr fontId="11" type="noConversion"/>
  </si>
  <si>
    <t>2019.5.23</t>
    <phoneticPr fontId="11" type="noConversion"/>
  </si>
  <si>
    <t>大唐桦川风力发电有限公司</t>
    <phoneticPr fontId="11" type="noConversion"/>
  </si>
  <si>
    <t>苏家店</t>
    <phoneticPr fontId="6" type="noConversion"/>
  </si>
  <si>
    <t>2019.5.24</t>
    <phoneticPr fontId="11" type="noConversion"/>
  </si>
  <si>
    <t>福能（龙海）风力发电有限责任公司</t>
    <phoneticPr fontId="11" type="noConversion"/>
  </si>
  <si>
    <t>质保款</t>
    <phoneticPr fontId="11" type="noConversion"/>
  </si>
  <si>
    <t>秦英飞</t>
    <phoneticPr fontId="11" type="noConversion"/>
  </si>
  <si>
    <t>福建</t>
    <phoneticPr fontId="6" type="noConversion"/>
  </si>
  <si>
    <t>福能</t>
  </si>
  <si>
    <t>龙海新村、新厝、港尾</t>
    <phoneticPr fontId="6" type="noConversion"/>
  </si>
  <si>
    <t>短期软件；超短期软件；系统硬件；测风塔设备；预测服务1年</t>
    <phoneticPr fontId="6" type="noConversion"/>
  </si>
  <si>
    <t>2019.5.31</t>
    <phoneticPr fontId="11" type="noConversion"/>
  </si>
  <si>
    <t>大唐托克逊风电开发有限公司</t>
    <phoneticPr fontId="11" type="noConversion"/>
  </si>
  <si>
    <t>托克逊</t>
    <phoneticPr fontId="6" type="noConversion"/>
  </si>
  <si>
    <t>验收款</t>
    <phoneticPr fontId="11" type="noConversion"/>
  </si>
  <si>
    <t>王龙波</t>
    <phoneticPr fontId="11" type="noConversion"/>
  </si>
  <si>
    <t>国家电投集团宁夏能源铝业中卫新能源有限公司</t>
    <phoneticPr fontId="11" type="noConversion"/>
  </si>
  <si>
    <t>服务费</t>
    <phoneticPr fontId="11" type="noConversion"/>
  </si>
  <si>
    <t>杨振坤</t>
    <phoneticPr fontId="11" type="noConversion"/>
  </si>
  <si>
    <t>大唐哈密风电开发有限公司</t>
    <phoneticPr fontId="11" type="noConversion"/>
  </si>
  <si>
    <t>哈密苦水</t>
    <phoneticPr fontId="6" type="noConversion"/>
  </si>
  <si>
    <t>短期软件；超短期软件；系统硬件；预测服务1年</t>
    <phoneticPr fontId="6" type="noConversion"/>
  </si>
  <si>
    <t>质保款</t>
    <phoneticPr fontId="11" type="noConversion"/>
  </si>
  <si>
    <t>王龙波</t>
    <phoneticPr fontId="11" type="noConversion"/>
  </si>
  <si>
    <t>2019.6.5</t>
    <phoneticPr fontId="11" type="noConversion"/>
  </si>
  <si>
    <t>中节能风力发电（哈密）有限公司</t>
    <phoneticPr fontId="11" type="noConversion"/>
  </si>
  <si>
    <t>中节能</t>
  </si>
  <si>
    <t>哈密景峡</t>
    <phoneticPr fontId="6" type="noConversion"/>
  </si>
  <si>
    <t xml:space="preserve">风电功率预测 </t>
  </si>
  <si>
    <t>短期软件；超短期软件；系统硬件；测风塔；测风塔设备；预测服务1年</t>
  </si>
  <si>
    <t>验收款</t>
    <phoneticPr fontId="11" type="noConversion"/>
  </si>
  <si>
    <t>王龙波</t>
    <phoneticPr fontId="11" type="noConversion"/>
  </si>
  <si>
    <t>2019.6.5</t>
    <phoneticPr fontId="11" type="noConversion"/>
  </si>
  <si>
    <t>华能同江风力发电有限公司</t>
    <phoneticPr fontId="11" type="noConversion"/>
  </si>
  <si>
    <t>街津山</t>
    <phoneticPr fontId="6" type="noConversion"/>
  </si>
  <si>
    <t>合同款</t>
    <phoneticPr fontId="11" type="noConversion"/>
  </si>
  <si>
    <t>2019.6.6</t>
    <phoneticPr fontId="11" type="noConversion"/>
  </si>
  <si>
    <t>新誉集团有限公司</t>
    <phoneticPr fontId="11" type="noConversion"/>
  </si>
  <si>
    <t>吉林</t>
    <phoneticPr fontId="6" type="noConversion"/>
  </si>
  <si>
    <t>其他</t>
  </si>
  <si>
    <t>到保</t>
    <phoneticPr fontId="6" type="noConversion"/>
  </si>
  <si>
    <t>短期软件；超短期软件；系统硬件；测风塔；测风塔设备</t>
    <phoneticPr fontId="6" type="noConversion"/>
  </si>
  <si>
    <t>剩余验收款+部分质保款</t>
    <phoneticPr fontId="11" type="noConversion"/>
  </si>
  <si>
    <t>约10.42%</t>
    <phoneticPr fontId="11" type="noConversion"/>
  </si>
  <si>
    <t>陈慧群</t>
    <phoneticPr fontId="6" type="noConversion"/>
  </si>
  <si>
    <t>王星</t>
    <phoneticPr fontId="11" type="noConversion"/>
  </si>
  <si>
    <t>2019.6.12</t>
    <phoneticPr fontId="11" type="noConversion"/>
  </si>
  <si>
    <t>大唐桦川风力发电有限公司桦南分公司</t>
    <phoneticPr fontId="11" type="noConversion"/>
  </si>
  <si>
    <t>大唐桦川风力发电有限公司集贤分公司</t>
    <phoneticPr fontId="11" type="noConversion"/>
  </si>
  <si>
    <t>服务费</t>
    <phoneticPr fontId="11" type="noConversion"/>
  </si>
  <si>
    <t>郭文明</t>
    <phoneticPr fontId="11" type="noConversion"/>
  </si>
  <si>
    <t>李妍</t>
    <phoneticPr fontId="11" type="noConversion"/>
  </si>
  <si>
    <t>2019.6.13</t>
    <phoneticPr fontId="11" type="noConversion"/>
  </si>
  <si>
    <t>大唐绥滨新能源有限公司</t>
    <phoneticPr fontId="11" type="noConversion"/>
  </si>
  <si>
    <t>吉成</t>
    <phoneticPr fontId="6" type="noConversion"/>
  </si>
  <si>
    <t>2019.6.18</t>
    <phoneticPr fontId="11" type="noConversion"/>
  </si>
  <si>
    <t>李妍</t>
    <phoneticPr fontId="11" type="noConversion"/>
  </si>
  <si>
    <t>太平</t>
    <phoneticPr fontId="6" type="noConversion"/>
  </si>
  <si>
    <t>预测服务3年</t>
    <phoneticPr fontId="6" type="noConversion"/>
  </si>
  <si>
    <t>预测服务13日</t>
    <phoneticPr fontId="6" type="noConversion"/>
  </si>
  <si>
    <t>服务费</t>
    <phoneticPr fontId="11" type="noConversion"/>
  </si>
  <si>
    <t>2019.6.20</t>
    <phoneticPr fontId="11" type="noConversion"/>
  </si>
  <si>
    <t>2019.6.21</t>
    <phoneticPr fontId="11" type="noConversion"/>
  </si>
  <si>
    <t>龙江杏山风力发电有限公司</t>
    <phoneticPr fontId="11" type="noConversion"/>
  </si>
  <si>
    <t>中广核</t>
  </si>
  <si>
    <t>杏山（龙腾二期）</t>
    <phoneticPr fontId="6" type="noConversion"/>
  </si>
  <si>
    <t>建模扩容</t>
    <phoneticPr fontId="6" type="noConversion"/>
  </si>
  <si>
    <t>质保款</t>
    <phoneticPr fontId="11" type="noConversion"/>
  </si>
  <si>
    <t>马梦迪</t>
    <phoneticPr fontId="11" type="noConversion"/>
  </si>
  <si>
    <t>大唐</t>
    <phoneticPr fontId="6" type="noConversion"/>
  </si>
  <si>
    <t>太平</t>
    <phoneticPr fontId="6" type="noConversion"/>
  </si>
  <si>
    <t>电力通讯</t>
  </si>
  <si>
    <t>黑龙江风电场理论功率上传软件；系统硬件</t>
    <phoneticPr fontId="6" type="noConversion"/>
  </si>
  <si>
    <t>中国大唐集团财务有限公司</t>
    <phoneticPr fontId="11" type="noConversion"/>
  </si>
  <si>
    <t>李妍</t>
    <phoneticPr fontId="11" type="noConversion"/>
  </si>
  <si>
    <t>2019.6.24</t>
    <phoneticPr fontId="11" type="noConversion"/>
  </si>
  <si>
    <t>华电虎林风力发电有限公司</t>
    <phoneticPr fontId="11" type="noConversion"/>
  </si>
  <si>
    <t>山东泰开箱变有限公司</t>
    <phoneticPr fontId="11" type="noConversion"/>
  </si>
  <si>
    <t>部分验收款</t>
    <phoneticPr fontId="11" type="noConversion"/>
  </si>
  <si>
    <t>马梦迪</t>
    <phoneticPr fontId="11" type="noConversion"/>
  </si>
  <si>
    <t>约9.83%</t>
    <phoneticPr fontId="11" type="noConversion"/>
  </si>
  <si>
    <t>到货款</t>
    <phoneticPr fontId="11" type="noConversion"/>
  </si>
  <si>
    <t>2019.6.26</t>
    <phoneticPr fontId="11" type="noConversion"/>
  </si>
  <si>
    <t>大庆德美特尔能源科技有限公司</t>
    <phoneticPr fontId="11" type="noConversion"/>
  </si>
  <si>
    <t>林口胜利</t>
    <phoneticPr fontId="6" type="noConversion"/>
  </si>
  <si>
    <t>约6.51%</t>
    <phoneticPr fontId="11" type="noConversion"/>
  </si>
  <si>
    <t>2019.6.27</t>
    <phoneticPr fontId="11" type="noConversion"/>
  </si>
  <si>
    <t>滨海龙源</t>
    <phoneticPr fontId="6" type="noConversion"/>
  </si>
  <si>
    <t>安达1号、2号</t>
    <phoneticPr fontId="6" type="noConversion"/>
  </si>
  <si>
    <t>黑龙江光伏电站综合通讯管理系统软件</t>
    <phoneticPr fontId="6" type="noConversion"/>
  </si>
  <si>
    <t>安徽</t>
    <phoneticPr fontId="6" type="noConversion"/>
  </si>
  <si>
    <t>安徽南谯五个风电场</t>
    <phoneticPr fontId="6" type="noConversion"/>
  </si>
  <si>
    <t>短期软件；超短期软件；系统硬件；测风塔；测风塔设备；预测服务3年</t>
    <phoneticPr fontId="6" type="noConversion"/>
  </si>
  <si>
    <t>约15.66%</t>
    <phoneticPr fontId="11" type="noConversion"/>
  </si>
  <si>
    <t>2019年6月6日收到一张电子银行承兑汇票5万元， 汇票出票日期为2019年6月6日，到期日期2020年6月6日。</t>
    <phoneticPr fontId="11" type="noConversion"/>
  </si>
  <si>
    <t>新疆</t>
    <phoneticPr fontId="39" type="noConversion"/>
  </si>
  <si>
    <t>其它</t>
    <phoneticPr fontId="39" type="noConversion"/>
  </si>
  <si>
    <t>第十三师三塘湖</t>
    <phoneticPr fontId="39" type="noConversion"/>
  </si>
  <si>
    <t>短期软件；超短期软件；系统硬件；测风塔；测风塔设备；预测服务5年</t>
    <phoneticPr fontId="39" type="noConversion"/>
  </si>
  <si>
    <t>约95.01%</t>
    <phoneticPr fontId="11" type="noConversion"/>
  </si>
  <si>
    <t>2019年6月27日收到一张电子银行承兑汇票46.91万元， 汇票出票日期为2019年6月27日，到期日期2019年12月27日。</t>
    <phoneticPr fontId="11" type="noConversion"/>
  </si>
  <si>
    <t>到货款+部分质保金</t>
    <phoneticPr fontId="11" type="noConversion"/>
  </si>
  <si>
    <t>2019.6.28</t>
    <phoneticPr fontId="11" type="noConversion"/>
  </si>
  <si>
    <t>测风塔；测风塔设备</t>
    <phoneticPr fontId="6" type="noConversion"/>
  </si>
  <si>
    <t>贾本玉</t>
    <phoneticPr fontId="6" type="noConversion"/>
  </si>
  <si>
    <t>测风塔、测风塔设备</t>
    <phoneticPr fontId="6" type="noConversion"/>
  </si>
  <si>
    <t>2019.7.4</t>
    <phoneticPr fontId="11" type="noConversion"/>
  </si>
  <si>
    <t>刘龙台（二期）</t>
    <phoneticPr fontId="6" type="noConversion"/>
  </si>
  <si>
    <t>2019.7.9</t>
    <phoneticPr fontId="11" type="noConversion"/>
  </si>
  <si>
    <t>华电嘉利二场</t>
    <phoneticPr fontId="6" type="noConversion"/>
  </si>
  <si>
    <t>2019.7.10</t>
    <phoneticPr fontId="11" type="noConversion"/>
  </si>
  <si>
    <t>2019.7.11</t>
    <phoneticPr fontId="11" type="noConversion"/>
  </si>
  <si>
    <t>2019.7.15</t>
    <phoneticPr fontId="11" type="noConversion"/>
  </si>
  <si>
    <t>2019年7月15日收到一张电子银行承兑汇票11.288112万元，汇票出票日期为2019年5月24日，到期日期为2019年11月24日</t>
    <phoneticPr fontId="11" type="noConversion"/>
  </si>
  <si>
    <t>西安隆基</t>
    <phoneticPr fontId="6" type="noConversion"/>
  </si>
  <si>
    <t>黑龙江光伏电站综合通讯管理系统软件；系统硬件</t>
  </si>
  <si>
    <t>约1.05%</t>
    <phoneticPr fontId="11" type="noConversion"/>
  </si>
  <si>
    <t>约45.15%</t>
    <phoneticPr fontId="11" type="noConversion"/>
  </si>
  <si>
    <t>2019.7.16</t>
    <phoneticPr fontId="11" type="noConversion"/>
  </si>
  <si>
    <t>河北</t>
  </si>
  <si>
    <t>阳城子</t>
  </si>
  <si>
    <t>建模扩容；预测服务1年</t>
    <phoneticPr fontId="6" type="noConversion"/>
  </si>
  <si>
    <t>铁岭镇西堡（镇西堡、李家屯、心田堡）</t>
    <phoneticPr fontId="6" type="noConversion"/>
  </si>
  <si>
    <t>2019.7.17</t>
    <phoneticPr fontId="11" type="noConversion"/>
  </si>
  <si>
    <t>约13.01%</t>
    <phoneticPr fontId="11" type="noConversion"/>
  </si>
  <si>
    <t>黑龙江</t>
    <phoneticPr fontId="6" type="noConversion"/>
  </si>
  <si>
    <t>海林海浪</t>
    <phoneticPr fontId="6" type="noConversion"/>
  </si>
  <si>
    <t>大唐苦水东风电场</t>
    <phoneticPr fontId="6" type="noConversion"/>
  </si>
  <si>
    <t>2019.7.19</t>
    <phoneticPr fontId="11" type="noConversion"/>
  </si>
  <si>
    <t>中闽能</t>
    <phoneticPr fontId="6" type="noConversion"/>
  </si>
  <si>
    <t>大北山</t>
    <phoneticPr fontId="6" type="noConversion"/>
  </si>
  <si>
    <t>辽宁风电场D5000二区软件</t>
    <phoneticPr fontId="6" type="noConversion"/>
  </si>
  <si>
    <r>
      <t>1</t>
    </r>
    <r>
      <rPr>
        <sz val="9"/>
        <rFont val="宋体"/>
        <family val="3"/>
        <charset val="134"/>
      </rPr>
      <t>9024-1</t>
    </r>
    <phoneticPr fontId="6" type="noConversion"/>
  </si>
  <si>
    <r>
      <t>1</t>
    </r>
    <r>
      <rPr>
        <sz val="9"/>
        <rFont val="宋体"/>
        <family val="3"/>
        <charset val="134"/>
      </rPr>
      <t>9024-2</t>
    </r>
    <phoneticPr fontId="6" type="noConversion"/>
  </si>
  <si>
    <t>2019.7.26</t>
    <phoneticPr fontId="11" type="noConversion"/>
  </si>
  <si>
    <t>力诺石城子光伏一电站</t>
    <phoneticPr fontId="6" type="noConversion"/>
  </si>
  <si>
    <t>十三间房四期</t>
    <phoneticPr fontId="6" type="noConversion"/>
  </si>
  <si>
    <t>建模扩容；系统硬件；预测服务1年</t>
    <phoneticPr fontId="6" type="noConversion"/>
  </si>
  <si>
    <t>约64.20%</t>
    <phoneticPr fontId="11" type="noConversion"/>
  </si>
  <si>
    <t>2019年7月26日收到一张电子商业承兑汇票19.84374万元，汇票出票日期为2019年7月25日，到期日期为2020年1月25日</t>
    <phoneticPr fontId="11" type="noConversion"/>
  </si>
  <si>
    <t>高嵛山</t>
    <phoneticPr fontId="6" type="noConversion"/>
  </si>
  <si>
    <t>约44.52%</t>
    <phoneticPr fontId="11" type="noConversion"/>
  </si>
  <si>
    <t>试运行款+部分质保款</t>
    <phoneticPr fontId="11" type="noConversion"/>
  </si>
  <si>
    <t>2019.7.30</t>
    <phoneticPr fontId="11" type="noConversion"/>
  </si>
  <si>
    <t>2019.7.31</t>
    <phoneticPr fontId="11" type="noConversion"/>
  </si>
  <si>
    <t>吉电（滁州）章广风力发电有限公司</t>
    <phoneticPr fontId="11" type="noConversion"/>
  </si>
  <si>
    <t>章广</t>
    <phoneticPr fontId="6" type="noConversion"/>
  </si>
  <si>
    <t>2019.8.6</t>
    <phoneticPr fontId="11" type="noConversion"/>
  </si>
  <si>
    <t>2019.8.7</t>
    <phoneticPr fontId="11" type="noConversion"/>
  </si>
  <si>
    <t>福建省福能新能源有限责任公司</t>
    <phoneticPr fontId="11" type="noConversion"/>
  </si>
  <si>
    <t>15021-2018</t>
    <phoneticPr fontId="11" type="noConversion"/>
  </si>
  <si>
    <t>福建</t>
    <phoneticPr fontId="6" type="noConversion"/>
  </si>
  <si>
    <t>大蚶山</t>
    <phoneticPr fontId="6" type="noConversion"/>
  </si>
  <si>
    <t>风电功率预测</t>
    <phoneticPr fontId="6" type="noConversion"/>
  </si>
  <si>
    <t>预测服务1年</t>
    <phoneticPr fontId="6" type="noConversion"/>
  </si>
  <si>
    <t>约18.94%</t>
    <phoneticPr fontId="11" type="noConversion"/>
  </si>
  <si>
    <t>福建</t>
  </si>
  <si>
    <t>约149.80%</t>
    <phoneticPr fontId="11" type="noConversion"/>
  </si>
  <si>
    <t>15022-2018</t>
    <phoneticPr fontId="11" type="noConversion"/>
  </si>
  <si>
    <t>龙海隆教</t>
    <phoneticPr fontId="6" type="noConversion"/>
  </si>
  <si>
    <t>约106.23%</t>
    <phoneticPr fontId="11" type="noConversion"/>
  </si>
  <si>
    <t>2019.8.13</t>
    <phoneticPr fontId="11" type="noConversion"/>
  </si>
  <si>
    <t>技术服务；系统硬件</t>
    <phoneticPr fontId="6" type="noConversion"/>
  </si>
  <si>
    <t>2019.8.14</t>
    <phoneticPr fontId="11" type="noConversion"/>
  </si>
  <si>
    <t>2019.8.16</t>
    <phoneticPr fontId="11" type="noConversion"/>
  </si>
  <si>
    <t>天润</t>
    <phoneticPr fontId="6" type="noConversion"/>
  </si>
  <si>
    <t>天润留龙沟</t>
    <phoneticPr fontId="6" type="noConversion"/>
  </si>
  <si>
    <t>碾子山</t>
    <phoneticPr fontId="6" type="noConversion"/>
  </si>
  <si>
    <t>光润</t>
    <phoneticPr fontId="6" type="noConversion"/>
  </si>
  <si>
    <t>短期软件；超短期软件；系统硬件；光伏气象站设备；预测服务1年</t>
    <phoneticPr fontId="6" type="noConversion"/>
  </si>
  <si>
    <t>约14.53%</t>
    <phoneticPr fontId="11" type="noConversion"/>
  </si>
  <si>
    <t>2019.8.21</t>
    <phoneticPr fontId="11" type="noConversion"/>
  </si>
  <si>
    <t>2019.8.23</t>
    <phoneticPr fontId="11" type="noConversion"/>
  </si>
  <si>
    <t>17036-2018</t>
    <phoneticPr fontId="11" type="noConversion"/>
  </si>
  <si>
    <t>福能</t>
    <phoneticPr fontId="6" type="noConversion"/>
  </si>
  <si>
    <t>草山</t>
    <phoneticPr fontId="6" type="noConversion"/>
  </si>
  <si>
    <t>风电功率预测</t>
    <phoneticPr fontId="6" type="noConversion"/>
  </si>
  <si>
    <t>预测服务1年</t>
    <phoneticPr fontId="6" type="noConversion"/>
  </si>
  <si>
    <t>2019.8.27</t>
    <phoneticPr fontId="11" type="noConversion"/>
  </si>
  <si>
    <t>新疆华电珍珠泉新能源有限公司</t>
    <phoneticPr fontId="11" type="noConversion"/>
  </si>
  <si>
    <t>华电小草湖北风电一场</t>
    <phoneticPr fontId="6" type="noConversion"/>
  </si>
  <si>
    <t>华电小草湖南风电一场</t>
    <phoneticPr fontId="6" type="noConversion"/>
  </si>
  <si>
    <t>2019.8.28</t>
    <phoneticPr fontId="11" type="noConversion"/>
  </si>
  <si>
    <t>15003-2018</t>
    <phoneticPr fontId="11" type="noConversion"/>
  </si>
  <si>
    <t>新疆</t>
    <phoneticPr fontId="6" type="noConversion"/>
  </si>
  <si>
    <t>华能</t>
    <phoneticPr fontId="6" type="noConversion"/>
  </si>
  <si>
    <t>烟墩</t>
    <phoneticPr fontId="6" type="noConversion"/>
  </si>
  <si>
    <t>风电功率预测</t>
    <phoneticPr fontId="6" type="noConversion"/>
  </si>
  <si>
    <t>预测服务1年</t>
    <phoneticPr fontId="6" type="noConversion"/>
  </si>
  <si>
    <t>黑龙江</t>
    <phoneticPr fontId="43" type="noConversion"/>
  </si>
  <si>
    <t>华润</t>
    <phoneticPr fontId="43" type="noConversion"/>
  </si>
  <si>
    <t>安达3号、安达4号</t>
    <phoneticPr fontId="43" type="noConversion"/>
  </si>
  <si>
    <t>箱变测控</t>
    <phoneticPr fontId="43" type="noConversion"/>
  </si>
  <si>
    <t>约25.42%</t>
    <phoneticPr fontId="11" type="noConversion"/>
  </si>
  <si>
    <t>国华</t>
    <phoneticPr fontId="6" type="noConversion"/>
  </si>
  <si>
    <t>狄青塬（二期）</t>
    <phoneticPr fontId="6" type="noConversion"/>
  </si>
  <si>
    <t>建模扩容；测风塔；测风塔设备；预测服务1年</t>
    <phoneticPr fontId="6" type="noConversion"/>
  </si>
  <si>
    <t>约14.42%</t>
    <phoneticPr fontId="11" type="noConversion"/>
  </si>
  <si>
    <t>征地费</t>
    <phoneticPr fontId="11" type="noConversion"/>
  </si>
  <si>
    <t>2019.8.29</t>
    <phoneticPr fontId="11" type="noConversion"/>
  </si>
  <si>
    <t>2019年7月30日11.288112万元电子银行承兑汇票贴现到账</t>
    <phoneticPr fontId="11" type="noConversion"/>
  </si>
  <si>
    <t>2019年8月29日19.84374万元电子商业承兑汇票贴现到账</t>
    <phoneticPr fontId="11" type="noConversion"/>
  </si>
  <si>
    <t>2019.9.5</t>
    <phoneticPr fontId="11" type="noConversion"/>
  </si>
  <si>
    <t>黑龙江梨树风力发电有限公司</t>
    <phoneticPr fontId="11" type="noConversion"/>
  </si>
  <si>
    <t>华仪</t>
    <phoneticPr fontId="6" type="noConversion"/>
  </si>
  <si>
    <t>平岗</t>
    <phoneticPr fontId="6" type="noConversion"/>
  </si>
  <si>
    <t>2019.9.9</t>
    <phoneticPr fontId="11" type="noConversion"/>
  </si>
  <si>
    <t>渠首</t>
    <phoneticPr fontId="6" type="noConversion"/>
  </si>
  <si>
    <t>吴忠市白塔风力发电有限公司</t>
    <phoneticPr fontId="11" type="noConversion"/>
  </si>
  <si>
    <t>中电建</t>
    <phoneticPr fontId="6" type="noConversion"/>
  </si>
  <si>
    <t>麦垛山</t>
    <phoneticPr fontId="6" type="noConversion"/>
  </si>
  <si>
    <t>2019.9.11</t>
    <phoneticPr fontId="11" type="noConversion"/>
  </si>
  <si>
    <t>辽宁</t>
    <phoneticPr fontId="6" type="noConversion"/>
  </si>
  <si>
    <t>三峡新能源</t>
    <phoneticPr fontId="6" type="noConversion"/>
  </si>
  <si>
    <t>铁岭调兵山华仪+
三峡能源泉眼沟</t>
    <phoneticPr fontId="6" type="noConversion"/>
  </si>
  <si>
    <t>华电</t>
    <phoneticPr fontId="43" type="noConversion"/>
  </si>
  <si>
    <t>七里嘎山（七里嘎山+前锋）</t>
    <phoneticPr fontId="43" type="noConversion"/>
  </si>
  <si>
    <t>郭文明</t>
    <phoneticPr fontId="6" type="noConversion"/>
  </si>
  <si>
    <t>李妍</t>
    <phoneticPr fontId="6" type="noConversion"/>
  </si>
  <si>
    <t>大唐桦川风力发电有限公司集贤分公司</t>
  </si>
  <si>
    <t>2019.9.12</t>
    <phoneticPr fontId="11" type="noConversion"/>
  </si>
  <si>
    <t>哈尔滨新华控制工程有限公司</t>
  </si>
  <si>
    <t>尚义石井</t>
    <phoneticPr fontId="6" type="noConversion"/>
  </si>
  <si>
    <t>电力安全三区综合通讯系统软件升级河北版</t>
    <phoneticPr fontId="6" type="noConversion"/>
  </si>
  <si>
    <t>2019.9.17</t>
    <phoneticPr fontId="11" type="noConversion"/>
  </si>
  <si>
    <t>约6.22%</t>
    <phoneticPr fontId="11" type="noConversion"/>
  </si>
  <si>
    <t>部分质保款</t>
    <phoneticPr fontId="11" type="noConversion"/>
  </si>
  <si>
    <t>山东</t>
    <phoneticPr fontId="6" type="noConversion"/>
  </si>
  <si>
    <t>平阴一期（长清）</t>
    <phoneticPr fontId="6" type="noConversion"/>
  </si>
  <si>
    <t>2019.9.20</t>
    <phoneticPr fontId="11" type="noConversion"/>
  </si>
  <si>
    <t>辽宁</t>
    <phoneticPr fontId="6" type="noConversion"/>
  </si>
  <si>
    <t>三峡威远</t>
    <phoneticPr fontId="6" type="noConversion"/>
  </si>
  <si>
    <t>2019.9.23</t>
    <phoneticPr fontId="11" type="noConversion"/>
  </si>
  <si>
    <t>新疆</t>
    <phoneticPr fontId="47" type="noConversion"/>
  </si>
  <si>
    <t>华电</t>
    <phoneticPr fontId="47" type="noConversion"/>
  </si>
  <si>
    <t>福新木垒光伏一电站</t>
  </si>
  <si>
    <t>光伏功率预测</t>
    <phoneticPr fontId="47" type="noConversion"/>
  </si>
  <si>
    <t>软件升级</t>
    <phoneticPr fontId="47" type="noConversion"/>
  </si>
  <si>
    <t>2019.9.26</t>
    <phoneticPr fontId="11" type="noConversion"/>
  </si>
  <si>
    <t>2019.9.27</t>
    <phoneticPr fontId="11" type="noConversion"/>
  </si>
  <si>
    <t>2019.9.29</t>
    <phoneticPr fontId="11" type="noConversion"/>
  </si>
  <si>
    <t>测风塔1；测风塔1设备；测风塔2；测风塔2设备</t>
    <phoneticPr fontId="6" type="noConversion"/>
  </si>
  <si>
    <t>中卫香山第四风电场、中卫香山第六风电场</t>
    <phoneticPr fontId="6" type="noConversion"/>
  </si>
  <si>
    <t>依兰县协合风力发电有限公司</t>
    <phoneticPr fontId="11" type="noConversion"/>
  </si>
  <si>
    <t>黑龙江</t>
    <phoneticPr fontId="47" type="noConversion"/>
  </si>
  <si>
    <t>协合新能源</t>
    <phoneticPr fontId="47" type="noConversion"/>
  </si>
  <si>
    <t>东升</t>
    <phoneticPr fontId="47" type="noConversion"/>
  </si>
  <si>
    <t>电力通讯</t>
    <phoneticPr fontId="47" type="noConversion"/>
  </si>
  <si>
    <t>黑龙江风电场综合通讯管理系统软件；系统硬件</t>
    <phoneticPr fontId="47" type="noConversion"/>
  </si>
  <si>
    <t>蒲类海麻黄沟西风电场</t>
    <phoneticPr fontId="6" type="noConversion"/>
  </si>
  <si>
    <t>2019.9.30</t>
    <phoneticPr fontId="11" type="noConversion"/>
  </si>
  <si>
    <t>陕西</t>
    <phoneticPr fontId="47" type="noConversion"/>
  </si>
  <si>
    <t>其他</t>
    <phoneticPr fontId="47" type="noConversion"/>
  </si>
  <si>
    <t>岐山</t>
    <phoneticPr fontId="47" type="noConversion"/>
  </si>
  <si>
    <t>短期软件；超短期软件；系统硬件；光伏气象站；光伏气象站设备；预测服务1年</t>
    <phoneticPr fontId="47" type="noConversion"/>
  </si>
  <si>
    <t>约6.45%</t>
    <phoneticPr fontId="11" type="noConversion"/>
  </si>
  <si>
    <t>2019.10.14</t>
    <phoneticPr fontId="11" type="noConversion"/>
  </si>
  <si>
    <t>河南西铁泰华电气有限公司</t>
  </si>
  <si>
    <t>约15.25%</t>
    <phoneticPr fontId="11" type="noConversion"/>
  </si>
  <si>
    <t>2019.10.22</t>
    <phoneticPr fontId="11" type="noConversion"/>
  </si>
  <si>
    <t>中节能</t>
    <phoneticPr fontId="6" type="noConversion"/>
  </si>
  <si>
    <t>云南</t>
    <phoneticPr fontId="6" type="noConversion"/>
  </si>
  <si>
    <t>中电</t>
    <phoneticPr fontId="6" type="noConversion"/>
  </si>
  <si>
    <t>苏撒坡</t>
    <phoneticPr fontId="6" type="noConversion"/>
  </si>
  <si>
    <t>18016-2019</t>
    <phoneticPr fontId="11" type="noConversion"/>
  </si>
  <si>
    <t>2019.10.24</t>
    <phoneticPr fontId="11" type="noConversion"/>
  </si>
  <si>
    <t>美林</t>
    <phoneticPr fontId="6" type="noConversion"/>
  </si>
  <si>
    <t>黑龙江风电场电力安全一区综合通讯系统软件；系统硬件</t>
    <phoneticPr fontId="6" type="noConversion"/>
  </si>
  <si>
    <t>2019.10.25</t>
    <phoneticPr fontId="11" type="noConversion"/>
  </si>
  <si>
    <t>东辉（祝三+青山）</t>
    <phoneticPr fontId="6" type="noConversion"/>
  </si>
  <si>
    <t>黑龙江风电场电力安全一区综合通讯系统软件；系统硬件</t>
  </si>
  <si>
    <t>黑龙江</t>
    <phoneticPr fontId="48" type="noConversion"/>
  </si>
  <si>
    <t>大唐</t>
    <phoneticPr fontId="48" type="noConversion"/>
  </si>
  <si>
    <t>吉成</t>
    <phoneticPr fontId="48" type="noConversion"/>
  </si>
  <si>
    <t>电力通讯</t>
    <phoneticPr fontId="48" type="noConversion"/>
  </si>
  <si>
    <t>黑龙江风电场电力安全一区综合通讯系统软件；系统硬件</t>
    <phoneticPr fontId="48" type="noConversion"/>
  </si>
  <si>
    <t>黑龙江</t>
    <phoneticPr fontId="48" type="noConversion"/>
  </si>
  <si>
    <t>华能</t>
    <phoneticPr fontId="48" type="noConversion"/>
  </si>
  <si>
    <t>和平、兴隆新海</t>
    <phoneticPr fontId="48" type="noConversion"/>
  </si>
  <si>
    <t>黑龙江风电场理论功率上传软件；系统硬件</t>
    <phoneticPr fontId="48" type="noConversion"/>
  </si>
  <si>
    <t>2019.10.28</t>
    <phoneticPr fontId="11" type="noConversion"/>
  </si>
  <si>
    <t>曙光</t>
    <phoneticPr fontId="6" type="noConversion"/>
  </si>
  <si>
    <t>艾锋</t>
    <phoneticPr fontId="11" type="noConversion"/>
  </si>
  <si>
    <t>大黑山</t>
    <phoneticPr fontId="6" type="noConversion"/>
  </si>
  <si>
    <t>草原</t>
    <phoneticPr fontId="6" type="noConversion"/>
  </si>
  <si>
    <t>夹信山</t>
    <phoneticPr fontId="6" type="noConversion"/>
  </si>
  <si>
    <r>
      <t>19091</t>
    </r>
    <r>
      <rPr>
        <sz val="9"/>
        <rFont val="宋体"/>
        <family val="3"/>
        <charset val="134"/>
      </rPr>
      <t>-1</t>
    </r>
    <phoneticPr fontId="6" type="noConversion"/>
  </si>
  <si>
    <r>
      <t>19091</t>
    </r>
    <r>
      <rPr>
        <sz val="9"/>
        <rFont val="宋体"/>
        <family val="3"/>
        <charset val="134"/>
      </rPr>
      <t>-2</t>
    </r>
    <r>
      <rPr>
        <sz val="11"/>
        <color indexed="8"/>
        <rFont val="宋体"/>
        <family val="3"/>
        <charset val="134"/>
      </rPr>
      <t/>
    </r>
  </si>
  <si>
    <r>
      <t>19091</t>
    </r>
    <r>
      <rPr>
        <sz val="9"/>
        <rFont val="宋体"/>
        <family val="3"/>
        <charset val="134"/>
      </rPr>
      <t>-3</t>
    </r>
    <r>
      <rPr>
        <sz val="11"/>
        <color indexed="8"/>
        <rFont val="宋体"/>
        <family val="3"/>
        <charset val="134"/>
      </rPr>
      <t/>
    </r>
  </si>
  <si>
    <r>
      <t>19091</t>
    </r>
    <r>
      <rPr>
        <sz val="9"/>
        <rFont val="宋体"/>
        <family val="3"/>
        <charset val="134"/>
      </rPr>
      <t>-4</t>
    </r>
    <r>
      <rPr>
        <sz val="11"/>
        <color indexed="8"/>
        <rFont val="宋体"/>
        <family val="3"/>
        <charset val="134"/>
      </rPr>
      <t/>
    </r>
  </si>
  <si>
    <t>小城山</t>
    <phoneticPr fontId="6" type="noConversion"/>
  </si>
  <si>
    <t>小锅盔</t>
    <phoneticPr fontId="6" type="noConversion"/>
  </si>
  <si>
    <t>白山</t>
    <phoneticPr fontId="6" type="noConversion"/>
  </si>
  <si>
    <t>2019.10.29</t>
    <phoneticPr fontId="11" type="noConversion"/>
  </si>
  <si>
    <t>三峡新能源</t>
    <phoneticPr fontId="48" type="noConversion"/>
  </si>
  <si>
    <t>泰来</t>
    <phoneticPr fontId="48" type="noConversion"/>
  </si>
  <si>
    <t>光伏功率预测</t>
    <phoneticPr fontId="48" type="noConversion"/>
  </si>
  <si>
    <t>预测服务3年</t>
    <phoneticPr fontId="48" type="noConversion"/>
  </si>
  <si>
    <t>岔林河</t>
    <phoneticPr fontId="6" type="noConversion"/>
  </si>
  <si>
    <t>大蜂山</t>
    <phoneticPr fontId="6" type="noConversion"/>
  </si>
  <si>
    <t>蝙蝠山</t>
    <phoneticPr fontId="6" type="noConversion"/>
  </si>
  <si>
    <t>横岱山</t>
    <phoneticPr fontId="6" type="noConversion"/>
  </si>
  <si>
    <t>同江风力发电有限公司</t>
    <phoneticPr fontId="11" type="noConversion"/>
  </si>
  <si>
    <t>黑龙江</t>
    <phoneticPr fontId="48" type="noConversion"/>
  </si>
  <si>
    <t>华能</t>
    <phoneticPr fontId="48" type="noConversion"/>
  </si>
  <si>
    <t>街津山</t>
    <phoneticPr fontId="48" type="noConversion"/>
  </si>
  <si>
    <t>2019.10.30</t>
    <phoneticPr fontId="11" type="noConversion"/>
  </si>
  <si>
    <t>大安润风能源开发有限公司</t>
    <phoneticPr fontId="11" type="noConversion"/>
  </si>
  <si>
    <t>大安海陀</t>
    <phoneticPr fontId="6" type="noConversion"/>
  </si>
  <si>
    <t>短期软件；超短期软件；系统硬件；测风塔设备</t>
    <phoneticPr fontId="6" type="noConversion"/>
  </si>
  <si>
    <t>2019.10.31</t>
    <phoneticPr fontId="11" type="noConversion"/>
  </si>
  <si>
    <t>陕西</t>
    <phoneticPr fontId="6" type="noConversion"/>
  </si>
  <si>
    <t>其他</t>
    <phoneticPr fontId="6" type="noConversion"/>
  </si>
  <si>
    <t>岐山</t>
    <phoneticPr fontId="6" type="noConversion"/>
  </si>
  <si>
    <t>协合新能源</t>
    <phoneticPr fontId="48" type="noConversion"/>
  </si>
  <si>
    <t>东升</t>
    <phoneticPr fontId="48" type="noConversion"/>
  </si>
  <si>
    <t>系统硬件</t>
    <phoneticPr fontId="48" type="noConversion"/>
  </si>
  <si>
    <t>2019.11.1</t>
    <phoneticPr fontId="11" type="noConversion"/>
  </si>
  <si>
    <t>孚尧电力工程设计（上海）有限公司</t>
    <phoneticPr fontId="11" type="noConversion"/>
  </si>
  <si>
    <t>中伏能源</t>
    <phoneticPr fontId="6" type="noConversion"/>
  </si>
  <si>
    <t>泗县草庙</t>
    <phoneticPr fontId="6" type="noConversion"/>
  </si>
  <si>
    <t>短期软件；超短期软件；系统硬件；预测服务2年</t>
    <phoneticPr fontId="6" type="noConversion"/>
  </si>
  <si>
    <t>2019.11.11</t>
    <phoneticPr fontId="11" type="noConversion"/>
  </si>
  <si>
    <t>华润</t>
    <phoneticPr fontId="48" type="noConversion"/>
  </si>
  <si>
    <t>安达3号、安达4号</t>
    <phoneticPr fontId="48" type="noConversion"/>
  </si>
  <si>
    <t>约10.17%</t>
    <phoneticPr fontId="11" type="noConversion"/>
  </si>
  <si>
    <t>2019.11.14</t>
    <phoneticPr fontId="11" type="noConversion"/>
  </si>
  <si>
    <t>2019.11.15</t>
    <phoneticPr fontId="11" type="noConversion"/>
  </si>
  <si>
    <t>新疆</t>
    <phoneticPr fontId="6" type="noConversion"/>
  </si>
  <si>
    <t>华电</t>
  </si>
  <si>
    <t>淖毛湖</t>
    <phoneticPr fontId="6" type="noConversion"/>
  </si>
  <si>
    <t>华电</t>
    <phoneticPr fontId="48" type="noConversion"/>
  </si>
  <si>
    <t>石青山</t>
    <phoneticPr fontId="48" type="noConversion"/>
  </si>
  <si>
    <t>黑龙江风电场综合通讯管理系统软件；系统硬件</t>
    <phoneticPr fontId="48" type="noConversion"/>
  </si>
  <si>
    <t>七里嘎山（七里嘎山）</t>
    <phoneticPr fontId="6" type="noConversion"/>
  </si>
  <si>
    <t>富裕友谊</t>
    <phoneticPr fontId="6" type="noConversion"/>
  </si>
  <si>
    <t>2019.11.12</t>
    <phoneticPr fontId="11" type="noConversion"/>
  </si>
  <si>
    <t>2019.11.19</t>
    <phoneticPr fontId="11" type="noConversion"/>
  </si>
  <si>
    <t>锦州运达风力发电有限公司</t>
    <phoneticPr fontId="11" type="noConversion"/>
  </si>
  <si>
    <t>18027-1</t>
    <phoneticPr fontId="11" type="noConversion"/>
  </si>
  <si>
    <t>18027-2</t>
    <phoneticPr fontId="11" type="noConversion"/>
  </si>
  <si>
    <t>约45.58%</t>
    <phoneticPr fontId="11" type="noConversion"/>
  </si>
  <si>
    <t>剩余到货款</t>
    <phoneticPr fontId="11" type="noConversion"/>
  </si>
  <si>
    <t>协合新能源</t>
    <phoneticPr fontId="6" type="noConversion"/>
  </si>
  <si>
    <t>东升</t>
    <phoneticPr fontId="6" type="noConversion"/>
  </si>
  <si>
    <t>2019.11.22</t>
    <phoneticPr fontId="11" type="noConversion"/>
  </si>
  <si>
    <t>2019.11.21</t>
    <phoneticPr fontId="11" type="noConversion"/>
  </si>
  <si>
    <t>辽宁</t>
    <phoneticPr fontId="48" type="noConversion"/>
  </si>
  <si>
    <t>三峡威远</t>
    <phoneticPr fontId="48" type="noConversion"/>
  </si>
  <si>
    <t>风电功率预测</t>
    <phoneticPr fontId="48" type="noConversion"/>
  </si>
  <si>
    <t>测风塔维护；测风塔设备</t>
    <phoneticPr fontId="48" type="noConversion"/>
  </si>
  <si>
    <t>查干浩特</t>
    <phoneticPr fontId="6" type="noConversion"/>
  </si>
  <si>
    <t>2019.11.25</t>
    <phoneticPr fontId="11" type="noConversion"/>
  </si>
  <si>
    <r>
      <t>18178</t>
    </r>
    <r>
      <rPr>
        <sz val="9"/>
        <rFont val="宋体"/>
        <family val="3"/>
        <charset val="134"/>
      </rPr>
      <t>-1</t>
    </r>
    <phoneticPr fontId="6" type="noConversion"/>
  </si>
  <si>
    <r>
      <t>18178</t>
    </r>
    <r>
      <rPr>
        <sz val="9"/>
        <rFont val="宋体"/>
        <family val="3"/>
        <charset val="134"/>
      </rPr>
      <t>-2</t>
    </r>
    <phoneticPr fontId="6" type="noConversion"/>
  </si>
  <si>
    <t>软件升级；系统硬件</t>
  </si>
  <si>
    <t>2019.11.26</t>
    <phoneticPr fontId="11" type="noConversion"/>
  </si>
  <si>
    <t>18177-1</t>
    <phoneticPr fontId="11" type="noConversion"/>
  </si>
  <si>
    <t>18177-2</t>
    <phoneticPr fontId="11" type="noConversion"/>
  </si>
  <si>
    <t>福建</t>
    <phoneticPr fontId="48" type="noConversion"/>
  </si>
  <si>
    <t>福能</t>
    <phoneticPr fontId="48" type="noConversion"/>
  </si>
  <si>
    <t>石塘</t>
    <phoneticPr fontId="48" type="noConversion"/>
  </si>
  <si>
    <t>测风塔设备</t>
    <phoneticPr fontId="48" type="noConversion"/>
  </si>
  <si>
    <t>隆教</t>
    <phoneticPr fontId="6" type="noConversion"/>
  </si>
  <si>
    <t>2019.11.27</t>
    <phoneticPr fontId="11" type="noConversion"/>
  </si>
  <si>
    <t>2019.11.28</t>
    <phoneticPr fontId="11" type="noConversion"/>
  </si>
  <si>
    <t>芦河</t>
    <phoneticPr fontId="6" type="noConversion"/>
  </si>
  <si>
    <t>新能源场站一次调频</t>
    <phoneticPr fontId="6" type="noConversion"/>
  </si>
  <si>
    <t>快速调频装置</t>
    <phoneticPr fontId="6" type="noConversion"/>
  </si>
  <si>
    <t>2019.11.29</t>
    <phoneticPr fontId="11" type="noConversion"/>
  </si>
  <si>
    <t>2019.12.3</t>
    <phoneticPr fontId="11" type="noConversion"/>
  </si>
  <si>
    <t>2019.12.4</t>
    <phoneticPr fontId="11" type="noConversion"/>
  </si>
  <si>
    <t>2019.12.5</t>
    <phoneticPr fontId="11" type="noConversion"/>
  </si>
  <si>
    <t>约8.47%</t>
    <phoneticPr fontId="11" type="noConversion"/>
  </si>
  <si>
    <t>2019.12.6</t>
    <phoneticPr fontId="11" type="noConversion"/>
  </si>
  <si>
    <t>2019.12.9</t>
    <phoneticPr fontId="11" type="noConversion"/>
  </si>
  <si>
    <t>陕西</t>
    <phoneticPr fontId="6" type="noConversion"/>
  </si>
  <si>
    <t>其他</t>
    <phoneticPr fontId="6" type="noConversion"/>
  </si>
  <si>
    <t>岐山</t>
    <phoneticPr fontId="6" type="noConversion"/>
  </si>
  <si>
    <t>19005-1</t>
    <phoneticPr fontId="11" type="noConversion"/>
  </si>
  <si>
    <t>19005-2</t>
    <phoneticPr fontId="11" type="noConversion"/>
  </si>
  <si>
    <t>2019.12.10</t>
    <phoneticPr fontId="11" type="noConversion"/>
  </si>
  <si>
    <t>烟台龙口二期</t>
    <phoneticPr fontId="6" type="noConversion"/>
  </si>
  <si>
    <t>2019.12.11</t>
    <phoneticPr fontId="11" type="noConversion"/>
  </si>
  <si>
    <t>中核庙尔沟风电一场</t>
    <phoneticPr fontId="6" type="noConversion"/>
  </si>
  <si>
    <t>海林威虎山二期</t>
    <phoneticPr fontId="48" type="noConversion"/>
  </si>
  <si>
    <t>风机免爬器</t>
    <phoneticPr fontId="48" type="noConversion"/>
  </si>
  <si>
    <t>约23.33%</t>
    <phoneticPr fontId="11" type="noConversion"/>
  </si>
  <si>
    <t>2019.12.12</t>
    <phoneticPr fontId="11" type="noConversion"/>
  </si>
  <si>
    <t>辽阳电能发展有限公司</t>
    <phoneticPr fontId="11" type="noConversion"/>
  </si>
  <si>
    <t>葫芦岛岳家屯</t>
    <phoneticPr fontId="6" type="noConversion"/>
  </si>
  <si>
    <t>辽宁风电场D5000二区系统软件；系统硬件</t>
    <phoneticPr fontId="6" type="noConversion"/>
  </si>
  <si>
    <t>19131-1</t>
    <phoneticPr fontId="11" type="noConversion"/>
  </si>
  <si>
    <t>19131-2</t>
    <phoneticPr fontId="11" type="noConversion"/>
  </si>
  <si>
    <t>到货款+投运款</t>
    <phoneticPr fontId="11" type="noConversion"/>
  </si>
  <si>
    <t>2019.12.13</t>
    <phoneticPr fontId="11" type="noConversion"/>
  </si>
  <si>
    <t>新疆华电苦水风电有限责任公司</t>
  </si>
  <si>
    <t>新疆</t>
    <phoneticPr fontId="48" type="noConversion"/>
  </si>
  <si>
    <t>华电苦水东风电一场</t>
    <phoneticPr fontId="48" type="noConversion"/>
  </si>
  <si>
    <t>19021-1</t>
    <phoneticPr fontId="11" type="noConversion"/>
  </si>
  <si>
    <t>19021-2</t>
    <phoneticPr fontId="11" type="noConversion"/>
  </si>
  <si>
    <t>黑龙江风电场电力安全二区综合通讯系统软件升级；系统硬件</t>
    <phoneticPr fontId="6" type="noConversion"/>
  </si>
  <si>
    <t>2019.12.16</t>
    <phoneticPr fontId="11" type="noConversion"/>
  </si>
  <si>
    <t>2019.12.18</t>
    <phoneticPr fontId="11" type="noConversion"/>
  </si>
  <si>
    <t>2019.12.19</t>
    <phoneticPr fontId="11" type="noConversion"/>
  </si>
  <si>
    <t>淖毛湖二期</t>
    <phoneticPr fontId="6" type="noConversion"/>
  </si>
  <si>
    <t>霞浦延亭（一期+二期）</t>
    <phoneticPr fontId="6" type="noConversion"/>
  </si>
  <si>
    <t>预测服务17个月</t>
    <phoneticPr fontId="6" type="noConversion"/>
  </si>
  <si>
    <t>约70.59%</t>
    <phoneticPr fontId="11" type="noConversion"/>
  </si>
  <si>
    <t>陕西</t>
    <phoneticPr fontId="6" type="noConversion"/>
  </si>
  <si>
    <t>其他</t>
    <phoneticPr fontId="6" type="noConversion"/>
  </si>
  <si>
    <t>岐山</t>
    <phoneticPr fontId="6" type="noConversion"/>
  </si>
  <si>
    <t>约37.45%</t>
    <phoneticPr fontId="11" type="noConversion"/>
  </si>
  <si>
    <t>辽宁</t>
    <phoneticPr fontId="6" type="noConversion"/>
  </si>
  <si>
    <t>沙岗子</t>
    <phoneticPr fontId="6" type="noConversion"/>
  </si>
  <si>
    <t>19080-1</t>
    <phoneticPr fontId="6" type="noConversion"/>
  </si>
  <si>
    <r>
      <t>19080-2</t>
    </r>
    <r>
      <rPr>
        <sz val="11"/>
        <color indexed="8"/>
        <rFont val="宋体"/>
        <family val="3"/>
        <charset val="134"/>
      </rPr>
      <t/>
    </r>
  </si>
  <si>
    <r>
      <t>19080-3</t>
    </r>
    <r>
      <rPr>
        <sz val="11"/>
        <color indexed="8"/>
        <rFont val="宋体"/>
        <family val="3"/>
        <charset val="134"/>
      </rPr>
      <t/>
    </r>
  </si>
  <si>
    <t>新疆</t>
    <phoneticPr fontId="54" type="noConversion"/>
  </si>
  <si>
    <t>华电</t>
    <phoneticPr fontId="54" type="noConversion"/>
  </si>
  <si>
    <t>华电小草湖北风电一场</t>
    <phoneticPr fontId="54" type="noConversion"/>
  </si>
  <si>
    <t>风电功率预测</t>
    <phoneticPr fontId="54" type="noConversion"/>
  </si>
  <si>
    <t>预测服务1年</t>
    <phoneticPr fontId="54" type="noConversion"/>
  </si>
  <si>
    <t>中电建宁夏工程有限公司</t>
    <phoneticPr fontId="11" type="noConversion"/>
  </si>
  <si>
    <t>2019年12月19日收到一张电子银行承兑汇票5万元，汇票出票日期为2019年11月28日，到期日期为2020年11月28日</t>
    <phoneticPr fontId="11" type="noConversion"/>
  </si>
  <si>
    <t>2019年12月19日收到一张电子银行承兑汇票21.6万元，汇票出票日期为2019年12月12日，到期日期为2020年06月12日</t>
    <phoneticPr fontId="11" type="noConversion"/>
  </si>
  <si>
    <t>2019年12月19日收到一张电子银行承兑汇票35.4万元，汇票出票日期为2019年12月12日，到期日期为2020年06月12日</t>
    <phoneticPr fontId="11" type="noConversion"/>
  </si>
  <si>
    <t>2019.12.20</t>
    <phoneticPr fontId="11" type="noConversion"/>
  </si>
  <si>
    <t>北塔山牧场</t>
    <phoneticPr fontId="6" type="noConversion"/>
  </si>
  <si>
    <t>场站视频监控</t>
    <phoneticPr fontId="6" type="noConversion"/>
  </si>
  <si>
    <t>升压站视频监控系统</t>
    <phoneticPr fontId="6" type="noConversion"/>
  </si>
  <si>
    <t>19020-1</t>
    <phoneticPr fontId="11" type="noConversion"/>
  </si>
  <si>
    <t>19020-2</t>
    <phoneticPr fontId="11" type="noConversion"/>
  </si>
  <si>
    <t>黑龙江风电场电力安全二区综合通讯系统软件；系统硬件</t>
    <phoneticPr fontId="6" type="noConversion"/>
  </si>
  <si>
    <t>金紫山</t>
    <phoneticPr fontId="6" type="noConversion"/>
  </si>
  <si>
    <t>大唐</t>
    <phoneticPr fontId="6" type="noConversion"/>
  </si>
  <si>
    <t>碾子山</t>
    <phoneticPr fontId="6" type="noConversion"/>
  </si>
  <si>
    <t>碾子山</t>
    <phoneticPr fontId="6" type="noConversion"/>
  </si>
  <si>
    <t>2019.12.23</t>
    <phoneticPr fontId="11" type="noConversion"/>
  </si>
  <si>
    <t>哈尔滨天智科技有限公司</t>
    <phoneticPr fontId="11" type="noConversion"/>
  </si>
  <si>
    <t>2019.12.24</t>
    <phoneticPr fontId="11" type="noConversion"/>
  </si>
  <si>
    <t>2019.12.25</t>
    <phoneticPr fontId="11" type="noConversion"/>
  </si>
  <si>
    <t>蒋公岭（一期+二期）</t>
    <phoneticPr fontId="6" type="noConversion"/>
  </si>
  <si>
    <t>预测服务1年；测风塔设备</t>
    <phoneticPr fontId="6" type="noConversion"/>
  </si>
  <si>
    <t>梅桥镇</t>
    <phoneticPr fontId="6" type="noConversion"/>
  </si>
  <si>
    <t>龙源（农安）风力发电有限公司</t>
    <phoneticPr fontId="11" type="noConversion"/>
  </si>
  <si>
    <t>永安</t>
    <phoneticPr fontId="6" type="noConversion"/>
  </si>
  <si>
    <t>约61.86%</t>
    <phoneticPr fontId="11" type="noConversion"/>
  </si>
  <si>
    <t>郭文明</t>
    <phoneticPr fontId="6" type="noConversion"/>
  </si>
  <si>
    <t>王星</t>
    <phoneticPr fontId="6" type="noConversion"/>
  </si>
  <si>
    <t>云霄汇海风电有限公司</t>
    <phoneticPr fontId="11" type="noConversion"/>
  </si>
  <si>
    <t>中核国电</t>
  </si>
  <si>
    <t>云霄曾江</t>
    <phoneticPr fontId="6" type="noConversion"/>
  </si>
  <si>
    <t>大岗子</t>
    <phoneticPr fontId="6" type="noConversion"/>
  </si>
  <si>
    <t>19148-1</t>
    <phoneticPr fontId="11" type="noConversion"/>
  </si>
  <si>
    <t>19148-2</t>
  </si>
  <si>
    <t>19148-3</t>
  </si>
  <si>
    <t>19148-4</t>
  </si>
  <si>
    <t>18155-2</t>
    <phoneticPr fontId="11" type="noConversion"/>
  </si>
  <si>
    <t>中水建设</t>
    <phoneticPr fontId="6" type="noConversion"/>
  </si>
  <si>
    <t>王子（二期）</t>
    <phoneticPr fontId="6" type="noConversion"/>
  </si>
  <si>
    <t>王子（三期）</t>
    <phoneticPr fontId="6" type="noConversion"/>
  </si>
  <si>
    <t>18155-3</t>
    <phoneticPr fontId="11" type="noConversion"/>
  </si>
  <si>
    <t>2019.12.26</t>
    <phoneticPr fontId="11" type="noConversion"/>
  </si>
  <si>
    <t>辽宁</t>
    <phoneticPr fontId="6" type="noConversion"/>
  </si>
  <si>
    <t>三峡新能源</t>
    <phoneticPr fontId="6" type="noConversion"/>
  </si>
  <si>
    <t>铁岭调兵山华仪+
三峡能源泉眼沟</t>
    <phoneticPr fontId="6" type="noConversion"/>
  </si>
  <si>
    <t>王子（一期）</t>
    <phoneticPr fontId="6" type="noConversion"/>
  </si>
  <si>
    <t>18155-1</t>
    <phoneticPr fontId="11" type="noConversion"/>
  </si>
  <si>
    <t>安徽南谯五个风电场</t>
    <phoneticPr fontId="6" type="noConversion"/>
  </si>
  <si>
    <t>短期软件；超短期软件；系统硬件；测风塔；测风塔设备；预测服务3年</t>
    <phoneticPr fontId="6" type="noConversion"/>
  </si>
  <si>
    <t>江西</t>
    <phoneticPr fontId="54" type="noConversion"/>
  </si>
  <si>
    <t>华能</t>
    <phoneticPr fontId="54" type="noConversion"/>
  </si>
  <si>
    <t>灵华山</t>
    <phoneticPr fontId="54" type="noConversion"/>
  </si>
  <si>
    <t>预测服务1年；测风塔设备</t>
    <phoneticPr fontId="54" type="noConversion"/>
  </si>
  <si>
    <t>2019.12.27</t>
    <phoneticPr fontId="11" type="noConversion"/>
  </si>
  <si>
    <t>灵华山</t>
    <phoneticPr fontId="6" type="noConversion"/>
  </si>
  <si>
    <t>吉林</t>
  </si>
  <si>
    <t>腾字</t>
    <phoneticPr fontId="6" type="noConversion"/>
  </si>
  <si>
    <t>2019.12.29</t>
    <phoneticPr fontId="11" type="noConversion"/>
  </si>
  <si>
    <t>2019.12.30</t>
    <phoneticPr fontId="11" type="noConversion"/>
  </si>
  <si>
    <t>大个岭</t>
    <phoneticPr fontId="6" type="noConversion"/>
  </si>
  <si>
    <t>技术服务（预测二区换到三区）</t>
    <phoneticPr fontId="6" type="noConversion"/>
  </si>
  <si>
    <t>那木斯</t>
    <phoneticPr fontId="6" type="noConversion"/>
  </si>
  <si>
    <t>预测服务1年；系统硬件</t>
    <phoneticPr fontId="6" type="noConversion"/>
  </si>
  <si>
    <t>2019.12.31</t>
    <phoneticPr fontId="11" type="noConversion"/>
  </si>
  <si>
    <t>青海大唐国际共和光伏发电有限责任公司</t>
    <phoneticPr fontId="11" type="noConversion"/>
  </si>
  <si>
    <t>青海</t>
    <phoneticPr fontId="6" type="noConversion"/>
  </si>
  <si>
    <t>国际共和（一二三期）</t>
    <phoneticPr fontId="6" type="noConversion"/>
  </si>
  <si>
    <t>光伏气象站设备</t>
    <phoneticPr fontId="6" type="noConversion"/>
  </si>
  <si>
    <t>钟祥胡家湾</t>
    <phoneticPr fontId="6" type="noConversion"/>
  </si>
  <si>
    <t>测风塔维护；测风塔设备</t>
    <phoneticPr fontId="6" type="noConversion"/>
  </si>
  <si>
    <t>其他</t>
    <phoneticPr fontId="11" type="noConversion"/>
  </si>
  <si>
    <t>技术服务</t>
    <phoneticPr fontId="11" type="noConversion"/>
  </si>
  <si>
    <t>/</t>
    <phoneticPr fontId="11" type="noConversion"/>
  </si>
  <si>
    <t>吉林</t>
    <phoneticPr fontId="58" type="noConversion"/>
  </si>
  <si>
    <t>华电</t>
    <phoneticPr fontId="58" type="noConversion"/>
  </si>
  <si>
    <t>风水山</t>
    <phoneticPr fontId="58" type="noConversion"/>
  </si>
  <si>
    <t>风电功率预测</t>
    <phoneticPr fontId="58" type="noConversion"/>
  </si>
  <si>
    <t>预测服务1年；系统硬件</t>
    <phoneticPr fontId="58" type="noConversion"/>
  </si>
  <si>
    <t>约56.38%</t>
    <phoneticPr fontId="11" type="noConversion"/>
  </si>
  <si>
    <t>2020年合计</t>
    <phoneticPr fontId="11" type="noConversion"/>
  </si>
  <si>
    <t>2020年销售合同回款登记台账</t>
    <phoneticPr fontId="11" type="noConversion"/>
  </si>
  <si>
    <t>2020.1.3</t>
    <phoneticPr fontId="11" type="noConversion"/>
  </si>
  <si>
    <t>约43.62%</t>
    <phoneticPr fontId="11" type="noConversion"/>
  </si>
  <si>
    <t>2020年1月3日收到一张电子银行承兑汇票4.318234万元，汇票出票日期为2019年10月16日，到期日期为2020年04月16日</t>
    <phoneticPr fontId="11" type="noConversion"/>
  </si>
  <si>
    <t>2020.1.6</t>
    <phoneticPr fontId="11" type="noConversion"/>
  </si>
  <si>
    <t>哈尔滨世纪祥云清洁能源股份有限公司</t>
    <phoneticPr fontId="11" type="noConversion"/>
  </si>
  <si>
    <t>大庆红骥</t>
  </si>
  <si>
    <t>黑龙江光伏电站综合通讯管理系统软件；系统硬件</t>
    <phoneticPr fontId="6" type="noConversion"/>
  </si>
  <si>
    <t>华润新能源光伏发电（泰来）有限公司</t>
    <phoneticPr fontId="11" type="noConversion"/>
  </si>
  <si>
    <t>泰来胜利</t>
    <phoneticPr fontId="6" type="noConversion"/>
  </si>
  <si>
    <t>2020.1.14</t>
    <phoneticPr fontId="11" type="noConversion"/>
  </si>
  <si>
    <t>黑龙江梨树风力发电有限公司</t>
  </si>
  <si>
    <t>2020.1.9</t>
    <phoneticPr fontId="11" type="noConversion"/>
  </si>
  <si>
    <t>2020.1.16</t>
    <phoneticPr fontId="11" type="noConversion"/>
  </si>
  <si>
    <t>黑龙江阿一电气有限责任公司</t>
    <phoneticPr fontId="11" type="noConversion"/>
  </si>
  <si>
    <t>2020.1.19</t>
    <phoneticPr fontId="11" type="noConversion"/>
  </si>
  <si>
    <t>2020.1.20</t>
    <phoneticPr fontId="11" type="noConversion"/>
  </si>
  <si>
    <t>2020.1.21</t>
    <phoneticPr fontId="11" type="noConversion"/>
  </si>
  <si>
    <t>2020.1.22</t>
    <phoneticPr fontId="11" type="noConversion"/>
  </si>
  <si>
    <t>合同款</t>
    <phoneticPr fontId="11" type="noConversion"/>
  </si>
  <si>
    <t>李妍</t>
    <phoneticPr fontId="11" type="noConversion"/>
  </si>
  <si>
    <t>服务费</t>
    <phoneticPr fontId="11" type="noConversion"/>
  </si>
  <si>
    <t>19005-1</t>
    <phoneticPr fontId="11" type="noConversion"/>
  </si>
  <si>
    <t>19005-2</t>
    <phoneticPr fontId="11" type="noConversion"/>
  </si>
  <si>
    <t>验收款</t>
    <phoneticPr fontId="11" type="noConversion"/>
  </si>
  <si>
    <t>王星</t>
    <phoneticPr fontId="11" type="noConversion"/>
  </si>
  <si>
    <t>2020.2.10</t>
    <phoneticPr fontId="11" type="noConversion"/>
  </si>
  <si>
    <t>2020.2.19</t>
    <phoneticPr fontId="11" type="noConversion"/>
  </si>
  <si>
    <t>2020.2.21</t>
    <phoneticPr fontId="11" type="noConversion"/>
  </si>
  <si>
    <t>2020.2.25</t>
    <phoneticPr fontId="11" type="noConversion"/>
  </si>
  <si>
    <t>2020.2.26</t>
    <phoneticPr fontId="11" type="noConversion"/>
  </si>
  <si>
    <t>2020.2.27</t>
    <phoneticPr fontId="11" type="noConversion"/>
  </si>
  <si>
    <t>吉林大安新唐发电有限公司</t>
    <phoneticPr fontId="11" type="noConversion"/>
  </si>
  <si>
    <t>大唐向阳风电有限公司</t>
    <phoneticPr fontId="11" type="noConversion"/>
  </si>
  <si>
    <t>通榆新发风力发电有限公司</t>
    <phoneticPr fontId="11" type="noConversion"/>
  </si>
  <si>
    <t>龙源哈密新能源有限公司</t>
    <phoneticPr fontId="11" type="noConversion"/>
  </si>
  <si>
    <t>建投七里</t>
    <phoneticPr fontId="6" type="noConversion"/>
  </si>
  <si>
    <t>质保款</t>
    <phoneticPr fontId="11" type="noConversion"/>
  </si>
  <si>
    <t>王龙波</t>
    <phoneticPr fontId="11" type="noConversion"/>
  </si>
  <si>
    <t>新艾里</t>
    <phoneticPr fontId="6" type="noConversion"/>
  </si>
  <si>
    <t>到货款</t>
    <phoneticPr fontId="11" type="noConversion"/>
  </si>
  <si>
    <t>王星</t>
    <phoneticPr fontId="11" type="noConversion"/>
  </si>
  <si>
    <t>国电和风</t>
    <phoneticPr fontId="6" type="noConversion"/>
  </si>
  <si>
    <t>青龙</t>
    <phoneticPr fontId="6" type="noConversion"/>
  </si>
  <si>
    <t>技术服务（测风塔数据三区接入）；系统硬件</t>
    <phoneticPr fontId="6" type="noConversion"/>
  </si>
  <si>
    <t>验收款</t>
    <phoneticPr fontId="11" type="noConversion"/>
  </si>
  <si>
    <t>马梦迪</t>
    <phoneticPr fontId="11" type="noConversion"/>
  </si>
  <si>
    <t>向阳</t>
    <phoneticPr fontId="6" type="noConversion"/>
  </si>
  <si>
    <t>到货款+进度款</t>
    <phoneticPr fontId="11" type="noConversion"/>
  </si>
  <si>
    <t>约62.03%</t>
    <phoneticPr fontId="11" type="noConversion"/>
  </si>
  <si>
    <t>合同款</t>
    <phoneticPr fontId="11" type="noConversion"/>
  </si>
  <si>
    <t>李妍</t>
    <phoneticPr fontId="11" type="noConversion"/>
  </si>
  <si>
    <t>兴隆山</t>
    <phoneticPr fontId="6" type="noConversion"/>
  </si>
  <si>
    <t>约53.62%</t>
    <phoneticPr fontId="11" type="noConversion"/>
  </si>
  <si>
    <t>苦水西风电一场</t>
    <phoneticPr fontId="6" type="noConversion"/>
  </si>
  <si>
    <t>短期软件；超短期软件；预测服务1年</t>
    <phoneticPr fontId="6" type="noConversion"/>
  </si>
  <si>
    <t>服务费</t>
    <phoneticPr fontId="11" type="noConversion"/>
  </si>
  <si>
    <t>王龙波</t>
    <phoneticPr fontId="11" type="noConversion"/>
  </si>
  <si>
    <t>光润焉耆光伏一电站</t>
    <phoneticPr fontId="6" type="noConversion"/>
  </si>
  <si>
    <t>到货款</t>
    <phoneticPr fontId="11" type="noConversion"/>
  </si>
  <si>
    <t>马梦迪</t>
    <phoneticPr fontId="11" type="noConversion"/>
  </si>
  <si>
    <t>2020.3.16</t>
    <phoneticPr fontId="11" type="noConversion"/>
  </si>
  <si>
    <t>国华（齐齐哈尔）风电有限公司</t>
  </si>
  <si>
    <t>2020.3.17</t>
    <phoneticPr fontId="11" type="noConversion"/>
  </si>
  <si>
    <t>黑龙江</t>
    <phoneticPr fontId="60" type="noConversion"/>
  </si>
  <si>
    <t>国华</t>
    <phoneticPr fontId="60" type="noConversion"/>
  </si>
  <si>
    <t>富裕</t>
    <phoneticPr fontId="60" type="noConversion"/>
  </si>
  <si>
    <t>风电功率预测</t>
    <phoneticPr fontId="60" type="noConversion"/>
  </si>
  <si>
    <t>预测服务1年</t>
    <phoneticPr fontId="60" type="noConversion"/>
  </si>
  <si>
    <t>京电能源工程集团有限公司</t>
    <phoneticPr fontId="11" type="noConversion"/>
  </si>
  <si>
    <t>昌德</t>
    <phoneticPr fontId="6" type="noConversion"/>
  </si>
  <si>
    <t>2020.3.19</t>
    <phoneticPr fontId="11" type="noConversion"/>
  </si>
  <si>
    <t>辽宁</t>
    <phoneticPr fontId="6" type="noConversion"/>
  </si>
  <si>
    <t>三峡威远</t>
    <phoneticPr fontId="6" type="noConversion"/>
  </si>
  <si>
    <t>2020.3.23</t>
    <phoneticPr fontId="11" type="noConversion"/>
  </si>
  <si>
    <t>2020.3.25</t>
    <phoneticPr fontId="11" type="noConversion"/>
  </si>
  <si>
    <t>2020.3.26</t>
    <phoneticPr fontId="11" type="noConversion"/>
  </si>
  <si>
    <t>大唐绥滨新能源有限公司</t>
  </si>
  <si>
    <t>2020.3.27</t>
    <phoneticPr fontId="11" type="noConversion"/>
  </si>
  <si>
    <t>三峡新能源</t>
  </si>
  <si>
    <t>苦水</t>
  </si>
  <si>
    <t>约6.75%</t>
    <phoneticPr fontId="11" type="noConversion"/>
  </si>
  <si>
    <t>2020.3.30</t>
    <phoneticPr fontId="11" type="noConversion"/>
  </si>
  <si>
    <t>19080-1</t>
    <phoneticPr fontId="6" type="noConversion"/>
  </si>
  <si>
    <t>2020.3.31</t>
    <phoneticPr fontId="11" type="noConversion"/>
  </si>
  <si>
    <t>高龙山</t>
    <phoneticPr fontId="6" type="noConversion"/>
  </si>
  <si>
    <t>2020.4.9</t>
    <phoneticPr fontId="11" type="noConversion"/>
  </si>
  <si>
    <t>彰武王家</t>
    <phoneticPr fontId="6" type="noConversion"/>
  </si>
  <si>
    <t>光伏功率预测；光伏AGC/AVC</t>
    <phoneticPr fontId="6" type="noConversion"/>
  </si>
  <si>
    <t>短期软件；超短期软件；预测系统硬件；光伏气象站；光伏气象站设备；预测服务1年；光伏AGC软件；光伏AVC软件；AGC/AVC系统硬</t>
    <phoneticPr fontId="6" type="noConversion"/>
  </si>
  <si>
    <t>贾本玉</t>
    <phoneticPr fontId="6" type="noConversion"/>
  </si>
  <si>
    <t>王星</t>
    <phoneticPr fontId="6" type="noConversion"/>
  </si>
  <si>
    <t>三峡王家</t>
    <phoneticPr fontId="6" type="noConversion"/>
  </si>
  <si>
    <t>约66.66%</t>
    <phoneticPr fontId="11" type="noConversion"/>
  </si>
  <si>
    <t>2020.4.14</t>
    <phoneticPr fontId="11" type="noConversion"/>
  </si>
  <si>
    <t>新疆伊犁库克苏河水电开发有限公司</t>
    <phoneticPr fontId="11" type="noConversion"/>
  </si>
  <si>
    <t>布尔津</t>
    <phoneticPr fontId="6" type="noConversion"/>
  </si>
  <si>
    <t>进度款</t>
    <phoneticPr fontId="11" type="noConversion"/>
  </si>
  <si>
    <t>2020.4.20</t>
    <phoneticPr fontId="11" type="noConversion"/>
  </si>
  <si>
    <t>苦水</t>
    <phoneticPr fontId="6" type="noConversion"/>
  </si>
  <si>
    <t>2020.4.22</t>
    <phoneticPr fontId="11" type="noConversion"/>
  </si>
  <si>
    <t>2020.4.17</t>
    <phoneticPr fontId="11" type="noConversion"/>
  </si>
  <si>
    <t>国电陕西新能源有限公司靖边分公司</t>
    <phoneticPr fontId="11" type="noConversion"/>
  </si>
  <si>
    <t>到货款+质保款</t>
    <phoneticPr fontId="11" type="noConversion"/>
  </si>
  <si>
    <t>2020.4.23</t>
    <phoneticPr fontId="11" type="noConversion"/>
  </si>
  <si>
    <t>/</t>
  </si>
  <si>
    <t>电力交易</t>
    <phoneticPr fontId="6" type="noConversion"/>
  </si>
  <si>
    <t>约2.03%</t>
    <phoneticPr fontId="11" type="noConversion"/>
  </si>
  <si>
    <t>2020.4.24</t>
    <phoneticPr fontId="11" type="noConversion"/>
  </si>
  <si>
    <t>15003-2019</t>
    <phoneticPr fontId="6" type="noConversion"/>
  </si>
  <si>
    <t>新疆</t>
    <phoneticPr fontId="6" type="noConversion"/>
  </si>
  <si>
    <t>华能</t>
    <phoneticPr fontId="6" type="noConversion"/>
  </si>
  <si>
    <t>烟墩</t>
    <phoneticPr fontId="6" type="noConversion"/>
  </si>
  <si>
    <t>风电功率预测</t>
    <phoneticPr fontId="6" type="noConversion"/>
  </si>
  <si>
    <t>预测服务1年</t>
    <phoneticPr fontId="6" type="noConversion"/>
  </si>
  <si>
    <t>2020.4.27</t>
    <phoneticPr fontId="11" type="noConversion"/>
  </si>
  <si>
    <t>特变电工照壁山</t>
    <phoneticPr fontId="6" type="noConversion"/>
  </si>
  <si>
    <t>约10.10%</t>
    <phoneticPr fontId="11" type="noConversion"/>
  </si>
  <si>
    <t>2020.4.29</t>
    <phoneticPr fontId="11" type="noConversion"/>
  </si>
  <si>
    <t>2020.4.30</t>
    <phoneticPr fontId="11" type="noConversion"/>
  </si>
  <si>
    <t>海林威虎山二期</t>
    <phoneticPr fontId="6" type="noConversion"/>
  </si>
  <si>
    <t>风机免爬器</t>
    <phoneticPr fontId="6" type="noConversion"/>
  </si>
  <si>
    <t>约46.67%</t>
    <phoneticPr fontId="11" type="noConversion"/>
  </si>
  <si>
    <t>2020.5.7</t>
    <phoneticPr fontId="11" type="noConversion"/>
  </si>
  <si>
    <t>2020.5.11</t>
    <phoneticPr fontId="11" type="noConversion"/>
  </si>
  <si>
    <t>19130-2</t>
    <phoneticPr fontId="11" type="noConversion"/>
  </si>
  <si>
    <t>哈尔滨恒安消防设施安装有限公司</t>
    <phoneticPr fontId="11" type="noConversion"/>
  </si>
  <si>
    <t>风机自动消防</t>
    <phoneticPr fontId="6" type="noConversion"/>
  </si>
  <si>
    <t>灭火装置；探测装置；控制装置；通讯装置</t>
    <phoneticPr fontId="6" type="noConversion"/>
  </si>
  <si>
    <t>约60.37%</t>
    <phoneticPr fontId="11" type="noConversion"/>
  </si>
  <si>
    <t>云南</t>
    <phoneticPr fontId="60" type="noConversion"/>
  </si>
  <si>
    <t>中电</t>
    <phoneticPr fontId="60" type="noConversion"/>
  </si>
  <si>
    <t>苏撒坡</t>
    <phoneticPr fontId="60" type="noConversion"/>
  </si>
  <si>
    <t>18016-2019</t>
    <phoneticPr fontId="60" type="noConversion"/>
  </si>
  <si>
    <t>湖南大唐先一科技有限公司</t>
    <phoneticPr fontId="11" type="noConversion"/>
  </si>
  <si>
    <t>银子山</t>
    <phoneticPr fontId="6" type="noConversion"/>
  </si>
  <si>
    <t>技术服务（数据转发）</t>
    <phoneticPr fontId="6" type="noConversion"/>
  </si>
  <si>
    <t>2020.5.15</t>
    <phoneticPr fontId="11" type="noConversion"/>
  </si>
  <si>
    <t>约37.97%</t>
    <phoneticPr fontId="11" type="noConversion"/>
  </si>
  <si>
    <t>2020.5.18</t>
    <phoneticPr fontId="11" type="noConversion"/>
  </si>
  <si>
    <t>2020.5.19</t>
    <phoneticPr fontId="11" type="noConversion"/>
  </si>
  <si>
    <t>福建省福能新能源有限责任公司</t>
  </si>
  <si>
    <t>福建</t>
    <phoneticPr fontId="6" type="noConversion"/>
  </si>
  <si>
    <t>福能</t>
    <phoneticPr fontId="6" type="noConversion"/>
  </si>
  <si>
    <t>大蚶山</t>
    <phoneticPr fontId="6" type="noConversion"/>
  </si>
  <si>
    <t>2020.5.21</t>
    <phoneticPr fontId="11" type="noConversion"/>
  </si>
  <si>
    <t>亚洲电力</t>
    <phoneticPr fontId="6" type="noConversion"/>
  </si>
  <si>
    <t>黑龙江</t>
    <phoneticPr fontId="6" type="noConversion"/>
  </si>
  <si>
    <t>亚洲电力</t>
    <phoneticPr fontId="6" type="noConversion"/>
  </si>
  <si>
    <t>代马沟</t>
    <phoneticPr fontId="6" type="noConversion"/>
  </si>
  <si>
    <t>测风塔；测风塔设备</t>
  </si>
  <si>
    <t>技术服务（测风塔三区接入）</t>
    <phoneticPr fontId="6" type="noConversion"/>
  </si>
  <si>
    <t>20008-1</t>
    <phoneticPr fontId="11" type="noConversion"/>
  </si>
  <si>
    <t>20008-2</t>
    <phoneticPr fontId="11" type="noConversion"/>
  </si>
  <si>
    <t>安徽风电场理论功率上传软件</t>
    <phoneticPr fontId="6" type="noConversion"/>
  </si>
  <si>
    <t>2020.5.27</t>
    <phoneticPr fontId="11" type="noConversion"/>
  </si>
  <si>
    <t>2020.5.29</t>
    <phoneticPr fontId="11" type="noConversion"/>
  </si>
  <si>
    <t>蒋公岭二期</t>
    <phoneticPr fontId="6" type="noConversion"/>
  </si>
  <si>
    <t>2020.6.2</t>
    <phoneticPr fontId="11" type="noConversion"/>
  </si>
  <si>
    <t>吉林省光华风电投资有限公司</t>
  </si>
  <si>
    <t>2020.6.5</t>
    <phoneticPr fontId="11" type="noConversion"/>
  </si>
  <si>
    <t>2020.6.11</t>
    <phoneticPr fontId="11" type="noConversion"/>
  </si>
  <si>
    <t>2020.6.4</t>
    <phoneticPr fontId="11" type="noConversion"/>
  </si>
  <si>
    <t>退回，该笔款于2020年6月4日重新回款</t>
    <phoneticPr fontId="11" type="noConversion"/>
  </si>
  <si>
    <t>中卫市麦垛山新能源有限公司</t>
  </si>
  <si>
    <t>中铁十二局集团电气化工程有限公司</t>
  </si>
  <si>
    <t>中铁十二局</t>
    <phoneticPr fontId="6" type="noConversion"/>
  </si>
  <si>
    <t>宝鸡麟游</t>
  </si>
  <si>
    <t>风电AGC/AVC</t>
    <phoneticPr fontId="6" type="noConversion"/>
  </si>
  <si>
    <t>风电AGC软件；风电AVC软件；系统硬件</t>
    <phoneticPr fontId="6" type="noConversion"/>
  </si>
  <si>
    <t>20041-1</t>
    <phoneticPr fontId="11" type="noConversion"/>
  </si>
  <si>
    <t>20041-2</t>
    <phoneticPr fontId="11" type="noConversion"/>
  </si>
  <si>
    <t>2020.6.17</t>
    <phoneticPr fontId="11" type="noConversion"/>
  </si>
  <si>
    <t>2020.6.28</t>
    <phoneticPr fontId="11" type="noConversion"/>
  </si>
  <si>
    <t>2020.6.29</t>
    <phoneticPr fontId="11" type="noConversion"/>
  </si>
  <si>
    <t>大唐中电（吉林）新能源发电有限公司</t>
    <phoneticPr fontId="11" type="noConversion"/>
  </si>
  <si>
    <t>吉林</t>
    <phoneticPr fontId="64" type="noConversion"/>
  </si>
  <si>
    <t>大唐</t>
    <phoneticPr fontId="64" type="noConversion"/>
  </si>
  <si>
    <t>双辽</t>
    <phoneticPr fontId="64" type="noConversion"/>
  </si>
  <si>
    <t>风电功率预测</t>
    <phoneticPr fontId="64" type="noConversion"/>
  </si>
  <si>
    <t>短期软件；超短期软件；系统硬件；预测服务1年</t>
    <phoneticPr fontId="64" type="noConversion"/>
  </si>
  <si>
    <t>约15.87%</t>
    <phoneticPr fontId="11" type="noConversion"/>
  </si>
  <si>
    <t>2020.7.7</t>
    <phoneticPr fontId="11" type="noConversion"/>
  </si>
  <si>
    <t>三峡新能源富裕风电有限公司</t>
  </si>
  <si>
    <t>泰来</t>
    <phoneticPr fontId="6" type="noConversion"/>
  </si>
  <si>
    <t>黑龙江光伏电站电力安全二区综合通讯系统软件；系统硬件</t>
    <phoneticPr fontId="6" type="noConversion"/>
  </si>
  <si>
    <t>2020.7.9</t>
    <phoneticPr fontId="11" type="noConversion"/>
  </si>
  <si>
    <t>黑龙江</t>
    <phoneticPr fontId="6" type="noConversion"/>
  </si>
  <si>
    <t>中广核</t>
    <phoneticPr fontId="6" type="noConversion"/>
  </si>
  <si>
    <t>大庆红骥</t>
    <phoneticPr fontId="6" type="noConversion"/>
  </si>
  <si>
    <t>2020.7.10</t>
    <phoneticPr fontId="11" type="noConversion"/>
  </si>
  <si>
    <t>2020.7.16</t>
    <phoneticPr fontId="11" type="noConversion"/>
  </si>
  <si>
    <t>约5.08%</t>
    <phoneticPr fontId="11" type="noConversion"/>
  </si>
  <si>
    <t>阿廷河</t>
    <phoneticPr fontId="6" type="noConversion"/>
  </si>
  <si>
    <t>华润新能源（安达）有限公司</t>
    <phoneticPr fontId="11" type="noConversion"/>
  </si>
  <si>
    <t>安达1号、2号
安达3号、4号</t>
    <phoneticPr fontId="6" type="noConversion"/>
  </si>
  <si>
    <t>光伏功率预测</t>
    <phoneticPr fontId="6" type="noConversion"/>
  </si>
  <si>
    <t>建模扩容；系统硬件；预测服务1年</t>
    <phoneticPr fontId="6" type="noConversion"/>
  </si>
  <si>
    <t>2020.7.20</t>
    <phoneticPr fontId="11" type="noConversion"/>
  </si>
  <si>
    <t>2020.7.21</t>
    <phoneticPr fontId="11" type="noConversion"/>
  </si>
  <si>
    <t>黑龙江</t>
    <phoneticPr fontId="6" type="noConversion"/>
  </si>
  <si>
    <t>亚洲电力</t>
    <phoneticPr fontId="6" type="noConversion"/>
  </si>
  <si>
    <t>代马沟</t>
    <phoneticPr fontId="6" type="noConversion"/>
  </si>
  <si>
    <t>风电功率预测；电力通讯</t>
  </si>
  <si>
    <t>超短期软件；预测系统硬件；黑龙江风电场综合通讯管理系统软件；黑龙江风电场综合通讯管理系统硬件</t>
  </si>
  <si>
    <t>20050-19071</t>
    <phoneticPr fontId="11" type="noConversion"/>
  </si>
  <si>
    <t>2020.7.22</t>
    <phoneticPr fontId="11" type="noConversion"/>
  </si>
  <si>
    <t>2020.7.23</t>
    <phoneticPr fontId="11" type="noConversion"/>
  </si>
  <si>
    <t>电力交易系统硬件</t>
    <phoneticPr fontId="6" type="noConversion"/>
  </si>
  <si>
    <t>2020.7.24</t>
    <phoneticPr fontId="11" type="noConversion"/>
  </si>
  <si>
    <t>大唐桦川风力发电有限公司桦南分公司</t>
  </si>
  <si>
    <t>2020.7.27</t>
    <phoneticPr fontId="11" type="noConversion"/>
  </si>
  <si>
    <t>约13.49%</t>
    <phoneticPr fontId="11" type="noConversion"/>
  </si>
  <si>
    <t>辽宁光伏电站D5000二区软件；系统硬件</t>
  </si>
  <si>
    <t>尚义二工地</t>
    <phoneticPr fontId="6" type="noConversion"/>
  </si>
  <si>
    <t>河北华电尚义风力发电有限公司</t>
  </si>
  <si>
    <t>尚义二工地</t>
  </si>
  <si>
    <t>电力安全三区综合通讯系统软件升级河北版；</t>
    <phoneticPr fontId="6" type="noConversion"/>
  </si>
  <si>
    <t>2020.7.28</t>
    <phoneticPr fontId="11" type="noConversion"/>
  </si>
  <si>
    <t>2020.8.3</t>
    <phoneticPr fontId="11" type="noConversion"/>
  </si>
  <si>
    <t>铁岭调兵山华仪+三峡能源泉眼沟</t>
    <phoneticPr fontId="6" type="noConversion"/>
  </si>
  <si>
    <t>2020.8.7</t>
    <phoneticPr fontId="11" type="noConversion"/>
  </si>
  <si>
    <t>2020.8.11</t>
    <phoneticPr fontId="11" type="noConversion"/>
  </si>
  <si>
    <t>2020.8.13</t>
    <phoneticPr fontId="11" type="noConversion"/>
  </si>
  <si>
    <t>2020.8.14</t>
    <phoneticPr fontId="11" type="noConversion"/>
  </si>
  <si>
    <t>苇湖梁东区</t>
    <phoneticPr fontId="6" type="noConversion"/>
  </si>
  <si>
    <t>苇湖梁中区</t>
    <phoneticPr fontId="6" type="noConversion"/>
  </si>
  <si>
    <t>苇湖梁西区</t>
    <phoneticPr fontId="6" type="noConversion"/>
  </si>
  <si>
    <t>东方民生三塘湖四期</t>
    <phoneticPr fontId="6" type="noConversion"/>
  </si>
  <si>
    <t>2020.8.18</t>
    <phoneticPr fontId="11" type="noConversion"/>
  </si>
  <si>
    <t>2020.8.20</t>
    <phoneticPr fontId="11" type="noConversion"/>
  </si>
  <si>
    <t>七里嘎山（七里嘎山+前锋）</t>
    <phoneticPr fontId="6" type="noConversion"/>
  </si>
  <si>
    <t>2020.8.24</t>
    <phoneticPr fontId="11" type="noConversion"/>
  </si>
  <si>
    <t>省山</t>
    <phoneticPr fontId="6" type="noConversion"/>
  </si>
  <si>
    <t>约58.32%</t>
    <phoneticPr fontId="11" type="noConversion"/>
  </si>
  <si>
    <t>石塘</t>
    <phoneticPr fontId="6" type="noConversion"/>
  </si>
  <si>
    <t>约35.90%</t>
    <phoneticPr fontId="11" type="noConversion"/>
  </si>
  <si>
    <t>2020.8.27</t>
    <phoneticPr fontId="11" type="noConversion"/>
  </si>
  <si>
    <t>2020.8.28</t>
    <phoneticPr fontId="11" type="noConversion"/>
  </si>
  <si>
    <t>吉林</t>
    <phoneticPr fontId="6" type="noConversion"/>
  </si>
  <si>
    <t>到保</t>
    <phoneticPr fontId="6" type="noConversion"/>
  </si>
  <si>
    <t>约4.58%</t>
    <phoneticPr fontId="11" type="noConversion"/>
  </si>
  <si>
    <t>陈慧群</t>
    <phoneticPr fontId="6" type="noConversion"/>
  </si>
  <si>
    <t>王星</t>
    <phoneticPr fontId="6" type="noConversion"/>
  </si>
  <si>
    <t>2020.9.2</t>
    <phoneticPr fontId="11" type="noConversion"/>
  </si>
  <si>
    <t>2020.9.4</t>
    <phoneticPr fontId="11" type="noConversion"/>
  </si>
  <si>
    <t>深圳市双合电气股份有限公司</t>
    <phoneticPr fontId="11" type="noConversion"/>
  </si>
  <si>
    <t>故障录波器</t>
  </si>
  <si>
    <t>18025-1</t>
    <phoneticPr fontId="11" type="noConversion"/>
  </si>
  <si>
    <t>18025-2</t>
    <phoneticPr fontId="11" type="noConversion"/>
  </si>
  <si>
    <t>约62.12%</t>
    <phoneticPr fontId="11" type="noConversion"/>
  </si>
  <si>
    <t>约2.71%</t>
    <phoneticPr fontId="11" type="noConversion"/>
  </si>
  <si>
    <t>2020.9.21</t>
    <phoneticPr fontId="11" type="noConversion"/>
  </si>
  <si>
    <t>2020.9.22</t>
    <phoneticPr fontId="11" type="noConversion"/>
  </si>
  <si>
    <t>2020.9.24</t>
    <phoneticPr fontId="11" type="noConversion"/>
  </si>
  <si>
    <t>中国华电科工集团有限公司</t>
    <phoneticPr fontId="11" type="noConversion"/>
  </si>
  <si>
    <t>2020.9.25</t>
    <phoneticPr fontId="11" type="noConversion"/>
  </si>
  <si>
    <t>双辽</t>
    <phoneticPr fontId="6" type="noConversion"/>
  </si>
  <si>
    <t>约23.81%</t>
    <phoneticPr fontId="11" type="noConversion"/>
  </si>
  <si>
    <t>剩余到货款+部分进度款</t>
    <phoneticPr fontId="11" type="noConversion"/>
  </si>
  <si>
    <t>张崾先</t>
    <phoneticPr fontId="6" type="noConversion"/>
  </si>
  <si>
    <t>技术服务（测风塔拆除）</t>
    <phoneticPr fontId="6" type="noConversion"/>
  </si>
  <si>
    <t>2020.9.23</t>
    <phoneticPr fontId="11" type="noConversion"/>
  </si>
  <si>
    <t>中卫市麦垛山新能源有限公司</t>
    <phoneticPr fontId="11" type="noConversion"/>
  </si>
  <si>
    <t>2020.9.28</t>
    <phoneticPr fontId="11" type="noConversion"/>
  </si>
  <si>
    <t>2020.9.29</t>
    <phoneticPr fontId="11" type="noConversion"/>
  </si>
  <si>
    <t>辽宁</t>
    <phoneticPr fontId="64" type="noConversion"/>
  </si>
  <si>
    <t>三峡新能源</t>
    <phoneticPr fontId="64" type="noConversion"/>
  </si>
  <si>
    <t>铁岭调兵山华仪+三峡能源泉眼沟</t>
    <phoneticPr fontId="64" type="noConversion"/>
  </si>
  <si>
    <t>测风塔设备</t>
    <phoneticPr fontId="64" type="noConversion"/>
  </si>
  <si>
    <t>韩志宇
王星</t>
    <phoneticPr fontId="64" type="noConversion"/>
  </si>
  <si>
    <t>2020.10.15</t>
    <phoneticPr fontId="11" type="noConversion"/>
  </si>
  <si>
    <t>中电</t>
    <phoneticPr fontId="64" type="noConversion"/>
  </si>
  <si>
    <t>乾安</t>
    <phoneticPr fontId="64" type="noConversion"/>
  </si>
  <si>
    <t>2020.10.19</t>
    <phoneticPr fontId="11" type="noConversion"/>
  </si>
  <si>
    <t>2020.10.26</t>
    <phoneticPr fontId="11" type="noConversion"/>
  </si>
  <si>
    <t>蒙东协合镇赉第一风力发电有限公司</t>
    <phoneticPr fontId="11" type="noConversion"/>
  </si>
  <si>
    <t>镇赉</t>
    <phoneticPr fontId="6" type="noConversion"/>
  </si>
  <si>
    <t>2020.10.27</t>
    <phoneticPr fontId="11" type="noConversion"/>
  </si>
  <si>
    <t>龙源陕西风力发电有限公司</t>
    <phoneticPr fontId="11" type="noConversion"/>
  </si>
  <si>
    <t>观日台</t>
    <phoneticPr fontId="6" type="noConversion"/>
  </si>
  <si>
    <t>约99.36%</t>
    <phoneticPr fontId="11" type="noConversion"/>
  </si>
  <si>
    <t>明阳智慧能源集团股份公司</t>
    <phoneticPr fontId="11" type="noConversion"/>
  </si>
  <si>
    <t>风机自动消防</t>
  </si>
  <si>
    <t>2010年10月27日收到一张电子银行承兑汇票63.6233万元，汇票出票日期为2020年10月20日，到期日期为2021年4月20日</t>
    <phoneticPr fontId="11" type="noConversion"/>
  </si>
  <si>
    <t>2020.10.28</t>
    <phoneticPr fontId="11" type="noConversion"/>
  </si>
  <si>
    <t>海林中电红旗风力发电有限公司</t>
    <phoneticPr fontId="11" type="noConversion"/>
  </si>
  <si>
    <t>中国电建集团福建省电力勘测设计院有限公司</t>
    <phoneticPr fontId="11" type="noConversion"/>
  </si>
  <si>
    <t>红旗</t>
    <phoneticPr fontId="6" type="noConversion"/>
  </si>
  <si>
    <t>宁德虎贝</t>
  </si>
  <si>
    <t>风电功率预测</t>
    <phoneticPr fontId="68" type="noConversion"/>
  </si>
  <si>
    <t>短期软件；超短期软件；系统硬件；测风塔；测风塔设备；预测服务1年</t>
    <phoneticPr fontId="68" type="noConversion"/>
  </si>
  <si>
    <t>预付款+进度款</t>
    <phoneticPr fontId="11" type="noConversion"/>
  </si>
  <si>
    <t>杨井二期</t>
    <phoneticPr fontId="6" type="noConversion"/>
  </si>
  <si>
    <t>2020.10.30</t>
    <phoneticPr fontId="11" type="noConversion"/>
  </si>
  <si>
    <t>2020.11.3</t>
    <phoneticPr fontId="11" type="noConversion"/>
  </si>
  <si>
    <t>2020.11.4</t>
    <phoneticPr fontId="11" type="noConversion"/>
  </si>
  <si>
    <t>2020.11.5</t>
    <phoneticPr fontId="11" type="noConversion"/>
  </si>
  <si>
    <t>大安海坨</t>
    <phoneticPr fontId="6" type="noConversion"/>
  </si>
  <si>
    <t>湖北</t>
    <phoneticPr fontId="6" type="noConversion"/>
  </si>
  <si>
    <t>辽宁</t>
    <phoneticPr fontId="6" type="noConversion"/>
  </si>
  <si>
    <t>三峡新能源</t>
    <phoneticPr fontId="6" type="noConversion"/>
  </si>
  <si>
    <t>铁岭调兵山华仪+
三峡能源泉眼沟</t>
    <phoneticPr fontId="6" type="noConversion"/>
  </si>
  <si>
    <t>2020.11.6</t>
    <phoneticPr fontId="11" type="noConversion"/>
  </si>
  <si>
    <t>2020.11.9</t>
    <phoneticPr fontId="11" type="noConversion"/>
  </si>
  <si>
    <t>2020.11.10</t>
    <phoneticPr fontId="11" type="noConversion"/>
  </si>
  <si>
    <t>辽宁</t>
    <phoneticPr fontId="6" type="noConversion"/>
  </si>
  <si>
    <t>三峡新能源</t>
    <phoneticPr fontId="6" type="noConversion"/>
  </si>
  <si>
    <t>朝阳水泉</t>
    <phoneticPr fontId="6" type="noConversion"/>
  </si>
  <si>
    <t>内蒙古</t>
    <phoneticPr fontId="6" type="noConversion"/>
  </si>
  <si>
    <t>华电</t>
    <phoneticPr fontId="6" type="noConversion"/>
  </si>
  <si>
    <t>久和</t>
    <phoneticPr fontId="6" type="noConversion"/>
  </si>
  <si>
    <t>风机自动消防灭火装置</t>
    <phoneticPr fontId="6" type="noConversion"/>
  </si>
  <si>
    <t>2020.11.11</t>
    <phoneticPr fontId="11" type="noConversion"/>
  </si>
  <si>
    <t>2020.11.12</t>
    <phoneticPr fontId="11" type="noConversion"/>
  </si>
  <si>
    <t>富裕</t>
  </si>
  <si>
    <t>2020.11.13</t>
    <phoneticPr fontId="11" type="noConversion"/>
  </si>
  <si>
    <r>
      <t>19130</t>
    </r>
    <r>
      <rPr>
        <sz val="9"/>
        <rFont val="宋体"/>
        <family val="3"/>
        <charset val="134"/>
      </rPr>
      <t>-1</t>
    </r>
    <phoneticPr fontId="6" type="noConversion"/>
  </si>
  <si>
    <r>
      <t>19130</t>
    </r>
    <r>
      <rPr>
        <sz val="9"/>
        <rFont val="宋体"/>
        <family val="3"/>
        <charset val="134"/>
      </rPr>
      <t>-2</t>
    </r>
    <phoneticPr fontId="6" type="noConversion"/>
  </si>
  <si>
    <t>约29.63%</t>
    <phoneticPr fontId="11" type="noConversion"/>
  </si>
  <si>
    <t>约83.88%</t>
    <phoneticPr fontId="11" type="noConversion"/>
  </si>
  <si>
    <t>到货款+部分验收款</t>
    <phoneticPr fontId="11" type="noConversion"/>
  </si>
  <si>
    <t>松原绿筑光伏发电有限公司</t>
    <phoneticPr fontId="11" type="noConversion"/>
  </si>
  <si>
    <t>2020.11.16</t>
    <phoneticPr fontId="11" type="noConversion"/>
  </si>
  <si>
    <t>2020.11.17</t>
    <phoneticPr fontId="11" type="noConversion"/>
  </si>
  <si>
    <t>2020.11.18</t>
    <phoneticPr fontId="11" type="noConversion"/>
  </si>
  <si>
    <t>2020.11.20</t>
    <phoneticPr fontId="11" type="noConversion"/>
  </si>
  <si>
    <t>约49.37%</t>
    <phoneticPr fontId="11" type="noConversion"/>
  </si>
  <si>
    <t>广西</t>
  </si>
  <si>
    <t>坵坪</t>
  </si>
  <si>
    <t>2020年11月17日电子银行承兑汇票63.6233万元贴现到账</t>
    <phoneticPr fontId="11" type="noConversion"/>
  </si>
  <si>
    <t>20035-1</t>
    <phoneticPr fontId="11" type="noConversion"/>
  </si>
  <si>
    <t>20035-2</t>
    <phoneticPr fontId="11" type="noConversion"/>
  </si>
  <si>
    <t>2020.11.23</t>
    <phoneticPr fontId="11" type="noConversion"/>
  </si>
  <si>
    <t>约50.32%</t>
    <phoneticPr fontId="11" type="noConversion"/>
  </si>
  <si>
    <t>剩余进度款</t>
    <phoneticPr fontId="11" type="noConversion"/>
  </si>
  <si>
    <t>2020.11.24</t>
    <phoneticPr fontId="11" type="noConversion"/>
  </si>
  <si>
    <t>国网黑龙江省电力有限公司物资公司</t>
    <phoneticPr fontId="11" type="noConversion"/>
  </si>
  <si>
    <t>辽宁风电场理论功率上传软件；系统硬件</t>
    <phoneticPr fontId="6" type="noConversion"/>
  </si>
  <si>
    <t>东营大唐</t>
    <phoneticPr fontId="6" type="noConversion"/>
  </si>
  <si>
    <t>2020.11.25</t>
    <phoneticPr fontId="11" type="noConversion"/>
  </si>
  <si>
    <t>2020.11.26</t>
    <phoneticPr fontId="11" type="noConversion"/>
  </si>
  <si>
    <t>龙源电力集团能源销售有限公司</t>
    <phoneticPr fontId="11" type="noConversion"/>
  </si>
  <si>
    <t>北京</t>
    <phoneticPr fontId="6" type="noConversion"/>
  </si>
  <si>
    <t>售电公司</t>
    <phoneticPr fontId="6" type="noConversion"/>
  </si>
  <si>
    <t>2020.11.27</t>
    <phoneticPr fontId="11" type="noConversion"/>
  </si>
  <si>
    <t>主机加固</t>
    <phoneticPr fontId="6" type="noConversion"/>
  </si>
  <si>
    <t>主机加固；网络安全检测装置</t>
    <phoneticPr fontId="6" type="noConversion"/>
  </si>
  <si>
    <t>新疆</t>
    <phoneticPr fontId="6" type="noConversion"/>
  </si>
  <si>
    <t>华能</t>
    <phoneticPr fontId="6" type="noConversion"/>
  </si>
  <si>
    <t>哈密石城子</t>
    <phoneticPr fontId="6" type="noConversion"/>
  </si>
  <si>
    <t>光伏AGC/AVC</t>
    <phoneticPr fontId="6" type="noConversion"/>
  </si>
  <si>
    <t>光伏AVC软件；系统硬件</t>
    <phoneticPr fontId="6" type="noConversion"/>
  </si>
  <si>
    <t>2020.11.28</t>
    <phoneticPr fontId="11" type="noConversion"/>
  </si>
  <si>
    <t>龙源玉林风力发电有限公司</t>
    <phoneticPr fontId="11" type="noConversion"/>
  </si>
  <si>
    <t>四方岭</t>
    <phoneticPr fontId="6" type="noConversion"/>
  </si>
  <si>
    <t>2020.11.30</t>
    <phoneticPr fontId="11" type="noConversion"/>
  </si>
  <si>
    <t>2020.12.1</t>
    <phoneticPr fontId="11" type="noConversion"/>
  </si>
  <si>
    <t>陕西</t>
    <phoneticPr fontId="6" type="noConversion"/>
  </si>
  <si>
    <t>华能</t>
    <phoneticPr fontId="6" type="noConversion"/>
  </si>
  <si>
    <t>狼尔沟</t>
    <phoneticPr fontId="6" type="noConversion"/>
  </si>
  <si>
    <t>短期软件；超短期软件；系统硬件；预测服务1年</t>
  </si>
  <si>
    <t>2020.12.4</t>
    <phoneticPr fontId="11" type="noConversion"/>
  </si>
  <si>
    <t>2020.12.7</t>
    <phoneticPr fontId="11" type="noConversion"/>
  </si>
  <si>
    <t>哈密景峡</t>
    <phoneticPr fontId="6" type="noConversion"/>
  </si>
  <si>
    <t>测风塔维护；预测服务1年</t>
    <phoneticPr fontId="6" type="noConversion"/>
  </si>
  <si>
    <t>2020.12.8</t>
    <phoneticPr fontId="11" type="noConversion"/>
  </si>
  <si>
    <t>2020.12.9</t>
    <phoneticPr fontId="11" type="noConversion"/>
  </si>
  <si>
    <t>2020.12.10</t>
    <phoneticPr fontId="11" type="noConversion"/>
  </si>
  <si>
    <t>2020.12.11</t>
    <phoneticPr fontId="11" type="noConversion"/>
  </si>
  <si>
    <t>测风塔设备</t>
    <phoneticPr fontId="6" type="noConversion"/>
  </si>
  <si>
    <t>辽宁</t>
    <phoneticPr fontId="71" type="noConversion"/>
  </si>
  <si>
    <t>其他</t>
    <phoneticPr fontId="71" type="noConversion"/>
  </si>
  <si>
    <t>黑山龙湾</t>
    <phoneticPr fontId="71" type="noConversion"/>
  </si>
  <si>
    <t>风电功率预测</t>
    <phoneticPr fontId="71" type="noConversion"/>
  </si>
  <si>
    <t>预测服务1年</t>
    <phoneticPr fontId="71" type="noConversion"/>
  </si>
  <si>
    <t>2020.12.14</t>
    <phoneticPr fontId="11" type="noConversion"/>
  </si>
  <si>
    <t>2020.12.15</t>
    <phoneticPr fontId="11" type="noConversion"/>
  </si>
  <si>
    <t>20169-1</t>
    <phoneticPr fontId="11" type="noConversion"/>
  </si>
  <si>
    <t>20169-2</t>
    <phoneticPr fontId="11" type="noConversion"/>
  </si>
  <si>
    <t>新疆</t>
    <phoneticPr fontId="71" type="noConversion"/>
  </si>
  <si>
    <t>华电</t>
    <phoneticPr fontId="71" type="noConversion"/>
  </si>
  <si>
    <t>华电淖毛湖风电一场（淖毛湖一期+淖毛湖二期）</t>
    <phoneticPr fontId="71" type="noConversion"/>
  </si>
  <si>
    <t>2020.12.16</t>
    <phoneticPr fontId="11" type="noConversion"/>
  </si>
  <si>
    <t>长春亿科数字科技有限公司</t>
    <phoneticPr fontId="11" type="noConversion"/>
  </si>
  <si>
    <t>美迪欧动力气象技术（北京）有限公司</t>
    <phoneticPr fontId="11" type="noConversion"/>
  </si>
  <si>
    <t>山西</t>
    <phoneticPr fontId="6" type="noConversion"/>
  </si>
  <si>
    <t>垣曲</t>
    <phoneticPr fontId="6" type="noConversion"/>
  </si>
  <si>
    <t>郭文明
段洪宇</t>
    <phoneticPr fontId="6" type="noConversion"/>
  </si>
  <si>
    <t>段洪宇</t>
    <phoneticPr fontId="6" type="noConversion"/>
  </si>
  <si>
    <t>陵川一期</t>
    <phoneticPr fontId="6" type="noConversion"/>
  </si>
  <si>
    <t>陵川二期</t>
    <phoneticPr fontId="6" type="noConversion"/>
  </si>
  <si>
    <t>20170-1</t>
    <phoneticPr fontId="11" type="noConversion"/>
  </si>
  <si>
    <t>20170-2</t>
    <phoneticPr fontId="11" type="noConversion"/>
  </si>
  <si>
    <t>20170-3</t>
    <phoneticPr fontId="11" type="noConversion"/>
  </si>
  <si>
    <t>20171-1</t>
    <phoneticPr fontId="11" type="noConversion"/>
  </si>
  <si>
    <t>20171-2</t>
    <phoneticPr fontId="11" type="noConversion"/>
  </si>
  <si>
    <t>20171-3</t>
    <phoneticPr fontId="11" type="noConversion"/>
  </si>
  <si>
    <t>2020.12.17</t>
    <phoneticPr fontId="11" type="noConversion"/>
  </si>
  <si>
    <t>霞浦马耳山</t>
    <phoneticPr fontId="6" type="noConversion"/>
  </si>
  <si>
    <t>2020年12月16日收到一张电子银行承兑汇票8万元，汇票出票日期为2020年11月27日，汇票到期日为2021年6月27日</t>
    <phoneticPr fontId="11" type="noConversion"/>
  </si>
  <si>
    <t>风水山</t>
    <phoneticPr fontId="6" type="noConversion"/>
  </si>
  <si>
    <t>2020.12.18</t>
    <phoneticPr fontId="11" type="noConversion"/>
  </si>
  <si>
    <t>2020.12.19</t>
    <phoneticPr fontId="11" type="noConversion"/>
  </si>
  <si>
    <t>2020.12.21</t>
    <phoneticPr fontId="11" type="noConversion"/>
  </si>
  <si>
    <t>镇西堡/铁岭（镇西堡、李家屯、心田堡）</t>
    <phoneticPr fontId="6" type="noConversion"/>
  </si>
  <si>
    <t>风电AGC/AVC</t>
  </si>
  <si>
    <t>福新木垒光伏一电站</t>
    <phoneticPr fontId="6" type="noConversion"/>
  </si>
  <si>
    <t>/</t>
    <phoneticPr fontId="6" type="noConversion"/>
  </si>
  <si>
    <t>20061-20007</t>
    <phoneticPr fontId="11" type="noConversion"/>
  </si>
  <si>
    <t>海林海浪</t>
    <phoneticPr fontId="6" type="noConversion"/>
  </si>
  <si>
    <t>2020.12.22</t>
    <phoneticPr fontId="11" type="noConversion"/>
  </si>
  <si>
    <t>国家电投集团湖北宜昌新能源有限公司</t>
    <phoneticPr fontId="11" type="noConversion"/>
  </si>
  <si>
    <t>百里荒</t>
    <phoneticPr fontId="6" type="noConversion"/>
  </si>
  <si>
    <t>技术服务（集控上传）</t>
    <phoneticPr fontId="6" type="noConversion"/>
  </si>
  <si>
    <t>2020.12.23</t>
    <phoneticPr fontId="11" type="noConversion"/>
  </si>
  <si>
    <t>2020.12.24</t>
    <phoneticPr fontId="11" type="noConversion"/>
  </si>
  <si>
    <t>中铁十二局集团电气化工程有限公司</t>
    <phoneticPr fontId="11" type="noConversion"/>
  </si>
  <si>
    <t>2020.12.25</t>
    <phoneticPr fontId="11" type="noConversion"/>
  </si>
  <si>
    <t>中水建设</t>
  </si>
  <si>
    <t>王子</t>
    <phoneticPr fontId="6" type="noConversion"/>
  </si>
  <si>
    <t>三塘湖浦类海一期</t>
    <phoneticPr fontId="6" type="noConversion"/>
  </si>
  <si>
    <t>黑龙江</t>
    <phoneticPr fontId="6" type="noConversion"/>
  </si>
  <si>
    <t>三峡新能源</t>
    <phoneticPr fontId="6" type="noConversion"/>
  </si>
  <si>
    <t>伊春美林老白山</t>
    <phoneticPr fontId="6" type="noConversion"/>
  </si>
  <si>
    <t>风电功率预测</t>
    <phoneticPr fontId="6" type="noConversion"/>
  </si>
  <si>
    <t>预测服务2年</t>
    <phoneticPr fontId="6" type="noConversion"/>
  </si>
  <si>
    <t>2020.12.28</t>
    <phoneticPr fontId="11" type="noConversion"/>
  </si>
  <si>
    <t>20146-1</t>
    <phoneticPr fontId="11" type="noConversion"/>
  </si>
  <si>
    <t>20146-2</t>
    <phoneticPr fontId="11" type="noConversion"/>
  </si>
  <si>
    <t>20146-3</t>
    <phoneticPr fontId="11" type="noConversion"/>
  </si>
  <si>
    <t>20146-4</t>
    <phoneticPr fontId="11" type="noConversion"/>
  </si>
  <si>
    <t>黑龙江</t>
    <phoneticPr fontId="6" type="noConversion"/>
  </si>
  <si>
    <t>国电和风</t>
    <phoneticPr fontId="6" type="noConversion"/>
  </si>
  <si>
    <t>2020.12.29</t>
    <phoneticPr fontId="11" type="noConversion"/>
  </si>
  <si>
    <t>老君庙风电场二期</t>
    <phoneticPr fontId="6" type="noConversion"/>
  </si>
  <si>
    <t>约40.39%</t>
    <phoneticPr fontId="11" type="noConversion"/>
  </si>
  <si>
    <t>安装调试款</t>
    <phoneticPr fontId="11" type="noConversion"/>
  </si>
  <si>
    <t>2020.12.30</t>
    <phoneticPr fontId="11" type="noConversion"/>
  </si>
  <si>
    <t>2020.12.31</t>
    <phoneticPr fontId="11" type="noConversion"/>
  </si>
  <si>
    <t>肇州县精锐新能源科技有限公司</t>
    <phoneticPr fontId="11" type="noConversion"/>
  </si>
  <si>
    <t>华电嘉利二场（十三间房三期）</t>
    <phoneticPr fontId="6" type="noConversion"/>
  </si>
  <si>
    <t>精锐</t>
    <phoneticPr fontId="6" type="noConversion"/>
  </si>
  <si>
    <t>大唐中电（吉林）发电有限公司</t>
    <phoneticPr fontId="11" type="noConversion"/>
  </si>
  <si>
    <t>洮南</t>
    <phoneticPr fontId="6" type="noConversion"/>
  </si>
  <si>
    <t>2021年合计</t>
    <phoneticPr fontId="11" type="noConversion"/>
  </si>
  <si>
    <t>2021.1.4</t>
    <phoneticPr fontId="11" type="noConversion"/>
  </si>
  <si>
    <t>中国电建集团西北勘探设计研究院有限公司</t>
  </si>
  <si>
    <t>2021年1月4日收到一张电子银行承兑汇票10万元，汇票出票日期为2020年12月11日，汇票到期日为2021年6月11日</t>
    <phoneticPr fontId="11" type="noConversion"/>
  </si>
  <si>
    <t>约19.61%</t>
    <phoneticPr fontId="11" type="noConversion"/>
  </si>
  <si>
    <t>2021年销售合同回款登记台账</t>
    <phoneticPr fontId="11" type="noConversion"/>
  </si>
  <si>
    <t>2021.1.13</t>
    <phoneticPr fontId="11" type="noConversion"/>
  </si>
  <si>
    <t>软件升级（换linux系统）；系统硬件</t>
    <phoneticPr fontId="6" type="noConversion"/>
  </si>
  <si>
    <t>软件升级（换linux系统）</t>
    <phoneticPr fontId="6" type="noConversion"/>
  </si>
  <si>
    <t>19168-1</t>
    <phoneticPr fontId="11" type="noConversion"/>
  </si>
  <si>
    <t>19168-2</t>
    <phoneticPr fontId="11" type="noConversion"/>
  </si>
  <si>
    <t>2021.1.15</t>
    <phoneticPr fontId="11" type="noConversion"/>
  </si>
  <si>
    <t>大庆长元能源开发有限公司</t>
    <phoneticPr fontId="11" type="noConversion"/>
  </si>
  <si>
    <t>大庆长元</t>
    <phoneticPr fontId="6" type="noConversion"/>
  </si>
  <si>
    <t>2021.1.20</t>
    <phoneticPr fontId="11" type="noConversion"/>
  </si>
  <si>
    <t>2021.1.25</t>
    <phoneticPr fontId="11" type="noConversion"/>
  </si>
  <si>
    <t>辽宁</t>
    <phoneticPr fontId="6" type="noConversion"/>
  </si>
  <si>
    <t>三峡威远</t>
    <phoneticPr fontId="6" type="noConversion"/>
  </si>
  <si>
    <t>2021.1.26</t>
    <phoneticPr fontId="11" type="noConversion"/>
  </si>
  <si>
    <t>中国能源建设集团江苏省电力建设第一工程有限公司</t>
    <phoneticPr fontId="11" type="noConversion"/>
  </si>
  <si>
    <t>木垒大石头</t>
    <phoneticPr fontId="6" type="noConversion"/>
  </si>
  <si>
    <t>测风塔</t>
    <phoneticPr fontId="6" type="noConversion"/>
  </si>
  <si>
    <t>2021.1.28</t>
    <phoneticPr fontId="11" type="noConversion"/>
  </si>
  <si>
    <t>泽库大唐</t>
    <phoneticPr fontId="6" type="noConversion"/>
  </si>
  <si>
    <t>风电功预测</t>
    <phoneticPr fontId="6" type="noConversion"/>
  </si>
  <si>
    <t>2021.2.1</t>
    <phoneticPr fontId="11" type="noConversion"/>
  </si>
  <si>
    <t>2021.2.2</t>
    <phoneticPr fontId="11" type="noConversion"/>
  </si>
  <si>
    <t>宁夏</t>
    <phoneticPr fontId="6" type="noConversion"/>
  </si>
  <si>
    <t>中卫香山第四风电场、中卫香山第六风电场</t>
    <phoneticPr fontId="6" type="noConversion"/>
  </si>
  <si>
    <t>宁夏风电场理论功率上传软件</t>
    <phoneticPr fontId="6" type="noConversion"/>
  </si>
  <si>
    <t>2021.2.5</t>
    <phoneticPr fontId="11" type="noConversion"/>
  </si>
  <si>
    <t>技术服务（软件升级）</t>
    <phoneticPr fontId="6" type="noConversion"/>
  </si>
  <si>
    <t>2021.2.7</t>
    <phoneticPr fontId="11" type="noConversion"/>
  </si>
  <si>
    <t>2021.2.8</t>
    <phoneticPr fontId="11" type="noConversion"/>
  </si>
  <si>
    <t>美迪欧动力气象技术（北京）有限公司</t>
    <phoneticPr fontId="11" type="noConversion"/>
  </si>
  <si>
    <t>20171-1</t>
    <phoneticPr fontId="6" type="noConversion"/>
  </si>
  <si>
    <t>20171-2</t>
  </si>
  <si>
    <t>20171-3</t>
  </si>
  <si>
    <t>验收款</t>
    <phoneticPr fontId="11" type="noConversion"/>
  </si>
  <si>
    <t>2021.2.9</t>
    <phoneticPr fontId="11" type="noConversion"/>
  </si>
  <si>
    <t>大唐中电（吉林）新能源发电有限公司双辽</t>
    <phoneticPr fontId="11" type="noConversion"/>
  </si>
  <si>
    <t>2021.2.10</t>
    <phoneticPr fontId="11" type="noConversion"/>
  </si>
  <si>
    <t>安达3号、4号</t>
    <phoneticPr fontId="6" type="noConversion"/>
  </si>
  <si>
    <t>光伏气象站；光伏气象站设备</t>
    <phoneticPr fontId="6" type="noConversion"/>
  </si>
  <si>
    <t>约3.00%</t>
    <phoneticPr fontId="11" type="noConversion"/>
  </si>
  <si>
    <t>约62.93%</t>
    <phoneticPr fontId="11" type="noConversion"/>
  </si>
  <si>
    <t>2021.2.22</t>
    <phoneticPr fontId="11" type="noConversion"/>
  </si>
  <si>
    <t>2021.2.23</t>
    <phoneticPr fontId="11" type="noConversion"/>
  </si>
  <si>
    <t>约18.18%</t>
    <phoneticPr fontId="11" type="noConversion"/>
  </si>
  <si>
    <t>20099-1</t>
    <phoneticPr fontId="6" type="noConversion"/>
  </si>
  <si>
    <t>20099-2</t>
  </si>
  <si>
    <t>20099-3</t>
  </si>
  <si>
    <t>2021.2.25</t>
    <phoneticPr fontId="11" type="noConversion"/>
  </si>
  <si>
    <t>2021.2.26</t>
    <phoneticPr fontId="11" type="noConversion"/>
  </si>
  <si>
    <t>20123-1</t>
    <phoneticPr fontId="11" type="noConversion"/>
  </si>
  <si>
    <t>20123-2</t>
    <phoneticPr fontId="11" type="noConversion"/>
  </si>
  <si>
    <t>2021.3.1</t>
    <phoneticPr fontId="11" type="noConversion"/>
  </si>
  <si>
    <t>2021.3.3</t>
    <phoneticPr fontId="11" type="noConversion"/>
  </si>
  <si>
    <t>福新木垒老君庙</t>
  </si>
  <si>
    <t>2021年3月3日收到一张承兑汇票40万元， 汇票到期日期2021年6月15日。分两个项目，合同20093为33.95万元，合同20069为6.05万元</t>
    <phoneticPr fontId="11" type="noConversion"/>
  </si>
  <si>
    <t>短期软件；超短期软件；系统硬件；测风塔1设备；测风塔2设备；预测服务1年</t>
  </si>
  <si>
    <t>约12.27%</t>
    <phoneticPr fontId="11" type="noConversion"/>
  </si>
  <si>
    <t>约60.85%</t>
    <phoneticPr fontId="11" type="noConversion"/>
  </si>
  <si>
    <t>约4.06%</t>
    <phoneticPr fontId="11" type="noConversion"/>
  </si>
  <si>
    <t>约1.80%</t>
    <phoneticPr fontId="11" type="noConversion"/>
  </si>
  <si>
    <t>2021年3月3日收到一张承兑汇票30万元， 汇票到期日期2021年7月19日。</t>
    <phoneticPr fontId="11" type="noConversion"/>
  </si>
  <si>
    <t>2021年3月3日收到一张承兑汇票2万元， 汇票到期日期2021年4月20日</t>
    <phoneticPr fontId="11" type="noConversion"/>
  </si>
  <si>
    <t>贴现到账</t>
    <phoneticPr fontId="11" type="noConversion"/>
  </si>
  <si>
    <t>2021.3.5</t>
    <phoneticPr fontId="11" type="noConversion"/>
  </si>
  <si>
    <t>2021.3.9</t>
    <phoneticPr fontId="11" type="noConversion"/>
  </si>
  <si>
    <t>亚洲风力发电（牡丹江）有限公司
香港风力发电（穆棱）有限公司</t>
    <phoneticPr fontId="6" type="noConversion"/>
  </si>
  <si>
    <t>2021.3.10</t>
    <phoneticPr fontId="11" type="noConversion"/>
  </si>
  <si>
    <t>大唐海林威虎山风力发电有限公司</t>
    <phoneticPr fontId="6" type="noConversion"/>
  </si>
  <si>
    <t>虎峰岭</t>
    <phoneticPr fontId="6" type="noConversion"/>
  </si>
  <si>
    <t>风电AVC软件；系统硬件</t>
    <phoneticPr fontId="6" type="noConversion"/>
  </si>
  <si>
    <t>2021.3.11</t>
    <phoneticPr fontId="11" type="noConversion"/>
  </si>
  <si>
    <t>2021.3.12</t>
    <phoneticPr fontId="11" type="noConversion"/>
  </si>
  <si>
    <t>2021.3.15</t>
    <phoneticPr fontId="11" type="noConversion"/>
  </si>
  <si>
    <t>大唐吉林风力发电股份有限公司</t>
    <phoneticPr fontId="11" type="noConversion"/>
  </si>
  <si>
    <t>约54.05%</t>
    <phoneticPr fontId="11" type="noConversion"/>
  </si>
  <si>
    <t>2021年3月12日收到一张承兑汇票10万元， 汇票到期日期2021年4月29日</t>
    <phoneticPr fontId="11" type="noConversion"/>
  </si>
  <si>
    <t>20170-1</t>
    <phoneticPr fontId="6" type="noConversion"/>
  </si>
  <si>
    <t>20170-2</t>
  </si>
  <si>
    <t>20170-3</t>
  </si>
  <si>
    <t>约10.30%</t>
    <phoneticPr fontId="11" type="noConversion"/>
  </si>
  <si>
    <t>约4.86%</t>
    <phoneticPr fontId="11" type="noConversion"/>
  </si>
  <si>
    <t>2021.3.17</t>
    <phoneticPr fontId="11" type="noConversion"/>
  </si>
  <si>
    <t>唐山市南堡经济开发区航天万源新能源有限公司</t>
    <phoneticPr fontId="6" type="noConversion"/>
  </si>
  <si>
    <t>南堡戟门河</t>
    <phoneticPr fontId="6" type="noConversion"/>
  </si>
  <si>
    <t>短期软件；超短期软件；预测服务1年；软件升级</t>
    <phoneticPr fontId="6" type="noConversion"/>
  </si>
  <si>
    <t>2021.3.22</t>
    <phoneticPr fontId="11" type="noConversion"/>
  </si>
  <si>
    <t>约13.33%</t>
    <phoneticPr fontId="11" type="noConversion"/>
  </si>
  <si>
    <t>2021.3.23</t>
    <phoneticPr fontId="11" type="noConversion"/>
  </si>
  <si>
    <t>2021.3.24</t>
    <phoneticPr fontId="11" type="noConversion"/>
  </si>
  <si>
    <t>15003-2020</t>
    <phoneticPr fontId="11" type="noConversion"/>
  </si>
  <si>
    <t>华能烟墩北风电一场</t>
  </si>
  <si>
    <t>约21.21%</t>
    <phoneticPr fontId="11" type="noConversion"/>
  </si>
  <si>
    <t>刘龙台</t>
    <phoneticPr fontId="6" type="noConversion"/>
  </si>
  <si>
    <t>短期软件；超短期 软件；系统硬件；测风塔；测风塔设备；预测服务2年</t>
    <phoneticPr fontId="6" type="noConversion"/>
  </si>
  <si>
    <t>2021.3.29</t>
    <phoneticPr fontId="11" type="noConversion"/>
  </si>
  <si>
    <t>哈尔滨中瑞伟业科技发展有限公司</t>
    <phoneticPr fontId="11" type="noConversion"/>
  </si>
  <si>
    <t>2021.3.31</t>
    <phoneticPr fontId="11" type="noConversion"/>
  </si>
  <si>
    <t>宁安头道岭</t>
    <phoneticPr fontId="6" type="noConversion"/>
  </si>
  <si>
    <t>短期软件；超短期软件；系统硬件；测风塔；测风塔设备；预测服务2年</t>
  </si>
  <si>
    <t>宁安二道岭</t>
    <phoneticPr fontId="6" type="noConversion"/>
  </si>
  <si>
    <t>20060-1</t>
    <phoneticPr fontId="11" type="noConversion"/>
  </si>
  <si>
    <t>20060-2</t>
    <phoneticPr fontId="11" type="noConversion"/>
  </si>
  <si>
    <t>约59.82%</t>
    <phoneticPr fontId="11" type="noConversion"/>
  </si>
  <si>
    <t>郭文明、李妍</t>
    <phoneticPr fontId="6" type="noConversion"/>
  </si>
  <si>
    <t>约30.18%</t>
    <phoneticPr fontId="11" type="noConversion"/>
  </si>
  <si>
    <t>2021年3月31日收到一张承兑汇票34.29万元， 汇票到期日期2021年9月25日。分两个项目，合同20060-1为17.145万元，合同20060-2为17.145万元</t>
    <phoneticPr fontId="11" type="noConversion"/>
  </si>
  <si>
    <t>2021.4.1</t>
    <phoneticPr fontId="11" type="noConversion"/>
  </si>
  <si>
    <t>2021.4.12</t>
    <phoneticPr fontId="11" type="noConversion"/>
  </si>
  <si>
    <t>2021.4.13</t>
    <phoneticPr fontId="11" type="noConversion"/>
  </si>
  <si>
    <t>约42.11%</t>
    <phoneticPr fontId="11" type="noConversion"/>
  </si>
  <si>
    <t>约57.89%</t>
    <phoneticPr fontId="11" type="noConversion"/>
  </si>
  <si>
    <t>2021.4.14</t>
    <phoneticPr fontId="11" type="noConversion"/>
  </si>
  <si>
    <t>国能陕西新能源发电有限公司靖边分公司</t>
    <phoneticPr fontId="11" type="noConversion"/>
  </si>
  <si>
    <t>2021.4.16</t>
    <phoneticPr fontId="11" type="noConversion"/>
  </si>
  <si>
    <t>建模扩容；系统硬件</t>
    <phoneticPr fontId="6" type="noConversion"/>
  </si>
  <si>
    <t>2021.4.20</t>
    <phoneticPr fontId="11" type="noConversion"/>
  </si>
  <si>
    <t>2021.4.21</t>
    <phoneticPr fontId="11" type="noConversion"/>
  </si>
  <si>
    <t>2021.4.23</t>
    <phoneticPr fontId="11" type="noConversion"/>
  </si>
  <si>
    <t>国华（铜川）新能源有限公司</t>
    <phoneticPr fontId="11" type="noConversion"/>
  </si>
  <si>
    <t>大连远华热效率仪器仪表有限公司</t>
    <phoneticPr fontId="11" type="noConversion"/>
  </si>
  <si>
    <t>约97.95%</t>
    <phoneticPr fontId="11" type="noConversion"/>
  </si>
  <si>
    <t>铜川阿庄</t>
    <phoneticPr fontId="6" type="noConversion"/>
  </si>
  <si>
    <t>投运款</t>
    <phoneticPr fontId="11" type="noConversion"/>
  </si>
  <si>
    <t>国华云梦（二三期）</t>
    <phoneticPr fontId="6" type="noConversion"/>
  </si>
  <si>
    <t>建模扩容；测风塔；测风塔设备</t>
    <phoneticPr fontId="6" type="noConversion"/>
  </si>
  <si>
    <t>2021.4.25</t>
    <phoneticPr fontId="11" type="noConversion"/>
  </si>
  <si>
    <t>2021.4.26</t>
    <phoneticPr fontId="11" type="noConversion"/>
  </si>
  <si>
    <t>国华云梦（一期+二三期）</t>
    <phoneticPr fontId="6" type="noConversion"/>
  </si>
  <si>
    <t>2021.4.27</t>
    <phoneticPr fontId="11" type="noConversion"/>
  </si>
  <si>
    <t>贾家梁</t>
    <phoneticPr fontId="6" type="noConversion"/>
  </si>
  <si>
    <t>软件升级；系统硬件</t>
    <phoneticPr fontId="6" type="noConversion"/>
  </si>
  <si>
    <t>吉林</t>
    <phoneticPr fontId="74" type="noConversion"/>
  </si>
  <si>
    <t>大唐</t>
    <phoneticPr fontId="74" type="noConversion"/>
  </si>
  <si>
    <t>洮南</t>
    <phoneticPr fontId="74" type="noConversion"/>
  </si>
  <si>
    <t>风电功率预测</t>
    <phoneticPr fontId="74" type="noConversion"/>
  </si>
  <si>
    <t>测风塔维护；预测服务1年</t>
    <phoneticPr fontId="74" type="noConversion"/>
  </si>
  <si>
    <t>约18.79%</t>
    <phoneticPr fontId="11" type="noConversion"/>
  </si>
  <si>
    <t>2021.4.29</t>
    <phoneticPr fontId="11" type="noConversion"/>
  </si>
  <si>
    <t>技术服务；测风塔设备</t>
    <phoneticPr fontId="6" type="noConversion"/>
  </si>
  <si>
    <t>20006-4</t>
    <phoneticPr fontId="11" type="noConversion"/>
  </si>
  <si>
    <t>大庆太平</t>
    <phoneticPr fontId="6" type="noConversion"/>
  </si>
  <si>
    <t>约32.16%</t>
    <phoneticPr fontId="11" type="noConversion"/>
  </si>
  <si>
    <t>约57.84%</t>
    <phoneticPr fontId="11" type="noConversion"/>
  </si>
  <si>
    <t>20006-3</t>
    <phoneticPr fontId="11" type="noConversion"/>
  </si>
  <si>
    <t>望江</t>
    <phoneticPr fontId="6" type="noConversion"/>
  </si>
  <si>
    <t>灭火装置；探测装置；控制装置；通讯装置</t>
  </si>
  <si>
    <t>约3.6%</t>
    <phoneticPr fontId="11" type="noConversion"/>
  </si>
  <si>
    <t>20006-5</t>
    <phoneticPr fontId="11" type="noConversion"/>
  </si>
  <si>
    <t>2021年4月29日收到一张承兑汇票50万元， 汇票到期日期2021年10月26日。分3个项目，合同20006-4为30.921547万元，合同20006-3为2.378954万元，合同20006-5为16.699499万元</t>
    <phoneticPr fontId="11" type="noConversion"/>
  </si>
  <si>
    <t>约8.39%</t>
    <phoneticPr fontId="11" type="noConversion"/>
  </si>
  <si>
    <t>剩余合同款</t>
    <phoneticPr fontId="11" type="noConversion"/>
  </si>
  <si>
    <t>中国电力财务有限公司东北分公司直属营业部</t>
    <phoneticPr fontId="11" type="noConversion"/>
  </si>
  <si>
    <t>2021.4.30</t>
    <phoneticPr fontId="11" type="noConversion"/>
  </si>
  <si>
    <t>汇票到账</t>
    <phoneticPr fontId="11" type="noConversion"/>
  </si>
  <si>
    <t>2021.5.7</t>
    <phoneticPr fontId="11" type="noConversion"/>
  </si>
  <si>
    <t>2021.5.8</t>
    <phoneticPr fontId="11" type="noConversion"/>
  </si>
  <si>
    <t>南京国电南自新能源工程技术有限公司</t>
    <phoneticPr fontId="11" type="noConversion"/>
  </si>
  <si>
    <t>泰来汤池</t>
    <phoneticPr fontId="6" type="noConversion"/>
  </si>
  <si>
    <t>短期软件；超短期软件；预测系统硬件；光伏气象站；光伏气象站设备；预测服务1年；光伏AGC软件；光伏AVC软件；AGC/AVC系统硬件</t>
    <phoneticPr fontId="6" type="noConversion"/>
  </si>
  <si>
    <t>约20.59%</t>
    <phoneticPr fontId="11" type="noConversion"/>
  </si>
  <si>
    <t>2021.5.11</t>
    <phoneticPr fontId="11" type="noConversion"/>
  </si>
  <si>
    <t>2021.5.12</t>
  </si>
  <si>
    <t>技术服务（数据转发集控）</t>
    <phoneticPr fontId="6" type="noConversion"/>
  </si>
  <si>
    <t>20127-1</t>
    <phoneticPr fontId="11" type="noConversion"/>
  </si>
  <si>
    <t>20127-2</t>
  </si>
  <si>
    <t>20127-3</t>
  </si>
  <si>
    <t>20127-4</t>
  </si>
  <si>
    <t>20127-5</t>
  </si>
  <si>
    <t>20127-6</t>
  </si>
  <si>
    <t>20127-7</t>
  </si>
  <si>
    <t>20127-8</t>
  </si>
  <si>
    <t>20127-9</t>
  </si>
  <si>
    <t>20127-10</t>
  </si>
  <si>
    <t>20127-11</t>
  </si>
  <si>
    <t>20127-12</t>
  </si>
  <si>
    <t>20127-13</t>
  </si>
  <si>
    <t>20127-14</t>
  </si>
  <si>
    <t>20127-15</t>
  </si>
  <si>
    <t>20127-16</t>
  </si>
  <si>
    <t>20127-17</t>
  </si>
  <si>
    <t>20127-18</t>
  </si>
  <si>
    <t>20127-19</t>
  </si>
  <si>
    <t>20127-20</t>
  </si>
  <si>
    <t>20127-21</t>
  </si>
  <si>
    <t>20127-23</t>
    <phoneticPr fontId="11" type="noConversion"/>
  </si>
  <si>
    <t>21021-19086</t>
    <phoneticPr fontId="11" type="noConversion"/>
  </si>
  <si>
    <t>2021.5.14</t>
    <phoneticPr fontId="11" type="noConversion"/>
  </si>
  <si>
    <t>2021.5.17</t>
    <phoneticPr fontId="11" type="noConversion"/>
  </si>
  <si>
    <t>黑龙江</t>
    <phoneticPr fontId="6" type="noConversion"/>
  </si>
  <si>
    <t>大唐</t>
    <phoneticPr fontId="6" type="noConversion"/>
  </si>
  <si>
    <t>苏家店</t>
    <phoneticPr fontId="6" type="noConversion"/>
  </si>
  <si>
    <t>北架山</t>
    <phoneticPr fontId="6" type="noConversion"/>
  </si>
  <si>
    <t>太阳山</t>
    <phoneticPr fontId="6" type="noConversion"/>
  </si>
  <si>
    <t>约19.39%</t>
    <phoneticPr fontId="11" type="noConversion"/>
  </si>
  <si>
    <t>2021.5.18</t>
    <phoneticPr fontId="11" type="noConversion"/>
  </si>
  <si>
    <t>黑龙江</t>
    <phoneticPr fontId="6" type="noConversion"/>
  </si>
  <si>
    <t>大唐</t>
    <phoneticPr fontId="6" type="noConversion"/>
  </si>
  <si>
    <t>东辉</t>
    <phoneticPr fontId="6" type="noConversion"/>
  </si>
  <si>
    <t>2021.5.19</t>
    <phoneticPr fontId="11" type="noConversion"/>
  </si>
  <si>
    <t>19130-1</t>
    <phoneticPr fontId="11" type="noConversion"/>
  </si>
  <si>
    <t>约16.12%</t>
    <phoneticPr fontId="11" type="noConversion"/>
  </si>
  <si>
    <t>2021.5.20</t>
    <phoneticPr fontId="11" type="noConversion"/>
  </si>
  <si>
    <t>2021.5.21</t>
    <phoneticPr fontId="11" type="noConversion"/>
  </si>
  <si>
    <t>吉林</t>
    <phoneticPr fontId="76" type="noConversion"/>
  </si>
  <si>
    <t>大唐</t>
    <phoneticPr fontId="76" type="noConversion"/>
  </si>
  <si>
    <t>双辽</t>
    <phoneticPr fontId="76" type="noConversion"/>
  </si>
  <si>
    <t>风电功率预测</t>
    <phoneticPr fontId="76" type="noConversion"/>
  </si>
  <si>
    <t>测风塔维护；预测服务1年</t>
    <phoneticPr fontId="76" type="noConversion"/>
  </si>
  <si>
    <t>约8.48%</t>
    <phoneticPr fontId="11" type="noConversion"/>
  </si>
  <si>
    <t>2021.5.24</t>
    <phoneticPr fontId="11" type="noConversion"/>
  </si>
  <si>
    <t>2021.5.25</t>
    <phoneticPr fontId="11" type="noConversion"/>
  </si>
  <si>
    <t>2021.5.26</t>
    <phoneticPr fontId="11" type="noConversion"/>
  </si>
  <si>
    <t>黑龙江</t>
    <phoneticPr fontId="6" type="noConversion"/>
  </si>
  <si>
    <t>大唐</t>
    <phoneticPr fontId="6" type="noConversion"/>
  </si>
  <si>
    <t>晨光、富强</t>
    <phoneticPr fontId="6" type="noConversion"/>
  </si>
  <si>
    <t>约0.29%</t>
    <phoneticPr fontId="11" type="noConversion"/>
  </si>
  <si>
    <t>2021.6.2</t>
    <phoneticPr fontId="11" type="noConversion"/>
  </si>
  <si>
    <t>吉林省光华风电投资有限公司</t>
    <phoneticPr fontId="6" type="noConversion"/>
  </si>
  <si>
    <t>榆林国远风电有限公司</t>
    <phoneticPr fontId="6" type="noConversion"/>
  </si>
  <si>
    <t>狄青塬（一二期）</t>
    <phoneticPr fontId="6" type="noConversion"/>
  </si>
  <si>
    <t>2021.6.3</t>
    <phoneticPr fontId="11" type="noConversion"/>
  </si>
  <si>
    <t>宁德蕉城闽电新能源有限公司</t>
    <phoneticPr fontId="6" type="noConversion"/>
  </si>
  <si>
    <t>宁德虎贝</t>
    <phoneticPr fontId="6" type="noConversion"/>
  </si>
  <si>
    <t>技术服务（上传10天预测文件程序修改）</t>
    <phoneticPr fontId="6" type="noConversion"/>
  </si>
  <si>
    <t>2021.6.7</t>
    <phoneticPr fontId="11" type="noConversion"/>
  </si>
  <si>
    <t>中国大唐集团财务有限公司</t>
    <phoneticPr fontId="6" type="noConversion"/>
  </si>
  <si>
    <t>19021-1</t>
    <phoneticPr fontId="6" type="noConversion"/>
  </si>
  <si>
    <r>
      <t>19021-2</t>
    </r>
    <r>
      <rPr>
        <sz val="11"/>
        <color indexed="8"/>
        <rFont val="宋体"/>
        <family val="3"/>
        <charset val="134"/>
      </rPr>
      <t/>
    </r>
  </si>
  <si>
    <t>约9.71%</t>
    <phoneticPr fontId="11" type="noConversion"/>
  </si>
  <si>
    <t>2021.6.8</t>
    <phoneticPr fontId="11" type="noConversion"/>
  </si>
  <si>
    <t>华润新能源（安达）有限公司</t>
    <phoneticPr fontId="6" type="noConversion"/>
  </si>
  <si>
    <t>布尔津县国源天立风力发电有限责任公司</t>
    <phoneticPr fontId="6" type="noConversion"/>
  </si>
  <si>
    <t>安达1号、2号、安达3号、4号</t>
    <phoneticPr fontId="6" type="noConversion"/>
  </si>
  <si>
    <t>光伏电站场区视频监控系统；升压站视频监控系统</t>
    <phoneticPr fontId="6" type="noConversion"/>
  </si>
  <si>
    <t>到货款</t>
    <phoneticPr fontId="6" type="noConversion"/>
  </si>
  <si>
    <t>国源天立布尔津</t>
    <phoneticPr fontId="6" type="noConversion"/>
  </si>
  <si>
    <t>短期软件；超短期软件；系统硬件；预测服务16个月</t>
    <phoneticPr fontId="6" type="noConversion"/>
  </si>
  <si>
    <t>进度款</t>
    <phoneticPr fontId="6" type="noConversion"/>
  </si>
  <si>
    <t>张铁民</t>
    <phoneticPr fontId="6" type="noConversion"/>
  </si>
  <si>
    <t>王龙波</t>
    <phoneticPr fontId="6" type="noConversion"/>
  </si>
  <si>
    <t>2021.6.15</t>
    <phoneticPr fontId="6" type="noConversion"/>
  </si>
  <si>
    <t>福能（龙海）风力发电有限责任公司</t>
    <phoneticPr fontId="6" type="noConversion"/>
  </si>
  <si>
    <t>福能平海（莆田）风力发电有限公司</t>
    <phoneticPr fontId="6" type="noConversion"/>
  </si>
  <si>
    <t>大庆华能双榆太阳能发电有限公司</t>
    <phoneticPr fontId="6" type="noConversion"/>
  </si>
  <si>
    <t>福能（仙游）风力发电有限责任公司</t>
    <phoneticPr fontId="6" type="noConversion"/>
  </si>
  <si>
    <t>约6.75%</t>
    <phoneticPr fontId="6" type="noConversion"/>
  </si>
  <si>
    <t>服务费</t>
    <phoneticPr fontId="6" type="noConversion"/>
  </si>
  <si>
    <t>合同款</t>
    <phoneticPr fontId="6" type="noConversion"/>
  </si>
  <si>
    <t>秦英飞</t>
    <phoneticPr fontId="6" type="noConversion"/>
  </si>
  <si>
    <t>东海</t>
    <phoneticPr fontId="6" type="noConversion"/>
  </si>
  <si>
    <t>风电场技术服务</t>
    <phoneticPr fontId="6" type="noConversion"/>
  </si>
  <si>
    <t>验收款</t>
    <phoneticPr fontId="6" type="noConversion"/>
  </si>
  <si>
    <t>2021.6.17</t>
    <phoneticPr fontId="6" type="noConversion"/>
  </si>
  <si>
    <t>2021.6.21</t>
    <phoneticPr fontId="6" type="noConversion"/>
  </si>
  <si>
    <t>上海电气风电设备黑龙江有限公司</t>
    <phoneticPr fontId="6" type="noConversion"/>
  </si>
  <si>
    <t>华能哈密风力发电有限公司</t>
    <phoneticPr fontId="6" type="noConversion"/>
  </si>
  <si>
    <t>20006-3</t>
    <phoneticPr fontId="6" type="noConversion"/>
  </si>
  <si>
    <t>约86.40%</t>
    <phoneticPr fontId="6" type="noConversion"/>
  </si>
  <si>
    <t>剩余到货款+验收款</t>
    <phoneticPr fontId="6" type="noConversion"/>
  </si>
  <si>
    <t>20006-6</t>
    <phoneticPr fontId="6" type="noConversion"/>
  </si>
  <si>
    <t>2021.6.22</t>
    <phoneticPr fontId="6" type="noConversion"/>
  </si>
  <si>
    <t>哈尔滨锐驰风力发电有限责任公司</t>
    <phoneticPr fontId="6" type="noConversion"/>
  </si>
  <si>
    <t xml:space="preserve">黑龙江风电场综合通讯管理系统软件；黑龙江风电场综合通讯管理系统硬件；黑龙江风电场理论功率上传软件；黑龙江风电场理论功率上传系统硬件 </t>
    <phoneticPr fontId="6" type="noConversion"/>
  </si>
  <si>
    <t>锐驰</t>
    <phoneticPr fontId="6" type="noConversion"/>
  </si>
  <si>
    <t>质保款</t>
    <phoneticPr fontId="6" type="noConversion"/>
  </si>
  <si>
    <t>方正县江湾风力发电有限公司</t>
    <phoneticPr fontId="6" type="noConversion"/>
  </si>
  <si>
    <t>方正团结</t>
    <phoneticPr fontId="6" type="noConversion"/>
  </si>
  <si>
    <t>预付款</t>
    <phoneticPr fontId="6" type="noConversion"/>
  </si>
  <si>
    <t>香港风力发电(穆棱)有限公司</t>
    <phoneticPr fontId="6" type="noConversion"/>
  </si>
  <si>
    <t>陕西通源天达能源工程集团有限公司</t>
    <phoneticPr fontId="6" type="noConversion"/>
  </si>
  <si>
    <t>2021.6.23</t>
    <phoneticPr fontId="6" type="noConversion"/>
  </si>
  <si>
    <t>大唐桦川风力发电有限公司集贤分公司</t>
    <phoneticPr fontId="6" type="noConversion"/>
  </si>
  <si>
    <t>黑龙江省华富电力投资有限公司依兰分公司</t>
    <phoneticPr fontId="6" type="noConversion"/>
  </si>
  <si>
    <t>鸡冠山</t>
    <phoneticPr fontId="6" type="noConversion"/>
  </si>
  <si>
    <t>黑龙江风电场综合通讯管理系统软件升级</t>
    <phoneticPr fontId="6" type="noConversion"/>
  </si>
  <si>
    <t>2021.6.24</t>
    <phoneticPr fontId="6" type="noConversion"/>
  </si>
  <si>
    <t>依兰县协合风力发电有限公司</t>
    <phoneticPr fontId="6" type="noConversion"/>
  </si>
  <si>
    <t>南昌朗承商贸有限公司</t>
    <phoneticPr fontId="6" type="noConversion"/>
  </si>
  <si>
    <t>福能（漳州）风力发电有限责任公司</t>
    <phoneticPr fontId="6" type="noConversion"/>
  </si>
  <si>
    <t>双发E区</t>
    <phoneticPr fontId="6" type="noConversion"/>
  </si>
  <si>
    <t>蒋公岭（二期）</t>
    <phoneticPr fontId="6" type="noConversion"/>
  </si>
  <si>
    <t>2021.6.25</t>
    <phoneticPr fontId="6" type="noConversion"/>
  </si>
  <si>
    <t>国网黑龙江省电力有限公司物资公司</t>
    <phoneticPr fontId="6" type="noConversion"/>
  </si>
  <si>
    <t>2021.6.28</t>
    <phoneticPr fontId="6" type="noConversion"/>
  </si>
  <si>
    <t>吉林大安新唐发电有限公司</t>
    <phoneticPr fontId="6" type="noConversion"/>
  </si>
  <si>
    <t>大唐吉林风力发电股份有限公司</t>
    <phoneticPr fontId="6" type="noConversion"/>
  </si>
  <si>
    <t>约6.06%</t>
    <phoneticPr fontId="6" type="noConversion"/>
  </si>
  <si>
    <t>2021.6.30</t>
    <phoneticPr fontId="6" type="noConversion"/>
  </si>
  <si>
    <t>2021.7.5</t>
    <phoneticPr fontId="6" type="noConversion"/>
  </si>
  <si>
    <t>大唐绥滨新能源有限公司</t>
    <phoneticPr fontId="6" type="noConversion"/>
  </si>
  <si>
    <t>黑龙江</t>
    <phoneticPr fontId="6" type="noConversion"/>
  </si>
  <si>
    <t>大唐</t>
    <phoneticPr fontId="6" type="noConversion"/>
  </si>
  <si>
    <t>吉成</t>
    <phoneticPr fontId="6" type="noConversion"/>
  </si>
  <si>
    <t>大唐</t>
    <phoneticPr fontId="6" type="noConversion"/>
  </si>
  <si>
    <t>2021.7.6</t>
    <phoneticPr fontId="6" type="noConversion"/>
  </si>
  <si>
    <t>深圳市双合电气股份有限公司</t>
    <phoneticPr fontId="6" type="noConversion"/>
  </si>
  <si>
    <t>18025-1</t>
    <phoneticPr fontId="6" type="noConversion"/>
  </si>
  <si>
    <t>18025-2</t>
    <phoneticPr fontId="6" type="noConversion"/>
  </si>
  <si>
    <t>约37.88%</t>
    <phoneticPr fontId="6" type="noConversion"/>
  </si>
  <si>
    <t>剩余合同款</t>
    <phoneticPr fontId="6" type="noConversion"/>
  </si>
  <si>
    <t>大唐中电（吉林）新能源发电有限公司双辽</t>
    <phoneticPr fontId="6" type="noConversion"/>
  </si>
  <si>
    <t>约9.09%</t>
    <phoneticPr fontId="6" type="noConversion"/>
  </si>
  <si>
    <t>部分合同款</t>
    <phoneticPr fontId="6" type="noConversion"/>
  </si>
  <si>
    <t>王星</t>
    <phoneticPr fontId="6" type="noConversion"/>
  </si>
  <si>
    <t>2021.7.14</t>
    <phoneticPr fontId="6" type="noConversion"/>
  </si>
  <si>
    <t>2021.7.20</t>
    <phoneticPr fontId="6" type="noConversion"/>
  </si>
  <si>
    <t>20005-1</t>
    <phoneticPr fontId="6" type="noConversion"/>
  </si>
  <si>
    <t>20005-2</t>
    <phoneticPr fontId="6" type="noConversion"/>
  </si>
  <si>
    <t>福建风电场D5000二区软件；系统硬件</t>
    <phoneticPr fontId="6" type="noConversion"/>
  </si>
  <si>
    <t>福建风电场理论功率上传软件</t>
    <phoneticPr fontId="6" type="noConversion"/>
  </si>
  <si>
    <t>验收款</t>
    <phoneticPr fontId="6" type="noConversion"/>
  </si>
  <si>
    <t>秦英飞</t>
    <phoneticPr fontId="6" type="noConversion"/>
  </si>
  <si>
    <t>2021.7.22</t>
    <phoneticPr fontId="6" type="noConversion"/>
  </si>
  <si>
    <t>新疆</t>
    <phoneticPr fontId="6" type="noConversion"/>
  </si>
  <si>
    <t>华电</t>
    <phoneticPr fontId="6" type="noConversion"/>
  </si>
  <si>
    <t>质保款</t>
    <phoneticPr fontId="6" type="noConversion"/>
  </si>
  <si>
    <t>王龙波</t>
    <phoneticPr fontId="6" type="noConversion"/>
  </si>
  <si>
    <t>李妍</t>
    <phoneticPr fontId="6" type="noConversion"/>
  </si>
  <si>
    <t>2021.7.23</t>
    <phoneticPr fontId="6" type="noConversion"/>
  </si>
  <si>
    <t>宾县协合风力发电有限公司</t>
    <phoneticPr fontId="6" type="noConversion"/>
  </si>
  <si>
    <t>宾县协合</t>
    <phoneticPr fontId="6" type="noConversion"/>
  </si>
  <si>
    <t>预付款</t>
    <phoneticPr fontId="6" type="noConversion"/>
  </si>
  <si>
    <t>马梦迪</t>
    <phoneticPr fontId="6" type="noConversion"/>
  </si>
  <si>
    <t>2021.7.26</t>
    <phoneticPr fontId="6" type="noConversion"/>
  </si>
  <si>
    <t>北京鑫和旗帜科技有限公司</t>
    <phoneticPr fontId="6" type="noConversion"/>
  </si>
  <si>
    <t>齐齐哈尔龙江风电平价上网项目</t>
    <phoneticPr fontId="6" type="noConversion"/>
  </si>
  <si>
    <t>黑龙江风电场电力安全二区综合通讯系统软件；系统硬件</t>
  </si>
  <si>
    <t>预付款</t>
    <phoneticPr fontId="6" type="noConversion"/>
  </si>
  <si>
    <t>合同款</t>
    <phoneticPr fontId="6" type="noConversion"/>
  </si>
  <si>
    <t>保定四方继保工程技术有限公司</t>
    <phoneticPr fontId="6" type="noConversion"/>
  </si>
  <si>
    <t>湖南大唐先一科技有限公司</t>
    <phoneticPr fontId="6" type="noConversion"/>
  </si>
  <si>
    <t>马梦迪</t>
    <phoneticPr fontId="6" type="noConversion"/>
  </si>
  <si>
    <t>华银南山</t>
    <phoneticPr fontId="6" type="noConversion"/>
  </si>
  <si>
    <t>验收款</t>
    <phoneticPr fontId="6" type="noConversion"/>
  </si>
  <si>
    <t>秦英飞</t>
    <phoneticPr fontId="6" type="noConversion"/>
  </si>
  <si>
    <t>2021.7.27</t>
    <phoneticPr fontId="6" type="noConversion"/>
  </si>
  <si>
    <t>2021.8.4</t>
    <phoneticPr fontId="6" type="noConversion"/>
  </si>
  <si>
    <t>厦门迅慧科技有限公司</t>
    <phoneticPr fontId="6" type="noConversion"/>
  </si>
  <si>
    <t>2021.8.5</t>
    <phoneticPr fontId="6" type="noConversion"/>
  </si>
  <si>
    <t>合同款</t>
    <phoneticPr fontId="6" type="noConversion"/>
  </si>
  <si>
    <t>秦英飞</t>
    <phoneticPr fontId="6" type="noConversion"/>
  </si>
  <si>
    <t>2021.8.9</t>
    <phoneticPr fontId="6" type="noConversion"/>
  </si>
  <si>
    <t>伊春太阳风新能源有限公司</t>
    <phoneticPr fontId="6" type="noConversion"/>
  </si>
  <si>
    <t>杭州品联科技有限公司</t>
    <phoneticPr fontId="6" type="noConversion"/>
  </si>
  <si>
    <t>2021.8.10</t>
    <phoneticPr fontId="6" type="noConversion"/>
  </si>
  <si>
    <t>2021.8.12</t>
    <phoneticPr fontId="6" type="noConversion"/>
  </si>
  <si>
    <t>四平中广核风力发电有限公司</t>
    <phoneticPr fontId="6" type="noConversion"/>
  </si>
  <si>
    <t>19170-2</t>
    <phoneticPr fontId="6" type="noConversion"/>
  </si>
  <si>
    <t>博尔能源</t>
    <phoneticPr fontId="6" type="noConversion"/>
  </si>
  <si>
    <t>安达畜牧场</t>
    <phoneticPr fontId="6" type="noConversion"/>
  </si>
  <si>
    <t>预付款+到货款+验收款</t>
    <phoneticPr fontId="6" type="noConversion"/>
  </si>
  <si>
    <t>马梦迪</t>
    <phoneticPr fontId="6" type="noConversion"/>
  </si>
  <si>
    <t>19170-1</t>
    <phoneticPr fontId="6" type="noConversion"/>
  </si>
  <si>
    <t>部分预付款</t>
    <phoneticPr fontId="6" type="noConversion"/>
  </si>
  <si>
    <t>约26.04%</t>
    <phoneticPr fontId="6" type="noConversion"/>
  </si>
  <si>
    <t>剩余预付款+部分到货款</t>
    <phoneticPr fontId="6" type="noConversion"/>
  </si>
  <si>
    <t>约29.17%</t>
    <phoneticPr fontId="6" type="noConversion"/>
  </si>
  <si>
    <t>剩余到货款+部分验收款</t>
    <phoneticPr fontId="6" type="noConversion"/>
  </si>
  <si>
    <t>鹤岗萝北</t>
    <phoneticPr fontId="6" type="noConversion"/>
  </si>
  <si>
    <t>19183-1</t>
    <phoneticPr fontId="6" type="noConversion"/>
  </si>
  <si>
    <t>19183-2</t>
    <phoneticPr fontId="6" type="noConversion"/>
  </si>
  <si>
    <t>预付款+到货款+部分验收款</t>
    <phoneticPr fontId="6" type="noConversion"/>
  </si>
  <si>
    <t>约79.17%</t>
    <phoneticPr fontId="6" type="noConversion"/>
  </si>
  <si>
    <t>约10.83%</t>
    <phoneticPr fontId="6" type="noConversion"/>
  </si>
  <si>
    <t>剩余验收款</t>
    <phoneticPr fontId="6" type="noConversion"/>
  </si>
  <si>
    <t>2021年8月10日收到一张承兑汇票40万元， 汇票到期日期2021年12月14日。分2个项目，合同19183-1为38.7万元，合同19183-2为1.3万元</t>
    <phoneticPr fontId="11" type="noConversion"/>
  </si>
  <si>
    <t>2021年8月10日收到一张承兑汇20万元， 汇票到期日期2021年12月14日。分2个项目，合同19170-2为14.4万元，合同19170-1为5.6万元</t>
    <phoneticPr fontId="11" type="noConversion"/>
  </si>
  <si>
    <t>2021年8月10日收到一张承兑汇5万元， 汇票到期日期2021年12月14日</t>
    <phoneticPr fontId="11" type="noConversion"/>
  </si>
  <si>
    <t>合同款</t>
    <phoneticPr fontId="6" type="noConversion"/>
  </si>
  <si>
    <t>山门</t>
    <phoneticPr fontId="6" type="noConversion"/>
  </si>
  <si>
    <t>短期软件；超短期软件；系统硬件；测风塔维护；测风塔设备；预测服务1年</t>
    <phoneticPr fontId="6" type="noConversion"/>
  </si>
  <si>
    <t>王星</t>
    <phoneticPr fontId="6" type="noConversion"/>
  </si>
  <si>
    <t>2021.8.13</t>
    <phoneticPr fontId="6" type="noConversion"/>
  </si>
  <si>
    <t>海林中电海浪风力发电有限公司</t>
    <phoneticPr fontId="6" type="noConversion"/>
  </si>
  <si>
    <t>海林中电红旗风力发电有限公司</t>
    <phoneticPr fontId="6" type="noConversion"/>
  </si>
  <si>
    <t>服务费</t>
    <phoneticPr fontId="6" type="noConversion"/>
  </si>
  <si>
    <t>马梦迪</t>
    <phoneticPr fontId="6" type="noConversion"/>
  </si>
  <si>
    <t>2021.8.11</t>
    <phoneticPr fontId="6" type="noConversion"/>
  </si>
  <si>
    <t>2021.8.16</t>
    <phoneticPr fontId="6" type="noConversion"/>
  </si>
  <si>
    <t>大唐向阳风电有限公司</t>
    <phoneticPr fontId="6" type="noConversion"/>
  </si>
  <si>
    <t>约28.64%</t>
    <phoneticPr fontId="6" type="noConversion"/>
  </si>
  <si>
    <t>合同款</t>
    <phoneticPr fontId="6" type="noConversion"/>
  </si>
  <si>
    <t>王星</t>
    <phoneticPr fontId="6" type="noConversion"/>
  </si>
  <si>
    <t>约41.08%</t>
    <phoneticPr fontId="6" type="noConversion"/>
  </si>
  <si>
    <t>约12.12%</t>
    <phoneticPr fontId="6" type="noConversion"/>
  </si>
  <si>
    <t>剩余合同款</t>
    <phoneticPr fontId="6" type="noConversion"/>
  </si>
  <si>
    <t>约7.26%</t>
    <phoneticPr fontId="6" type="noConversion"/>
  </si>
  <si>
    <t>郭文明</t>
    <phoneticPr fontId="6" type="noConversion"/>
  </si>
  <si>
    <t>王星</t>
    <phoneticPr fontId="6" type="noConversion"/>
  </si>
  <si>
    <t>部分到货款</t>
    <phoneticPr fontId="6" type="noConversion"/>
  </si>
  <si>
    <t>2021.8.18</t>
    <phoneticPr fontId="6" type="noConversion"/>
  </si>
  <si>
    <t>质保款</t>
    <phoneticPr fontId="6" type="noConversion"/>
  </si>
  <si>
    <t>于忠新</t>
    <phoneticPr fontId="6" type="noConversion"/>
  </si>
  <si>
    <t>2021.8.20</t>
    <phoneticPr fontId="6" type="noConversion"/>
  </si>
  <si>
    <t>国华（乾安）风电有限公司</t>
    <phoneticPr fontId="6" type="noConversion"/>
  </si>
  <si>
    <t>服务费</t>
    <phoneticPr fontId="6" type="noConversion"/>
  </si>
  <si>
    <t>马梦迪</t>
    <phoneticPr fontId="6" type="noConversion"/>
  </si>
  <si>
    <t>美迪欧动力气象技术（北京）有限公司</t>
    <phoneticPr fontId="6" type="noConversion"/>
  </si>
  <si>
    <t>2021.8.25</t>
    <phoneticPr fontId="6" type="noConversion"/>
  </si>
  <si>
    <t>质保款</t>
    <phoneticPr fontId="6" type="noConversion"/>
  </si>
  <si>
    <t>宾阳</t>
    <phoneticPr fontId="6" type="noConversion"/>
  </si>
  <si>
    <t>技术服务</t>
    <phoneticPr fontId="21" type="noConversion"/>
  </si>
  <si>
    <t>合同款</t>
    <phoneticPr fontId="6" type="noConversion"/>
  </si>
  <si>
    <t>2021.8.27</t>
    <phoneticPr fontId="6" type="noConversion"/>
  </si>
  <si>
    <t>到货款</t>
    <phoneticPr fontId="6" type="noConversion"/>
  </si>
  <si>
    <t>马梦迪</t>
    <phoneticPr fontId="6" type="noConversion"/>
  </si>
  <si>
    <t>2021.8.30</t>
    <phoneticPr fontId="6" type="noConversion"/>
  </si>
  <si>
    <t>新疆浦类海能源发展有限公司</t>
    <phoneticPr fontId="6" type="noConversion"/>
  </si>
  <si>
    <t>2021.8.31</t>
    <phoneticPr fontId="6" type="noConversion"/>
  </si>
  <si>
    <t>华能启东风力发电有限公司</t>
    <phoneticPr fontId="6" type="noConversion"/>
  </si>
  <si>
    <t>江苏</t>
  </si>
  <si>
    <t>服务费</t>
    <phoneticPr fontId="6" type="noConversion"/>
  </si>
  <si>
    <t>江苏</t>
    <phoneticPr fontId="6" type="noConversion"/>
  </si>
  <si>
    <t>启东</t>
    <phoneticPr fontId="6" type="noConversion"/>
  </si>
  <si>
    <t>验收款</t>
    <phoneticPr fontId="6" type="noConversion"/>
  </si>
  <si>
    <t>李妍</t>
    <phoneticPr fontId="6" type="noConversion"/>
  </si>
  <si>
    <t>服务费</t>
    <phoneticPr fontId="6" type="noConversion"/>
  </si>
  <si>
    <t>王龙波</t>
    <phoneticPr fontId="6" type="noConversion"/>
  </si>
  <si>
    <t>李妍</t>
    <phoneticPr fontId="6" type="noConversion"/>
  </si>
  <si>
    <t>2021.9.6</t>
    <phoneticPr fontId="6" type="noConversion"/>
  </si>
  <si>
    <t>乾安网新风电有限公司</t>
    <phoneticPr fontId="6" type="noConversion"/>
  </si>
  <si>
    <t>长春亿科数字科技有限公司</t>
    <phoneticPr fontId="6" type="noConversion"/>
  </si>
  <si>
    <t>服务费</t>
    <phoneticPr fontId="6" type="noConversion"/>
  </si>
  <si>
    <t>王星</t>
    <phoneticPr fontId="6" type="noConversion"/>
  </si>
  <si>
    <t>合同款</t>
    <phoneticPr fontId="6" type="noConversion"/>
  </si>
  <si>
    <t>2021.9.9</t>
    <phoneticPr fontId="6" type="noConversion"/>
  </si>
  <si>
    <t>青海大唐国际共和光伏发电有限责任公司</t>
    <phoneticPr fontId="6" type="noConversion"/>
  </si>
  <si>
    <t>质保款</t>
    <phoneticPr fontId="6" type="noConversion"/>
  </si>
  <si>
    <t>张铁民</t>
    <phoneticPr fontId="6" type="noConversion"/>
  </si>
  <si>
    <t>李妍</t>
    <phoneticPr fontId="6" type="noConversion"/>
  </si>
  <si>
    <t>2021.9.10</t>
    <phoneticPr fontId="6" type="noConversion"/>
  </si>
  <si>
    <t>南京国电南自电网自动化有限公司</t>
    <phoneticPr fontId="6" type="noConversion"/>
  </si>
  <si>
    <t>2021.9.17</t>
    <phoneticPr fontId="6" type="noConversion"/>
  </si>
  <si>
    <t>大安中广核风力发电有限公司</t>
    <phoneticPr fontId="6" type="noConversion"/>
  </si>
  <si>
    <t>2021.9.22</t>
    <phoneticPr fontId="6" type="noConversion"/>
  </si>
  <si>
    <t>密山临河风力发电有限公司</t>
    <phoneticPr fontId="6" type="noConversion"/>
  </si>
  <si>
    <t>2021.9.23</t>
    <phoneticPr fontId="6" type="noConversion"/>
  </si>
  <si>
    <t>国华（齐齐哈尔）风电有限公司</t>
    <phoneticPr fontId="6" type="noConversion"/>
  </si>
  <si>
    <t>王龙波</t>
    <phoneticPr fontId="6" type="noConversion"/>
  </si>
  <si>
    <t>李妍</t>
    <phoneticPr fontId="6" type="noConversion"/>
  </si>
  <si>
    <t>部分到货款</t>
    <phoneticPr fontId="6" type="noConversion"/>
  </si>
  <si>
    <t>来福</t>
    <phoneticPr fontId="6" type="noConversion"/>
  </si>
  <si>
    <t>合同款</t>
    <phoneticPr fontId="6" type="noConversion"/>
  </si>
  <si>
    <t>王星</t>
    <phoneticPr fontId="6" type="noConversion"/>
  </si>
  <si>
    <t>质保款</t>
    <phoneticPr fontId="6" type="noConversion"/>
  </si>
  <si>
    <t>韩志宇</t>
    <phoneticPr fontId="6" type="noConversion"/>
  </si>
  <si>
    <t>验收款</t>
    <phoneticPr fontId="6" type="noConversion"/>
  </si>
  <si>
    <t>马梦迪</t>
    <phoneticPr fontId="6" type="noConversion"/>
  </si>
  <si>
    <t>服务费</t>
    <phoneticPr fontId="6" type="noConversion"/>
  </si>
  <si>
    <t>到货款</t>
    <phoneticPr fontId="6" type="noConversion"/>
  </si>
  <si>
    <t>2021.9.24</t>
    <phoneticPr fontId="6" type="noConversion"/>
  </si>
  <si>
    <t>大唐桦川风力发电有限公司桦南分公司</t>
    <phoneticPr fontId="6" type="noConversion"/>
  </si>
  <si>
    <t>2021.9.24</t>
    <phoneticPr fontId="6" type="noConversion"/>
  </si>
  <si>
    <t>国家电投集团湖北宜昌新能源有限公司</t>
    <phoneticPr fontId="6" type="noConversion"/>
  </si>
  <si>
    <t>21011-1</t>
    <phoneticPr fontId="6" type="noConversion"/>
  </si>
  <si>
    <t>21011-2</t>
  </si>
  <si>
    <t>21011-3</t>
  </si>
  <si>
    <t>21011-5</t>
    <phoneticPr fontId="6" type="noConversion"/>
  </si>
  <si>
    <t>21011-6</t>
    <phoneticPr fontId="6" type="noConversion"/>
  </si>
  <si>
    <t>服务费</t>
    <phoneticPr fontId="6" type="noConversion"/>
  </si>
  <si>
    <t>郭文明</t>
    <phoneticPr fontId="6" type="noConversion"/>
  </si>
  <si>
    <t>李妍</t>
    <phoneticPr fontId="6" type="noConversion"/>
  </si>
  <si>
    <t>约13.49%</t>
    <phoneticPr fontId="6" type="noConversion"/>
  </si>
  <si>
    <t>测风塔设备</t>
    <phoneticPr fontId="21" type="noConversion"/>
  </si>
  <si>
    <t>合同款</t>
    <phoneticPr fontId="6" type="noConversion"/>
  </si>
  <si>
    <t>段洪宇</t>
    <phoneticPr fontId="6" type="noConversion"/>
  </si>
  <si>
    <t>2021.9.27</t>
    <phoneticPr fontId="6" type="noConversion"/>
  </si>
  <si>
    <t>双鸭山锅盔山风力发电有限公司</t>
    <phoneticPr fontId="6" type="noConversion"/>
  </si>
  <si>
    <t>密山潘家店风力发电有限公司</t>
    <phoneticPr fontId="6" type="noConversion"/>
  </si>
  <si>
    <t>短期软件；超短期软件；系统硬件</t>
    <phoneticPr fontId="6" type="noConversion"/>
  </si>
  <si>
    <t>质保款</t>
    <phoneticPr fontId="6" type="noConversion"/>
  </si>
  <si>
    <t>李妍</t>
    <phoneticPr fontId="6" type="noConversion"/>
  </si>
  <si>
    <t>约28.64%</t>
    <phoneticPr fontId="6" type="noConversion"/>
  </si>
  <si>
    <t>合同款</t>
    <phoneticPr fontId="6" type="noConversion"/>
  </si>
  <si>
    <t>王星</t>
    <phoneticPr fontId="6" type="noConversion"/>
  </si>
  <si>
    <t>潘家店（兴凯湖三、四期）</t>
    <phoneticPr fontId="6" type="noConversion"/>
  </si>
  <si>
    <t>2021.9.28</t>
    <phoneticPr fontId="6" type="noConversion"/>
  </si>
  <si>
    <t>中广核（赣州）新能源有限公司</t>
    <phoneticPr fontId="6" type="noConversion"/>
  </si>
  <si>
    <t>茅店</t>
    <phoneticPr fontId="6" type="noConversion"/>
  </si>
  <si>
    <t>到货款</t>
    <phoneticPr fontId="6" type="noConversion"/>
  </si>
  <si>
    <t>秦英飞</t>
    <phoneticPr fontId="6" type="noConversion"/>
  </si>
  <si>
    <t>新疆</t>
    <phoneticPr fontId="21" type="noConversion"/>
  </si>
  <si>
    <t>华电</t>
    <phoneticPr fontId="21" type="noConversion"/>
  </si>
  <si>
    <t>华电石城子光伏二电站</t>
    <phoneticPr fontId="21" type="noConversion"/>
  </si>
  <si>
    <t>光伏功率预测</t>
    <phoneticPr fontId="21" type="noConversion"/>
  </si>
  <si>
    <t>2021.10.9</t>
    <phoneticPr fontId="6" type="noConversion"/>
  </si>
  <si>
    <t>2021.10.11</t>
    <phoneticPr fontId="6" type="noConversion"/>
  </si>
  <si>
    <t>云霄汇海风电有限公司</t>
    <phoneticPr fontId="6" type="noConversion"/>
  </si>
  <si>
    <t>中核国电</t>
    <phoneticPr fontId="6" type="noConversion"/>
  </si>
  <si>
    <t>服务费</t>
    <phoneticPr fontId="6" type="noConversion"/>
  </si>
  <si>
    <t>秦英飞</t>
    <phoneticPr fontId="6" type="noConversion"/>
  </si>
  <si>
    <t>21011-4</t>
    <phoneticPr fontId="6" type="noConversion"/>
  </si>
  <si>
    <t>2021.10.21</t>
    <phoneticPr fontId="6" type="noConversion"/>
  </si>
  <si>
    <t>验收款</t>
    <phoneticPr fontId="6" type="noConversion"/>
  </si>
  <si>
    <t>马梦迪</t>
    <phoneticPr fontId="6" type="noConversion"/>
  </si>
  <si>
    <t>2021.10.22</t>
    <phoneticPr fontId="6" type="noConversion"/>
  </si>
  <si>
    <t>陕西光伏太阳能发电有限公司</t>
    <phoneticPr fontId="6" type="noConversion"/>
  </si>
  <si>
    <t>杨振坤</t>
    <phoneticPr fontId="6" type="noConversion"/>
  </si>
  <si>
    <t>2021.10.25</t>
    <phoneticPr fontId="6" type="noConversion"/>
  </si>
  <si>
    <t>2021.10.26</t>
    <phoneticPr fontId="6" type="noConversion"/>
  </si>
  <si>
    <t>约16.67%</t>
    <phoneticPr fontId="6" type="noConversion"/>
  </si>
  <si>
    <t>服务费</t>
    <phoneticPr fontId="6" type="noConversion"/>
  </si>
  <si>
    <t>吉林铧翊工程技术有限公司</t>
    <phoneticPr fontId="21" type="noConversion"/>
  </si>
  <si>
    <t>吉林</t>
    <phoneticPr fontId="21" type="noConversion"/>
  </si>
  <si>
    <t>国华</t>
    <phoneticPr fontId="21" type="noConversion"/>
  </si>
  <si>
    <t>双辽莲花山</t>
    <phoneticPr fontId="21" type="noConversion"/>
  </si>
  <si>
    <t>约62.66%</t>
    <phoneticPr fontId="6" type="noConversion"/>
  </si>
  <si>
    <t>到货款+部分验收款</t>
    <phoneticPr fontId="6" type="noConversion"/>
  </si>
  <si>
    <t>2021年10月26日收到一张承兑汇票25万元， 汇票出票日期为2021年5月25日。到期日期2021年12月21日</t>
    <phoneticPr fontId="11" type="noConversion"/>
  </si>
  <si>
    <t>2021.10.26</t>
    <phoneticPr fontId="6" type="noConversion"/>
  </si>
  <si>
    <t>大唐吉林风力发电股份有限公司</t>
    <phoneticPr fontId="6" type="noConversion"/>
  </si>
  <si>
    <t>北京四方继保工程技术有限公司保定分公司</t>
    <phoneticPr fontId="6" type="noConversion"/>
  </si>
  <si>
    <t>2021.10.27</t>
    <phoneticPr fontId="6" type="noConversion"/>
  </si>
  <si>
    <t>安达中广核太阳能科技有限公司</t>
    <phoneticPr fontId="6" type="noConversion"/>
  </si>
  <si>
    <t>2021.10.28</t>
    <phoneticPr fontId="6" type="noConversion"/>
  </si>
  <si>
    <t>保定四方继保工程技术有限公司</t>
    <phoneticPr fontId="6" type="noConversion"/>
  </si>
  <si>
    <t>2021.10.29</t>
    <phoneticPr fontId="6" type="noConversion"/>
  </si>
  <si>
    <t>京电能源工程集团有限公司</t>
    <phoneticPr fontId="6" type="noConversion"/>
  </si>
  <si>
    <t>剩余到货款+部分进度款</t>
    <phoneticPr fontId="6" type="noConversion"/>
  </si>
  <si>
    <t>郭文明</t>
    <phoneticPr fontId="6" type="noConversion"/>
  </si>
  <si>
    <t>王星</t>
    <phoneticPr fontId="6" type="noConversion"/>
  </si>
  <si>
    <t>约25.81%</t>
    <phoneticPr fontId="6" type="noConversion"/>
  </si>
  <si>
    <t>黑龙江</t>
    <phoneticPr fontId="21" type="noConversion"/>
  </si>
  <si>
    <t>博尔能源</t>
    <phoneticPr fontId="21" type="noConversion"/>
  </si>
  <si>
    <t>安达十八里畜牧场</t>
    <phoneticPr fontId="21" type="noConversion"/>
  </si>
  <si>
    <t>短期软件；超短期软件；系统硬件；光伏气象站；光伏气象站设备；预测服务2年</t>
    <phoneticPr fontId="21" type="noConversion"/>
  </si>
  <si>
    <t>安达十八里畜牧场</t>
  </si>
  <si>
    <t>黑龙江光伏电站电力安全二区综合通讯系统软件；系统硬件</t>
    <phoneticPr fontId="21" type="noConversion"/>
  </si>
  <si>
    <t>21125-1</t>
    <phoneticPr fontId="6" type="noConversion"/>
  </si>
  <si>
    <t>21125-2</t>
    <phoneticPr fontId="6" type="noConversion"/>
  </si>
  <si>
    <t>预付款</t>
    <phoneticPr fontId="6" type="noConversion"/>
  </si>
  <si>
    <t>马梦迪</t>
    <phoneticPr fontId="6" type="noConversion"/>
  </si>
  <si>
    <t>安达万宝山</t>
    <phoneticPr fontId="6" type="noConversion"/>
  </si>
  <si>
    <t>黑龙江光伏电站理论功率上传软件；系统硬件</t>
  </si>
  <si>
    <t>质保款</t>
    <phoneticPr fontId="6" type="noConversion"/>
  </si>
  <si>
    <t>预测服务6个月</t>
    <phoneticPr fontId="21" type="noConversion"/>
  </si>
  <si>
    <t>服务费</t>
    <phoneticPr fontId="6" type="noConversion"/>
  </si>
  <si>
    <t>2021.10.30</t>
    <phoneticPr fontId="6" type="noConversion"/>
  </si>
  <si>
    <t>短期软件；超短期软件；系统硬件；光伏气象站；光伏气象站设备</t>
    <phoneticPr fontId="6" type="noConversion"/>
  </si>
  <si>
    <t>马梦迪</t>
    <phoneticPr fontId="6" type="noConversion"/>
  </si>
  <si>
    <t>约15.63%</t>
    <phoneticPr fontId="6" type="noConversion"/>
  </si>
  <si>
    <t>约9.37%</t>
    <phoneticPr fontId="6" type="noConversion"/>
  </si>
  <si>
    <t>约27.47%</t>
    <phoneticPr fontId="6" type="noConversion"/>
  </si>
  <si>
    <t>约6.53%</t>
    <phoneticPr fontId="6" type="noConversion"/>
  </si>
  <si>
    <t>剩余验收款+质保款</t>
    <phoneticPr fontId="6" type="noConversion"/>
  </si>
  <si>
    <t>部分验收款</t>
    <phoneticPr fontId="6" type="noConversion"/>
  </si>
  <si>
    <t>2021年10月30日收到一张承兑汇票5万元， 汇票出票日期为2021年2月7日。到期日期2022年2月7日</t>
    <phoneticPr fontId="11" type="noConversion"/>
  </si>
  <si>
    <t>2021年10月26日收到一张承兑汇票25万元， 汇票出票日期为2021年6月23日。到期日期2021年12月23日</t>
    <phoneticPr fontId="11" type="noConversion"/>
  </si>
  <si>
    <t>2021.11.4</t>
    <phoneticPr fontId="6" type="noConversion"/>
  </si>
  <si>
    <t>大唐华银绥宁新能源有限公司</t>
    <phoneticPr fontId="6" type="noConversion"/>
  </si>
  <si>
    <t>湖南风电场理论功率上传软件</t>
    <phoneticPr fontId="6" type="noConversion"/>
  </si>
  <si>
    <t>质保款</t>
    <phoneticPr fontId="6" type="noConversion"/>
  </si>
  <si>
    <t>2021.11.5</t>
    <phoneticPr fontId="6" type="noConversion"/>
  </si>
  <si>
    <t>质保款</t>
    <phoneticPr fontId="6" type="noConversion"/>
  </si>
  <si>
    <t>黑龙江梨树风力发电有限公司</t>
    <phoneticPr fontId="6" type="noConversion"/>
  </si>
  <si>
    <t>服务费</t>
    <phoneticPr fontId="6" type="noConversion"/>
  </si>
  <si>
    <t>2021.11.12</t>
    <phoneticPr fontId="6" type="noConversion"/>
  </si>
  <si>
    <t>北京通源天达科技有限公司</t>
    <phoneticPr fontId="6" type="noConversion"/>
  </si>
  <si>
    <t>大唐</t>
    <phoneticPr fontId="21" type="noConversion"/>
  </si>
  <si>
    <t>吉成+望江</t>
    <phoneticPr fontId="21" type="noConversion"/>
  </si>
  <si>
    <t>风电场技术服务</t>
  </si>
  <si>
    <t>技术服务</t>
  </si>
  <si>
    <t>约61.86%</t>
    <phoneticPr fontId="6" type="noConversion"/>
  </si>
  <si>
    <t>合同款</t>
    <phoneticPr fontId="6" type="noConversion"/>
  </si>
  <si>
    <t>约38.14%</t>
    <phoneticPr fontId="6" type="noConversion"/>
  </si>
  <si>
    <t>李妍</t>
    <phoneticPr fontId="6" type="noConversion"/>
  </si>
  <si>
    <t>2021.11.17</t>
    <phoneticPr fontId="6" type="noConversion"/>
  </si>
  <si>
    <t>吉林中广核风力发电有限公司</t>
    <phoneticPr fontId="6" type="noConversion"/>
  </si>
  <si>
    <t>中广核</t>
    <phoneticPr fontId="21" type="noConversion"/>
  </si>
  <si>
    <t>大岗子</t>
    <phoneticPr fontId="21" type="noConversion"/>
  </si>
  <si>
    <t>预测服务1年</t>
    <phoneticPr fontId="21" type="noConversion"/>
  </si>
  <si>
    <t>服务费</t>
    <phoneticPr fontId="6" type="noConversion"/>
  </si>
  <si>
    <t>王星</t>
    <phoneticPr fontId="6" type="noConversion"/>
  </si>
  <si>
    <t>2021.11.19</t>
    <phoneticPr fontId="6" type="noConversion"/>
  </si>
  <si>
    <t>绥化远大电力建设集团有限责任公司</t>
    <phoneticPr fontId="6" type="noConversion"/>
  </si>
  <si>
    <t>2021.11.22</t>
    <phoneticPr fontId="6" type="noConversion"/>
  </si>
  <si>
    <t>风电场技术服务</t>
    <phoneticPr fontId="21" type="noConversion"/>
  </si>
  <si>
    <t>合同款</t>
    <phoneticPr fontId="6" type="noConversion"/>
  </si>
  <si>
    <t>秦英飞</t>
    <phoneticPr fontId="6" type="noConversion"/>
  </si>
  <si>
    <t>齐齐哈尔祥鹤</t>
    <phoneticPr fontId="6" type="noConversion"/>
  </si>
  <si>
    <t>质保款</t>
    <phoneticPr fontId="6" type="noConversion"/>
  </si>
  <si>
    <t>腾字</t>
    <phoneticPr fontId="21" type="noConversion"/>
  </si>
  <si>
    <t>软件升级（换linux系统）；系统硬件</t>
    <phoneticPr fontId="21" type="noConversion"/>
  </si>
  <si>
    <t>验收款</t>
    <phoneticPr fontId="6" type="noConversion"/>
  </si>
  <si>
    <t>2021.11.22</t>
    <phoneticPr fontId="6" type="noConversion"/>
  </si>
  <si>
    <t>安达中广核新能源有限公司</t>
    <phoneticPr fontId="6" type="noConversion"/>
  </si>
  <si>
    <t>安达农义</t>
    <phoneticPr fontId="6" type="noConversion"/>
  </si>
  <si>
    <t>质保款</t>
    <phoneticPr fontId="6" type="noConversion"/>
  </si>
  <si>
    <t>2021.11.24</t>
    <phoneticPr fontId="6" type="noConversion"/>
  </si>
  <si>
    <t>2021.11.25</t>
    <phoneticPr fontId="6" type="noConversion"/>
  </si>
  <si>
    <t>华能同江风力发电有限公司</t>
    <phoneticPr fontId="6" type="noConversion"/>
  </si>
  <si>
    <t>大唐华银（湖南）新能源有限公司</t>
    <phoneticPr fontId="6" type="noConversion"/>
  </si>
  <si>
    <t>质保款</t>
    <phoneticPr fontId="6" type="noConversion"/>
  </si>
  <si>
    <t>服务费</t>
    <phoneticPr fontId="6" type="noConversion"/>
  </si>
  <si>
    <t>郭文明</t>
    <phoneticPr fontId="6" type="noConversion"/>
  </si>
  <si>
    <t>李妍</t>
    <phoneticPr fontId="6" type="noConversion"/>
  </si>
  <si>
    <t>设备款</t>
    <phoneticPr fontId="6" type="noConversion"/>
  </si>
  <si>
    <t>秦英飞</t>
    <phoneticPr fontId="6" type="noConversion"/>
  </si>
  <si>
    <t>2021.11.26</t>
    <phoneticPr fontId="6" type="noConversion"/>
  </si>
  <si>
    <t>镇赉华兴风力发电有限公司</t>
    <phoneticPr fontId="6" type="noConversion"/>
  </si>
  <si>
    <t>合同款</t>
    <phoneticPr fontId="6" type="noConversion"/>
  </si>
  <si>
    <t>王星</t>
    <phoneticPr fontId="6" type="noConversion"/>
  </si>
  <si>
    <t>2021.11.29</t>
    <phoneticPr fontId="6" type="noConversion"/>
  </si>
  <si>
    <t>七台河丰润风力发电有限公司汤原分公司</t>
    <phoneticPr fontId="6" type="noConversion"/>
  </si>
  <si>
    <t>验收款</t>
    <phoneticPr fontId="6" type="noConversion"/>
  </si>
  <si>
    <t>秦英飞</t>
    <phoneticPr fontId="6" type="noConversion"/>
  </si>
  <si>
    <t>质保款</t>
    <phoneticPr fontId="6" type="noConversion"/>
  </si>
  <si>
    <t>服务费</t>
    <phoneticPr fontId="6" type="noConversion"/>
  </si>
  <si>
    <t>2021.11.29</t>
    <phoneticPr fontId="6" type="noConversion"/>
  </si>
  <si>
    <t>2021.11.30</t>
    <phoneticPr fontId="6" type="noConversion"/>
  </si>
  <si>
    <t>华能湖南江口风电有限责任公司</t>
    <phoneticPr fontId="6" type="noConversion"/>
  </si>
  <si>
    <t>大庆绿源风力发电有限公司</t>
    <phoneticPr fontId="6" type="noConversion"/>
  </si>
  <si>
    <t>黑龙江省新产业投资集团龙江清洁能源有限公司</t>
    <phoneticPr fontId="6" type="noConversion"/>
  </si>
  <si>
    <t>2021.11.30</t>
    <phoneticPr fontId="6" type="noConversion"/>
  </si>
  <si>
    <t>21126-1</t>
    <phoneticPr fontId="6" type="noConversion"/>
  </si>
  <si>
    <t>21126-2</t>
    <phoneticPr fontId="6" type="noConversion"/>
  </si>
  <si>
    <t>龙源</t>
    <phoneticPr fontId="21" type="noConversion"/>
  </si>
  <si>
    <t>公心集</t>
    <phoneticPr fontId="21" type="noConversion"/>
  </si>
  <si>
    <t>风电功率预测</t>
    <phoneticPr fontId="21" type="noConversion"/>
  </si>
  <si>
    <t>约28.61%</t>
    <phoneticPr fontId="6" type="noConversion"/>
  </si>
  <si>
    <t>预付款</t>
    <phoneticPr fontId="6" type="noConversion"/>
  </si>
  <si>
    <t>约25.67%</t>
    <phoneticPr fontId="6" type="noConversion"/>
  </si>
  <si>
    <t>剩余预付款+部分发觉货款</t>
    <phoneticPr fontId="6" type="noConversion"/>
  </si>
  <si>
    <t>剩余发货款</t>
    <phoneticPr fontId="6" type="noConversion"/>
  </si>
  <si>
    <t>约5.72%</t>
    <phoneticPr fontId="6" type="noConversion"/>
  </si>
  <si>
    <t>马梦迪</t>
    <phoneticPr fontId="6" type="noConversion"/>
  </si>
  <si>
    <t>黑龙江风电场电力安全二区综合通讯系统软件；系统硬件</t>
    <phoneticPr fontId="21" type="noConversion"/>
  </si>
  <si>
    <t>预付款+发货款</t>
    <phoneticPr fontId="6" type="noConversion"/>
  </si>
  <si>
    <t>湖南</t>
  </si>
  <si>
    <t>江口</t>
  </si>
  <si>
    <t>短期软件；超短期软件；系统硬件；测风塔；测风塔设备；预测服务2年</t>
    <phoneticPr fontId="21" type="noConversion"/>
  </si>
  <si>
    <t>到货款</t>
    <phoneticPr fontId="6" type="noConversion"/>
  </si>
  <si>
    <t>秦英飞</t>
    <phoneticPr fontId="6" type="noConversion"/>
  </si>
  <si>
    <t>21015-1</t>
    <phoneticPr fontId="6" type="noConversion"/>
  </si>
  <si>
    <t>21015-2</t>
    <phoneticPr fontId="6" type="noConversion"/>
  </si>
  <si>
    <t>服务费</t>
    <phoneticPr fontId="6" type="noConversion"/>
  </si>
  <si>
    <t>郭文明</t>
    <phoneticPr fontId="6" type="noConversion"/>
  </si>
  <si>
    <t>李妍</t>
    <phoneticPr fontId="6" type="noConversion"/>
  </si>
  <si>
    <t>其他</t>
    <phoneticPr fontId="21" type="noConversion"/>
  </si>
  <si>
    <t>兰西</t>
    <phoneticPr fontId="21" type="noConversion"/>
  </si>
  <si>
    <t>光伏气象站设备</t>
    <phoneticPr fontId="21" type="noConversion"/>
  </si>
  <si>
    <t>验收款</t>
    <phoneticPr fontId="6" type="noConversion"/>
  </si>
  <si>
    <t>2021年11月30日收到一张承兑汇票10万元， 汇票出票日期为2021年11月19日。到期日期2022年6月20日</t>
    <phoneticPr fontId="11" type="noConversion"/>
  </si>
  <si>
    <t>2021年11月30日收到一张承兑汇票5万元， 汇票出票日期为2021年11月19日。到期日期2022年6月20日。分2个项目，合同21126-1为2.228万元，合同21126-2为2.772万元</t>
    <phoneticPr fontId="11" type="noConversion"/>
  </si>
  <si>
    <t>2021.12.1</t>
    <phoneticPr fontId="6" type="noConversion"/>
  </si>
  <si>
    <t>2021.12.3</t>
    <phoneticPr fontId="6" type="noConversion"/>
  </si>
  <si>
    <t>南京南瑞继保工程技术有限公司</t>
    <phoneticPr fontId="6" type="noConversion"/>
  </si>
  <si>
    <t>双鸭山老平岗风力发电有限公司</t>
    <phoneticPr fontId="6" type="noConversion"/>
  </si>
  <si>
    <t>服务费</t>
    <phoneticPr fontId="6" type="noConversion"/>
  </si>
  <si>
    <t>韩志宇</t>
    <phoneticPr fontId="6" type="noConversion"/>
  </si>
  <si>
    <t>郭文明</t>
    <phoneticPr fontId="6" type="noConversion"/>
  </si>
  <si>
    <t>质保款</t>
    <phoneticPr fontId="6" type="noConversion"/>
  </si>
  <si>
    <t>2021.12.6</t>
    <phoneticPr fontId="6" type="noConversion"/>
  </si>
  <si>
    <t>大庆银浪风力发电有限公司</t>
    <phoneticPr fontId="6" type="noConversion"/>
  </si>
  <si>
    <t>2021.12.7</t>
    <phoneticPr fontId="6" type="noConversion"/>
  </si>
  <si>
    <t>2021.12.9</t>
    <phoneticPr fontId="6" type="noConversion"/>
  </si>
  <si>
    <t>2021.12.10</t>
    <phoneticPr fontId="6" type="noConversion"/>
  </si>
  <si>
    <t>大安润风能源开发有限公司</t>
    <phoneticPr fontId="6" type="noConversion"/>
  </si>
  <si>
    <t>2021.11.2</t>
    <phoneticPr fontId="6" type="noConversion"/>
  </si>
  <si>
    <t>大庆银浪</t>
    <phoneticPr fontId="6" type="noConversion"/>
  </si>
  <si>
    <t>黑龙江风电场理论功率上传软件；系统硬件</t>
  </si>
  <si>
    <t>大庆宏伟</t>
    <phoneticPr fontId="6" type="noConversion"/>
  </si>
  <si>
    <t>光伏AGC软件；光伏AVC软件；系统硬件</t>
    <phoneticPr fontId="6" type="noConversion"/>
  </si>
  <si>
    <t>大唐大庆东辉新能源有限公司</t>
    <phoneticPr fontId="6" type="noConversion"/>
  </si>
  <si>
    <t>2021.12.13</t>
    <phoneticPr fontId="6" type="noConversion"/>
  </si>
  <si>
    <t>2021.12.14</t>
    <phoneticPr fontId="6" type="noConversion"/>
  </si>
  <si>
    <t>国电霞浦延亭风力发电有限公司</t>
    <phoneticPr fontId="6" type="noConversion"/>
  </si>
  <si>
    <t>约23.39%</t>
    <phoneticPr fontId="6" type="noConversion"/>
  </si>
  <si>
    <t>进度款</t>
    <phoneticPr fontId="6" type="noConversion"/>
  </si>
  <si>
    <t>郭文明</t>
    <phoneticPr fontId="6" type="noConversion"/>
  </si>
  <si>
    <t>王星</t>
    <phoneticPr fontId="6" type="noConversion"/>
  </si>
  <si>
    <t>测风塔维护；技术服务（上传10天预测文件程序修改）</t>
    <phoneticPr fontId="6" type="noConversion"/>
  </si>
  <si>
    <t>2021.12.15</t>
    <phoneticPr fontId="6" type="noConversion"/>
  </si>
  <si>
    <t>2021.12.15</t>
    <phoneticPr fontId="6" type="noConversion"/>
  </si>
  <si>
    <t>验收款</t>
    <phoneticPr fontId="6" type="noConversion"/>
  </si>
  <si>
    <t>服务费</t>
    <phoneticPr fontId="6" type="noConversion"/>
  </si>
  <si>
    <t>王星</t>
    <phoneticPr fontId="6" type="noConversion"/>
  </si>
  <si>
    <t>2021.12.17</t>
    <phoneticPr fontId="6" type="noConversion"/>
  </si>
  <si>
    <t>2021.12.20</t>
    <phoneticPr fontId="6" type="noConversion"/>
  </si>
  <si>
    <t>五凌汝城电力有限公司</t>
    <phoneticPr fontId="6" type="noConversion"/>
  </si>
  <si>
    <t>扶余市富汇风能有限公司</t>
    <phoneticPr fontId="6" type="noConversion"/>
  </si>
  <si>
    <t>黑龙江龙源新能源发展有限公司依兰分公司</t>
    <phoneticPr fontId="6" type="noConversion"/>
  </si>
  <si>
    <t>2021.12.21</t>
    <phoneticPr fontId="6" type="noConversion"/>
  </si>
  <si>
    <t>七台河宏浩风力发电有限公司</t>
    <phoneticPr fontId="6" type="noConversion"/>
  </si>
  <si>
    <t>2021.12.22</t>
    <phoneticPr fontId="6" type="noConversion"/>
  </si>
  <si>
    <t>安达市同科新能源有限公司</t>
    <phoneticPr fontId="6" type="noConversion"/>
  </si>
  <si>
    <t>2021.12.23</t>
    <phoneticPr fontId="6" type="noConversion"/>
  </si>
  <si>
    <t>北京金风慧能技术有限公司</t>
    <phoneticPr fontId="6" type="noConversion"/>
  </si>
  <si>
    <t>福建</t>
    <phoneticPr fontId="21" type="noConversion"/>
  </si>
  <si>
    <t>宁德虎贝</t>
    <phoneticPr fontId="21" type="noConversion"/>
  </si>
  <si>
    <t>21141-1</t>
    <phoneticPr fontId="6" type="noConversion"/>
  </si>
  <si>
    <t>21141-2</t>
    <phoneticPr fontId="6" type="noConversion"/>
  </si>
  <si>
    <t>山西</t>
    <phoneticPr fontId="21" type="noConversion"/>
  </si>
  <si>
    <t>国电投</t>
    <phoneticPr fontId="21" type="noConversion"/>
  </si>
  <si>
    <t>帅家岩</t>
    <phoneticPr fontId="21" type="noConversion"/>
  </si>
  <si>
    <t>短期软件；超短期软件；系统硬件；技术服务</t>
    <phoneticPr fontId="21" type="noConversion"/>
  </si>
  <si>
    <t>广西</t>
    <phoneticPr fontId="21" type="noConversion"/>
  </si>
  <si>
    <t>月亮山</t>
    <phoneticPr fontId="21" type="noConversion"/>
  </si>
  <si>
    <t>约26.32%</t>
    <phoneticPr fontId="6" type="noConversion"/>
  </si>
  <si>
    <t>20060-1</t>
    <phoneticPr fontId="6" type="noConversion"/>
  </si>
  <si>
    <t>20060-2</t>
  </si>
  <si>
    <t>郭文明
李妍</t>
    <phoneticPr fontId="6" type="noConversion"/>
  </si>
  <si>
    <t>三一重能股份有限公司</t>
    <phoneticPr fontId="6" type="noConversion"/>
  </si>
  <si>
    <t>2021.12.23日收到三一重能金票39.425万元。到期日期2022年6月22日。</t>
    <phoneticPr fontId="6" type="noConversion"/>
  </si>
  <si>
    <t>湖北</t>
  </si>
  <si>
    <t>百里荒（二期）</t>
    <phoneticPr fontId="6" type="noConversion"/>
  </si>
  <si>
    <t>建模扩容；系统硬件；预测服务5年</t>
    <phoneticPr fontId="6" type="noConversion"/>
  </si>
  <si>
    <t>2021.12.24</t>
    <phoneticPr fontId="6" type="noConversion"/>
  </si>
  <si>
    <t>国家电投集团广西兴安风电有限公司</t>
    <phoneticPr fontId="6" type="noConversion"/>
  </si>
  <si>
    <t>新疆华电苦水风电有限责任公司</t>
    <phoneticPr fontId="6" type="noConversion"/>
  </si>
  <si>
    <t>新疆华电淖毛湖风电有限责任公司</t>
    <phoneticPr fontId="6" type="noConversion"/>
  </si>
  <si>
    <t>疆华电苦水风电有限责任公司</t>
    <phoneticPr fontId="6" type="noConversion"/>
  </si>
  <si>
    <t>中长期软件；预测服务1年</t>
    <phoneticPr fontId="6" type="noConversion"/>
  </si>
  <si>
    <t>服务费</t>
    <phoneticPr fontId="6" type="noConversion"/>
  </si>
  <si>
    <t>巴里坤东方民生新能源有限公司</t>
    <phoneticPr fontId="6" type="noConversion"/>
  </si>
  <si>
    <t>国家电投集团广西金紫山风电有限公司</t>
    <phoneticPr fontId="6" type="noConversion"/>
  </si>
  <si>
    <t>伊吾东方民生新能源有限公司</t>
    <phoneticPr fontId="6" type="noConversion"/>
  </si>
  <si>
    <t>哈密市东方民生太阳能源开发有限公司</t>
    <phoneticPr fontId="6" type="noConversion"/>
  </si>
  <si>
    <t>2021.12.25</t>
    <phoneticPr fontId="6" type="noConversion"/>
  </si>
  <si>
    <t>三井子</t>
    <phoneticPr fontId="21" type="noConversion"/>
  </si>
  <si>
    <t>青岛特锐德电气股份有限公司</t>
    <phoneticPr fontId="21" type="noConversion"/>
  </si>
  <si>
    <t>卧里屯</t>
    <phoneticPr fontId="21" type="noConversion"/>
  </si>
  <si>
    <r>
      <t>2</t>
    </r>
    <r>
      <rPr>
        <sz val="9"/>
        <color indexed="8"/>
        <rFont val="宋体"/>
        <family val="3"/>
        <charset val="134"/>
      </rPr>
      <t>1127-1</t>
    </r>
    <phoneticPr fontId="6" type="noConversion"/>
  </si>
  <si>
    <r>
      <t>2</t>
    </r>
    <r>
      <rPr>
        <sz val="9"/>
        <color indexed="8"/>
        <rFont val="宋体"/>
        <family val="3"/>
        <charset val="134"/>
      </rPr>
      <t>1127-2</t>
    </r>
    <r>
      <rPr>
        <sz val="11"/>
        <color theme="1"/>
        <rFont val="宋体"/>
        <family val="2"/>
        <scheme val="minor"/>
      </rPr>
      <t/>
    </r>
  </si>
  <si>
    <t>2021年12月25日收到一张承兑汇票21.3万元， 汇票出票日期为2021年12月23日。到期日期2022年6月23日。分2个项目，合同21127-1为19.62万元，合同21127-2为1.68万元</t>
    <phoneticPr fontId="11" type="noConversion"/>
  </si>
  <si>
    <t>2021.12.27</t>
    <phoneticPr fontId="6" type="noConversion"/>
  </si>
  <si>
    <t>2021.12.28</t>
    <phoneticPr fontId="6" type="noConversion"/>
  </si>
  <si>
    <t>新疆华电十三间房风电有限责任公司</t>
    <phoneticPr fontId="21" type="noConversion"/>
  </si>
  <si>
    <t>哈密力诺太阳能电力有限公司</t>
    <phoneticPr fontId="21" type="noConversion"/>
  </si>
  <si>
    <t>吉林大安新唐发电有限公司</t>
    <phoneticPr fontId="21" type="noConversion"/>
  </si>
  <si>
    <t>山西华仁通电力科技有限公司</t>
    <phoneticPr fontId="21" type="noConversion"/>
  </si>
  <si>
    <t>新疆浦类海能源发展有限公司</t>
    <phoneticPr fontId="21" type="noConversion"/>
  </si>
  <si>
    <t>三峡新能源富裕风电有限公司</t>
    <phoneticPr fontId="21" type="noConversion"/>
  </si>
  <si>
    <t>龙江杏山风力发电有限公司</t>
    <phoneticPr fontId="21" type="noConversion"/>
  </si>
  <si>
    <t>华电嘉利一场</t>
    <phoneticPr fontId="6" type="noConversion"/>
  </si>
  <si>
    <t>21042-1</t>
    <phoneticPr fontId="6" type="noConversion"/>
  </si>
  <si>
    <t>21042-2</t>
  </si>
  <si>
    <t>向阳二期</t>
    <phoneticPr fontId="21" type="noConversion"/>
  </si>
  <si>
    <t>场站视频监控</t>
  </si>
  <si>
    <t>场站视频监控；升压站电子围栏</t>
    <phoneticPr fontId="21" type="noConversion"/>
  </si>
  <si>
    <t>2021.12.30</t>
    <phoneticPr fontId="6" type="noConversion"/>
  </si>
  <si>
    <t>陕西光伏太阳能发电有限公司</t>
    <phoneticPr fontId="21" type="noConversion"/>
  </si>
  <si>
    <t>龙源(农安)风力发电有限公司</t>
    <phoneticPr fontId="21" type="noConversion"/>
  </si>
  <si>
    <t>中国电建集团福建省电力勘测设计院有限公司</t>
    <phoneticPr fontId="21" type="noConversion"/>
  </si>
  <si>
    <t>2021.12.31</t>
    <phoneticPr fontId="6" type="noConversion"/>
  </si>
  <si>
    <t>服务费</t>
    <phoneticPr fontId="6" type="noConversion"/>
  </si>
  <si>
    <t>杨振坤</t>
    <phoneticPr fontId="6" type="noConversion"/>
  </si>
  <si>
    <t>李妍</t>
    <phoneticPr fontId="6" type="noConversion"/>
  </si>
  <si>
    <t>约34.89%</t>
    <phoneticPr fontId="6" type="noConversion"/>
  </si>
  <si>
    <t>合同款</t>
    <phoneticPr fontId="6" type="noConversion"/>
  </si>
  <si>
    <t>郭文明</t>
    <phoneticPr fontId="6" type="noConversion"/>
  </si>
  <si>
    <t>王星</t>
    <phoneticPr fontId="6" type="noConversion"/>
  </si>
  <si>
    <t>验收款</t>
    <phoneticPr fontId="6" type="noConversion"/>
  </si>
  <si>
    <t>陕西</t>
    <phoneticPr fontId="21" type="noConversion"/>
  </si>
  <si>
    <t>陕光伏</t>
    <phoneticPr fontId="21" type="noConversion"/>
  </si>
  <si>
    <t>上欠井</t>
    <phoneticPr fontId="21" type="noConversion"/>
  </si>
  <si>
    <t>合同款</t>
    <phoneticPr fontId="6" type="noConversion"/>
  </si>
  <si>
    <t>李妍</t>
    <phoneticPr fontId="6" type="noConversion"/>
  </si>
  <si>
    <t>2022年销售合同回款登记台账</t>
    <phoneticPr fontId="11" type="noConversion"/>
  </si>
  <si>
    <t>2022年合计</t>
    <phoneticPr fontId="11" type="noConversion"/>
  </si>
  <si>
    <t>2022.1.17</t>
    <phoneticPr fontId="6" type="noConversion"/>
  </si>
  <si>
    <t>大唐桦川风力发电有限公司集贤分公司</t>
    <phoneticPr fontId="21" type="noConversion"/>
  </si>
  <si>
    <t>龙源玉林风力发电有限公司</t>
    <phoneticPr fontId="21" type="noConversion"/>
  </si>
  <si>
    <t>2022.1.18</t>
    <phoneticPr fontId="6" type="noConversion"/>
  </si>
  <si>
    <t>国华（齐齐哈尔）风电有限公司</t>
    <phoneticPr fontId="21" type="noConversion"/>
  </si>
  <si>
    <t>宝鸡国源安华新能源开发有限公司</t>
    <phoneticPr fontId="21" type="noConversion"/>
  </si>
  <si>
    <t>21150-4</t>
    <phoneticPr fontId="6" type="noConversion"/>
  </si>
  <si>
    <t>验收款</t>
    <phoneticPr fontId="6" type="noConversion"/>
  </si>
  <si>
    <t>李妍</t>
    <phoneticPr fontId="6" type="noConversion"/>
  </si>
  <si>
    <t>四方岭</t>
    <phoneticPr fontId="21" type="noConversion"/>
  </si>
  <si>
    <t>服务费</t>
    <phoneticPr fontId="6" type="noConversion"/>
  </si>
  <si>
    <t>秦英飞</t>
    <phoneticPr fontId="6" type="noConversion"/>
  </si>
  <si>
    <t>秦应飞</t>
    <phoneticPr fontId="6" type="noConversion"/>
  </si>
  <si>
    <t>富裕三期</t>
    <phoneticPr fontId="6" type="noConversion"/>
  </si>
  <si>
    <t>质保款</t>
    <phoneticPr fontId="6" type="noConversion"/>
  </si>
  <si>
    <t>陈慧群</t>
    <phoneticPr fontId="6" type="noConversion"/>
  </si>
  <si>
    <t>马梦迪</t>
    <phoneticPr fontId="6" type="noConversion"/>
  </si>
  <si>
    <t>电力通讯；    风电功率预测</t>
    <phoneticPr fontId="6" type="noConversion"/>
  </si>
  <si>
    <t>黑龙江风电场综合通讯管理系统软件；系统硬件；测风塔设备</t>
    <phoneticPr fontId="6" type="noConversion"/>
  </si>
  <si>
    <t>中铁十二局</t>
    <phoneticPr fontId="21" type="noConversion"/>
  </si>
  <si>
    <t>软件升级（预测上传10天）</t>
    <phoneticPr fontId="6" type="noConversion"/>
  </si>
  <si>
    <t>合同款</t>
    <phoneticPr fontId="6" type="noConversion"/>
  </si>
  <si>
    <t>2022.1.20</t>
    <phoneticPr fontId="6" type="noConversion"/>
  </si>
  <si>
    <t>吉林省加禧电力工程技术有限公司</t>
    <phoneticPr fontId="21" type="noConversion"/>
  </si>
  <si>
    <t>2022.1.21</t>
    <phoneticPr fontId="6" type="noConversion"/>
  </si>
  <si>
    <t>中国大唐集团财务有限公司</t>
    <phoneticPr fontId="21" type="noConversion"/>
  </si>
  <si>
    <t>光伏功率预测；  光伏AGC/AVC</t>
    <phoneticPr fontId="6" type="noConversion"/>
  </si>
  <si>
    <t>短期软件；超短期软件；系统硬件；光伏气象站；光伏气象站设备；预测服务1年；光伏AGC软件；光伏AVC软件；系统硬件</t>
    <phoneticPr fontId="6" type="noConversion"/>
  </si>
  <si>
    <t>验收款+质保款</t>
    <phoneticPr fontId="6" type="noConversion"/>
  </si>
  <si>
    <t>系统硬件</t>
    <phoneticPr fontId="21" type="noConversion"/>
  </si>
  <si>
    <t>场站信息管理系统</t>
    <phoneticPr fontId="6" type="noConversion"/>
  </si>
  <si>
    <t>SIS系统硬件</t>
    <phoneticPr fontId="21" type="noConversion"/>
  </si>
  <si>
    <t>21151-1</t>
    <phoneticPr fontId="6" type="noConversion"/>
  </si>
  <si>
    <t>21151-2</t>
    <phoneticPr fontId="6" type="noConversion"/>
  </si>
  <si>
    <t>验收款</t>
    <phoneticPr fontId="6" type="noConversion"/>
  </si>
  <si>
    <t>李妍</t>
    <phoneticPr fontId="21" type="noConversion"/>
  </si>
  <si>
    <t>2022.1.21</t>
    <phoneticPr fontId="6" type="noConversion"/>
  </si>
  <si>
    <t>上海电气风电设备东台有限公司</t>
    <phoneticPr fontId="21" type="noConversion"/>
  </si>
  <si>
    <t>宾县协合风力发电有限公司</t>
    <phoneticPr fontId="21" type="noConversion"/>
  </si>
  <si>
    <t>2022.1.24</t>
    <phoneticPr fontId="6" type="noConversion"/>
  </si>
  <si>
    <t>大唐绥滨新能源有限公司</t>
    <phoneticPr fontId="21" type="noConversion"/>
  </si>
  <si>
    <t>大唐桦川风力发电有限公司桦南分公司</t>
    <phoneticPr fontId="21" type="noConversion"/>
  </si>
  <si>
    <t>中电建宁夏工程有限公司</t>
    <phoneticPr fontId="21" type="noConversion"/>
  </si>
  <si>
    <t>验收款</t>
    <phoneticPr fontId="6" type="noConversion"/>
  </si>
  <si>
    <t>马梦迪</t>
    <phoneticPr fontId="6" type="noConversion"/>
  </si>
  <si>
    <t>大唐桦川风力发电有限公司</t>
    <phoneticPr fontId="21" type="noConversion"/>
  </si>
  <si>
    <t>质保款</t>
    <phoneticPr fontId="6" type="noConversion"/>
  </si>
  <si>
    <t>杨振坤</t>
    <phoneticPr fontId="6" type="noConversion"/>
  </si>
  <si>
    <t>李妍</t>
    <phoneticPr fontId="6" type="noConversion"/>
  </si>
  <si>
    <t>大唐海林风力发电有限公司</t>
    <phoneticPr fontId="21" type="noConversion"/>
  </si>
  <si>
    <r>
      <t>21011-4</t>
    </r>
    <r>
      <rPr>
        <sz val="11"/>
        <color indexed="8"/>
        <rFont val="宋体"/>
        <family val="3"/>
        <charset val="134"/>
      </rPr>
      <t/>
    </r>
  </si>
  <si>
    <t>约13.49%</t>
    <phoneticPr fontId="6" type="noConversion"/>
  </si>
  <si>
    <t>服务费</t>
    <phoneticPr fontId="6" type="noConversion"/>
  </si>
  <si>
    <t>李妍</t>
    <phoneticPr fontId="6" type="noConversion"/>
  </si>
  <si>
    <r>
      <t>2</t>
    </r>
    <r>
      <rPr>
        <sz val="9"/>
        <color indexed="8"/>
        <rFont val="宋体"/>
        <family val="3"/>
        <charset val="134"/>
      </rPr>
      <t>1151-3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</si>
  <si>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1151-4</t>
    </r>
    <r>
      <rPr>
        <sz val="11"/>
        <color theme="1"/>
        <rFont val="宋体"/>
        <family val="2"/>
        <scheme val="minor"/>
      </rPr>
      <t/>
    </r>
  </si>
  <si>
    <t>SIS系统硬件</t>
  </si>
  <si>
    <t>21151-5</t>
    <phoneticPr fontId="6" type="noConversion"/>
  </si>
  <si>
    <t>东升</t>
    <phoneticPr fontId="21" type="noConversion"/>
  </si>
  <si>
    <r>
      <t>21011-3</t>
    </r>
    <r>
      <rPr>
        <sz val="11"/>
        <color indexed="8"/>
        <rFont val="宋体"/>
        <family val="3"/>
        <charset val="134"/>
      </rPr>
      <t/>
    </r>
  </si>
  <si>
    <r>
      <t>2</t>
    </r>
    <r>
      <rPr>
        <sz val="9"/>
        <color indexed="8"/>
        <rFont val="宋体"/>
        <family val="3"/>
        <charset val="134"/>
      </rPr>
      <t>1150-3</t>
    </r>
    <r>
      <rPr>
        <sz val="11"/>
        <color theme="1"/>
        <rFont val="宋体"/>
        <family val="2"/>
        <scheme val="minor"/>
      </rPr>
      <t/>
    </r>
  </si>
  <si>
    <t>服务费</t>
    <phoneticPr fontId="6" type="noConversion"/>
  </si>
  <si>
    <t>验收款</t>
    <phoneticPr fontId="6" type="noConversion"/>
  </si>
  <si>
    <r>
      <t>21011-5</t>
    </r>
    <r>
      <rPr>
        <sz val="11"/>
        <color indexed="8"/>
        <rFont val="宋体"/>
        <family val="3"/>
        <charset val="134"/>
      </rPr>
      <t/>
    </r>
  </si>
  <si>
    <r>
      <t>2</t>
    </r>
    <r>
      <rPr>
        <sz val="9"/>
        <color indexed="8"/>
        <rFont val="宋体"/>
        <family val="3"/>
        <charset val="134"/>
      </rPr>
      <t>1150-5</t>
    </r>
    <r>
      <rPr>
        <sz val="11"/>
        <color theme="1"/>
        <rFont val="宋体"/>
        <family val="2"/>
        <scheme val="minor"/>
      </rPr>
      <t/>
    </r>
  </si>
  <si>
    <r>
      <t>21011-6</t>
    </r>
    <r>
      <rPr>
        <sz val="11"/>
        <color indexed="8"/>
        <rFont val="宋体"/>
        <family val="3"/>
        <charset val="134"/>
      </rPr>
      <t/>
    </r>
  </si>
  <si>
    <r>
      <t>2</t>
    </r>
    <r>
      <rPr>
        <sz val="9"/>
        <color indexed="8"/>
        <rFont val="宋体"/>
        <family val="3"/>
        <charset val="134"/>
      </rPr>
      <t>1150-6</t>
    </r>
    <r>
      <rPr>
        <sz val="11"/>
        <color theme="1"/>
        <rFont val="宋体"/>
        <family val="2"/>
        <scheme val="minor"/>
      </rPr>
      <t/>
    </r>
  </si>
  <si>
    <t>技术服务（反隔升级）</t>
    <phoneticPr fontId="21" type="noConversion"/>
  </si>
  <si>
    <t>21150-8</t>
    <phoneticPr fontId="6" type="noConversion"/>
  </si>
  <si>
    <t>2022.1.26</t>
    <phoneticPr fontId="6" type="noConversion"/>
  </si>
  <si>
    <t>华能湖南江口风电有限责任公司</t>
    <phoneticPr fontId="21" type="noConversion"/>
  </si>
  <si>
    <t>黑龙江梨树风力发电有限公司</t>
    <phoneticPr fontId="21" type="noConversion"/>
  </si>
  <si>
    <t>验收款</t>
    <phoneticPr fontId="6" type="noConversion"/>
  </si>
  <si>
    <t>秦英飞</t>
    <phoneticPr fontId="6" type="noConversion"/>
  </si>
  <si>
    <t>华仪</t>
    <phoneticPr fontId="21" type="noConversion"/>
  </si>
  <si>
    <t>平岗</t>
    <phoneticPr fontId="21" type="noConversion"/>
  </si>
  <si>
    <t>服务费</t>
    <phoneticPr fontId="6" type="noConversion"/>
  </si>
  <si>
    <t>马梦迪</t>
    <phoneticPr fontId="6" type="noConversion"/>
  </si>
  <si>
    <t>2022.1.28</t>
    <phoneticPr fontId="6" type="noConversion"/>
  </si>
  <si>
    <t>华锐风电科技（集团）股份有限公司</t>
    <phoneticPr fontId="6" type="noConversion"/>
  </si>
  <si>
    <t>风机视频监控系统</t>
    <phoneticPr fontId="6" type="noConversion"/>
  </si>
  <si>
    <t>18168-1</t>
  </si>
  <si>
    <t>18168-2</t>
  </si>
  <si>
    <t>18168-3</t>
  </si>
  <si>
    <t>到货款+进度款</t>
    <phoneticPr fontId="6" type="noConversion"/>
  </si>
  <si>
    <t>李妍</t>
    <phoneticPr fontId="6" type="noConversion"/>
  </si>
  <si>
    <t>18141-20012</t>
    <phoneticPr fontId="6" type="noConversion"/>
  </si>
  <si>
    <t>运行款</t>
    <phoneticPr fontId="6" type="noConversion"/>
  </si>
  <si>
    <t>合同款</t>
    <phoneticPr fontId="6" type="noConversion"/>
  </si>
  <si>
    <t>2022年1月28日收到一张承兑汇票143.20755万元， 汇票出票日期为2022年1月27日。到期日期2022年7月27日。分3个项目，合同18168-1为50.88861万元，合同18168-2为21.47967万元，合同18168-3为70.83927万元</t>
    <phoneticPr fontId="11" type="noConversion"/>
  </si>
  <si>
    <t>2022年1月28日收到一张承兑汇票22.143396万元， 汇票出票日期为2022年1月27日。到期日期2022年7月27日。分2个项目，合同18141为18.381396万元，合同18141-20012为3.762万元</t>
    <phoneticPr fontId="11" type="noConversion"/>
  </si>
  <si>
    <t>2022.1.29</t>
    <phoneticPr fontId="6" type="noConversion"/>
  </si>
  <si>
    <t>华能定边新能源发电有限公司</t>
    <phoneticPr fontId="6" type="noConversion"/>
  </si>
  <si>
    <t>质保款</t>
    <phoneticPr fontId="6" type="noConversion"/>
  </si>
  <si>
    <t>20006-3</t>
    <phoneticPr fontId="6" type="noConversion"/>
  </si>
  <si>
    <t>约0.00043%</t>
    <phoneticPr fontId="6" type="noConversion"/>
  </si>
  <si>
    <t>合同款</t>
    <phoneticPr fontId="6" type="noConversion"/>
  </si>
  <si>
    <t>2022.2.7</t>
    <phoneticPr fontId="6" type="noConversion"/>
  </si>
  <si>
    <t>哈电风能有限公司</t>
    <phoneticPr fontId="6" type="noConversion"/>
  </si>
  <si>
    <t>2022.2.14</t>
    <phoneticPr fontId="6" type="noConversion"/>
  </si>
  <si>
    <t>2022.2.16</t>
    <phoneticPr fontId="6" type="noConversion"/>
  </si>
  <si>
    <t>华银宝鼎山</t>
    <phoneticPr fontId="6" type="noConversion"/>
  </si>
  <si>
    <t>短期软件；超短期软件；系统硬件；测风塔1；测风塔1设备；测风塔2；测风塔2设备；预测服务1年</t>
    <phoneticPr fontId="6" type="noConversion"/>
  </si>
  <si>
    <t>约66.09%</t>
    <phoneticPr fontId="11" type="noConversion"/>
  </si>
  <si>
    <t>验收款</t>
    <phoneticPr fontId="11" type="noConversion"/>
  </si>
  <si>
    <t>王龙波</t>
    <phoneticPr fontId="11" type="noConversion"/>
  </si>
  <si>
    <t>李妍</t>
    <phoneticPr fontId="11" type="noConversion"/>
  </si>
  <si>
    <t>21011-2</t>
    <phoneticPr fontId="11" type="noConversion"/>
  </si>
  <si>
    <t>服务费</t>
    <phoneticPr fontId="11" type="noConversion"/>
  </si>
  <si>
    <r>
      <t>2</t>
    </r>
    <r>
      <rPr>
        <sz val="9"/>
        <color indexed="8"/>
        <rFont val="宋体"/>
        <family val="3"/>
        <charset val="134"/>
      </rPr>
      <t>1150-1</t>
    </r>
    <phoneticPr fontId="6" type="noConversion"/>
  </si>
  <si>
    <r>
      <t>2</t>
    </r>
    <r>
      <rPr>
        <sz val="9"/>
        <color indexed="8"/>
        <rFont val="宋体"/>
        <family val="3"/>
        <charset val="134"/>
      </rPr>
      <t>1150-2</t>
    </r>
    <r>
      <rPr>
        <sz val="11"/>
        <color theme="1"/>
        <rFont val="宋体"/>
        <family val="2"/>
        <scheme val="minor"/>
      </rPr>
      <t/>
    </r>
  </si>
  <si>
    <t>2022年2月7日收到一张承兑汇票30万元，汇票出票日期2022年1月29日。到期日期2023年1月29日。</t>
    <phoneticPr fontId="11" type="noConversion"/>
  </si>
  <si>
    <t>21150-9</t>
    <phoneticPr fontId="6" type="noConversion"/>
  </si>
  <si>
    <t>短期预测；超短期预测；系统硬件；预测服务1年</t>
    <phoneticPr fontId="21" type="noConversion"/>
  </si>
  <si>
    <t>2022.2.17</t>
    <phoneticPr fontId="6" type="noConversion"/>
  </si>
  <si>
    <t>东辉（祝三+青山）</t>
    <phoneticPr fontId="21" type="noConversion"/>
  </si>
  <si>
    <t>服务费</t>
    <phoneticPr fontId="6" type="noConversion"/>
  </si>
  <si>
    <t>大唐大庆东岗新能源有限公司</t>
    <phoneticPr fontId="6" type="noConversion"/>
  </si>
  <si>
    <t>2022.2.21</t>
    <phoneticPr fontId="6" type="noConversion"/>
  </si>
  <si>
    <t>大庆太平、宏伟</t>
    <phoneticPr fontId="6" type="noConversion"/>
  </si>
  <si>
    <t>21150-10</t>
    <phoneticPr fontId="6" type="noConversion"/>
  </si>
  <si>
    <t>验收款</t>
    <phoneticPr fontId="6" type="noConversion"/>
  </si>
  <si>
    <t>李妍</t>
    <phoneticPr fontId="6" type="noConversion"/>
  </si>
  <si>
    <t>2022.2.23</t>
    <phoneticPr fontId="6" type="noConversion"/>
  </si>
  <si>
    <t>2022.2.24</t>
    <phoneticPr fontId="6" type="noConversion"/>
  </si>
  <si>
    <t>吉林中广核风力发电有限公司大安两家子分公司</t>
    <phoneticPr fontId="6" type="noConversion"/>
  </si>
  <si>
    <t>广东明阳电气股份有限公司</t>
    <phoneticPr fontId="6" type="noConversion"/>
  </si>
  <si>
    <t>锦州吉隆风力发电有限公司</t>
    <phoneticPr fontId="6" type="noConversion"/>
  </si>
  <si>
    <t>2022.2.25</t>
    <phoneticPr fontId="6" type="noConversion"/>
  </si>
  <si>
    <t>服务费</t>
    <phoneticPr fontId="6" type="noConversion"/>
  </si>
  <si>
    <t>韩志宇</t>
    <phoneticPr fontId="6" type="noConversion"/>
  </si>
  <si>
    <t>20006-9</t>
    <phoneticPr fontId="6" type="noConversion"/>
  </si>
  <si>
    <t>约0.00039%</t>
    <phoneticPr fontId="6" type="noConversion"/>
  </si>
  <si>
    <t>合同款</t>
    <phoneticPr fontId="6" type="noConversion"/>
  </si>
  <si>
    <t>国电和风</t>
    <phoneticPr fontId="21" type="noConversion"/>
  </si>
  <si>
    <t>青龙</t>
    <phoneticPr fontId="21" type="noConversion"/>
  </si>
  <si>
    <t>服务费</t>
    <phoneticPr fontId="6" type="noConversion"/>
  </si>
  <si>
    <t>马梦迪</t>
    <phoneticPr fontId="6" type="noConversion"/>
  </si>
  <si>
    <t>两家子</t>
    <phoneticPr fontId="21" type="noConversion"/>
  </si>
  <si>
    <t>短期软件；超短期软件；系统硬件；测风塔维护；测风塔设备；预测服务2年</t>
    <phoneticPr fontId="21" type="noConversion"/>
  </si>
  <si>
    <t>验收款</t>
    <phoneticPr fontId="6" type="noConversion"/>
  </si>
  <si>
    <t>王星</t>
    <phoneticPr fontId="6" type="noConversion"/>
  </si>
  <si>
    <t>黑山耿屯</t>
    <phoneticPr fontId="6" type="noConversion"/>
  </si>
  <si>
    <t>服务费</t>
    <phoneticPr fontId="6" type="noConversion"/>
  </si>
  <si>
    <t>2022.2.25</t>
    <phoneticPr fontId="6" type="noConversion"/>
  </si>
  <si>
    <t>龙源玉林风力发电有限公司</t>
    <phoneticPr fontId="6" type="noConversion"/>
  </si>
  <si>
    <t>质保款</t>
    <phoneticPr fontId="6" type="noConversion"/>
  </si>
  <si>
    <t>秦英飞</t>
    <phoneticPr fontId="6" type="noConversion"/>
  </si>
  <si>
    <t>箱变测控</t>
    <phoneticPr fontId="21" type="noConversion"/>
  </si>
  <si>
    <t>合同款</t>
    <phoneticPr fontId="6" type="noConversion"/>
  </si>
  <si>
    <t>王星</t>
    <phoneticPr fontId="6" type="noConversion"/>
  </si>
  <si>
    <t>2022.3.1</t>
    <phoneticPr fontId="6" type="noConversion"/>
  </si>
  <si>
    <t>2022.3.3</t>
    <phoneticPr fontId="6" type="noConversion"/>
  </si>
  <si>
    <t>江西</t>
    <phoneticPr fontId="21" type="noConversion"/>
  </si>
  <si>
    <t>茅店</t>
    <phoneticPr fontId="21" type="noConversion"/>
  </si>
  <si>
    <t>合同款</t>
    <phoneticPr fontId="6" type="noConversion"/>
  </si>
  <si>
    <t>秦英飞</t>
    <phoneticPr fontId="6" type="noConversion"/>
  </si>
  <si>
    <t>电力安全三区综合通讯系统软件河北单机信息上传</t>
    <phoneticPr fontId="6" type="noConversion"/>
  </si>
  <si>
    <r>
      <t>21030</t>
    </r>
    <r>
      <rPr>
        <sz val="9"/>
        <color indexed="8"/>
        <rFont val="宋体"/>
        <family val="3"/>
        <charset val="134"/>
      </rPr>
      <t>-1</t>
    </r>
    <phoneticPr fontId="6" type="noConversion"/>
  </si>
  <si>
    <r>
      <t>21030</t>
    </r>
    <r>
      <rPr>
        <sz val="9"/>
        <color indexed="8"/>
        <rFont val="宋体"/>
        <family val="3"/>
        <charset val="134"/>
      </rPr>
      <t>-2</t>
    </r>
    <phoneticPr fontId="6" type="noConversion"/>
  </si>
  <si>
    <t>验收款</t>
    <phoneticPr fontId="6" type="noConversion"/>
  </si>
  <si>
    <t>20006-9</t>
    <phoneticPr fontId="6" type="noConversion"/>
  </si>
  <si>
    <t>约45.4%</t>
    <phoneticPr fontId="6" type="noConversion"/>
  </si>
  <si>
    <t>到货款</t>
    <phoneticPr fontId="6" type="noConversion"/>
  </si>
  <si>
    <t>2022年3月1日收到一张承兑汇票30万元，汇票出票日期2022年2月24日。到期日期2022年8月24日。</t>
    <phoneticPr fontId="11" type="noConversion"/>
  </si>
  <si>
    <t>2022.3.7</t>
    <phoneticPr fontId="6" type="noConversion"/>
  </si>
  <si>
    <t>21150-7</t>
    <phoneticPr fontId="6" type="noConversion"/>
  </si>
  <si>
    <t>2022.3.8</t>
    <phoneticPr fontId="6" type="noConversion"/>
  </si>
  <si>
    <t>福建永福电力设计股份有限公司</t>
    <phoneticPr fontId="6" type="noConversion"/>
  </si>
  <si>
    <t>约5.48%</t>
    <phoneticPr fontId="6" type="noConversion"/>
  </si>
  <si>
    <t>剩余质保款+保修金</t>
    <phoneticPr fontId="6" type="noConversion"/>
  </si>
  <si>
    <t>秦英飞</t>
    <phoneticPr fontId="6" type="noConversion"/>
  </si>
  <si>
    <t>验收款+质保款</t>
    <phoneticPr fontId="6" type="noConversion"/>
  </si>
  <si>
    <t>2022.3.9</t>
    <phoneticPr fontId="6" type="noConversion"/>
  </si>
  <si>
    <t>肇东华能德昌太阳能发电有限公司</t>
    <phoneticPr fontId="6" type="noConversion"/>
  </si>
  <si>
    <t>北京华软恒信科技发展有限公司</t>
    <phoneticPr fontId="6" type="noConversion"/>
  </si>
  <si>
    <t>2022.3.9</t>
    <phoneticPr fontId="6" type="noConversion"/>
  </si>
  <si>
    <t>向前</t>
    <phoneticPr fontId="6" type="noConversion"/>
  </si>
  <si>
    <t>服务费</t>
    <phoneticPr fontId="6" type="noConversion"/>
  </si>
  <si>
    <t>合同款</t>
    <phoneticPr fontId="6" type="noConversion"/>
  </si>
  <si>
    <t>马梦迪</t>
    <phoneticPr fontId="6" type="noConversion"/>
  </si>
  <si>
    <t>2022年3月8日收到一张承兑汇票4.680935万元，汇票出票日期2022年3月7日。到期日期2022年9月7日。分两个项目</t>
    <phoneticPr fontId="11" type="noConversion"/>
  </si>
  <si>
    <t>2022.3.14</t>
    <phoneticPr fontId="6" type="noConversion"/>
  </si>
  <si>
    <t>约63.68%</t>
    <phoneticPr fontId="6" type="noConversion"/>
  </si>
  <si>
    <t>三峡新能源彰武发电有限公司</t>
    <phoneticPr fontId="6" type="noConversion"/>
  </si>
  <si>
    <t>2022.3.17</t>
    <phoneticPr fontId="6" type="noConversion"/>
  </si>
  <si>
    <t>服务费</t>
    <phoneticPr fontId="6" type="noConversion"/>
  </si>
  <si>
    <t>2022.3.21</t>
    <phoneticPr fontId="6" type="noConversion"/>
  </si>
  <si>
    <t>中机国能五家渠新能源发电有限公司</t>
    <phoneticPr fontId="6" type="noConversion"/>
  </si>
  <si>
    <t>蒙东协合镇赉第一风力发电有限公司</t>
    <phoneticPr fontId="6" type="noConversion"/>
  </si>
  <si>
    <t>中电建</t>
    <phoneticPr fontId="21" type="noConversion"/>
  </si>
  <si>
    <t>北塔山牧场</t>
    <phoneticPr fontId="21" type="noConversion"/>
  </si>
  <si>
    <t>预测服务1个月</t>
    <phoneticPr fontId="6" type="noConversion"/>
  </si>
  <si>
    <t>2022.3.22</t>
    <phoneticPr fontId="6" type="noConversion"/>
  </si>
  <si>
    <t>木垒县乾慧能源开发有限公司</t>
    <phoneticPr fontId="6" type="noConversion"/>
  </si>
  <si>
    <t>老君庙风电场二期</t>
    <phoneticPr fontId="21" type="noConversion"/>
  </si>
  <si>
    <t>2022.3.23</t>
    <phoneticPr fontId="6" type="noConversion"/>
  </si>
  <si>
    <t>中国电建集团西北勘测设计研究院有限公司</t>
    <phoneticPr fontId="6" type="noConversion"/>
  </si>
  <si>
    <t>2022.3.24</t>
    <phoneticPr fontId="6" type="noConversion"/>
  </si>
  <si>
    <t>21032-15046</t>
    <phoneticPr fontId="6" type="noConversion"/>
  </si>
  <si>
    <t>镇赉</t>
    <phoneticPr fontId="21" type="noConversion"/>
  </si>
  <si>
    <t>测风塔设备维护</t>
    <phoneticPr fontId="21" type="noConversion"/>
  </si>
  <si>
    <t>三峡新能源</t>
    <phoneticPr fontId="21" type="noConversion"/>
  </si>
  <si>
    <t>大安海坨</t>
    <phoneticPr fontId="21" type="noConversion"/>
  </si>
  <si>
    <t>吉林风电场理论功率上传软件；系统硬件</t>
    <phoneticPr fontId="6" type="noConversion"/>
  </si>
  <si>
    <t>21197-2</t>
    <phoneticPr fontId="6" type="noConversion"/>
  </si>
  <si>
    <t>21197-1</t>
    <phoneticPr fontId="6" type="noConversion"/>
  </si>
  <si>
    <t>大个岭</t>
    <phoneticPr fontId="21" type="noConversion"/>
  </si>
  <si>
    <t>约89.77%</t>
    <phoneticPr fontId="6" type="noConversion"/>
  </si>
  <si>
    <t>2022.3.25</t>
    <phoneticPr fontId="6" type="noConversion"/>
  </si>
  <si>
    <r>
      <t>2</t>
    </r>
    <r>
      <rPr>
        <sz val="9"/>
        <color indexed="8"/>
        <rFont val="宋体"/>
        <family val="3"/>
        <charset val="134"/>
      </rPr>
      <t>1126-1</t>
    </r>
    <phoneticPr fontId="6" type="noConversion"/>
  </si>
  <si>
    <r>
      <t>2</t>
    </r>
    <r>
      <rPr>
        <sz val="9"/>
        <color indexed="8"/>
        <rFont val="宋体"/>
        <family val="3"/>
        <charset val="134"/>
      </rPr>
      <t>1126-2</t>
    </r>
    <r>
      <rPr>
        <sz val="11"/>
        <color theme="1"/>
        <rFont val="宋体"/>
        <family val="2"/>
        <scheme val="minor"/>
      </rPr>
      <t/>
    </r>
  </si>
  <si>
    <t>到货款</t>
    <phoneticPr fontId="6" type="noConversion"/>
  </si>
  <si>
    <t>马梦迪</t>
    <phoneticPr fontId="6" type="noConversion"/>
  </si>
  <si>
    <t>约21.05%</t>
    <phoneticPr fontId="6" type="noConversion"/>
  </si>
  <si>
    <t>2022.3.29</t>
    <phoneticPr fontId="6" type="noConversion"/>
  </si>
  <si>
    <t>国能陕西新能源发电有限公司靖边分公司</t>
    <phoneticPr fontId="6" type="noConversion"/>
  </si>
  <si>
    <t>光伏气象站维护；预测服务1年</t>
    <phoneticPr fontId="6" type="noConversion"/>
  </si>
  <si>
    <t>服务费</t>
    <phoneticPr fontId="6" type="noConversion"/>
  </si>
  <si>
    <t>杨振坤</t>
    <phoneticPr fontId="6" type="noConversion"/>
  </si>
  <si>
    <t>李妍</t>
    <phoneticPr fontId="6" type="noConversion"/>
  </si>
  <si>
    <t>2022.3.30</t>
    <phoneticPr fontId="6" type="noConversion"/>
  </si>
  <si>
    <t>风电场工地视频监控系统</t>
  </si>
  <si>
    <t>2022.3.31</t>
    <phoneticPr fontId="6" type="noConversion"/>
  </si>
  <si>
    <t>21127-1</t>
    <phoneticPr fontId="6" type="noConversion"/>
  </si>
  <si>
    <t>21127-2</t>
    <phoneticPr fontId="6" type="noConversion"/>
  </si>
  <si>
    <t>验收款</t>
    <phoneticPr fontId="6" type="noConversion"/>
  </si>
  <si>
    <t>马梦迪</t>
    <phoneticPr fontId="6" type="noConversion"/>
  </si>
  <si>
    <t>2022年3月8日收到一张承兑汇票10.65万元，汇票出票日期2022年3月29日。到期日期2022年9月29日。</t>
    <phoneticPr fontId="11" type="noConversion"/>
  </si>
  <si>
    <t>20006-9</t>
    <phoneticPr fontId="6" type="noConversion"/>
  </si>
  <si>
    <t>约44.6%</t>
    <phoneticPr fontId="6" type="noConversion"/>
  </si>
  <si>
    <t>剩余到货款+验收款</t>
    <phoneticPr fontId="6" type="noConversion"/>
  </si>
  <si>
    <t>2022年3月8日收到一张承兑汇票29.467498万元，汇票出票日期2022年3月23日。到期日期2022年12月8日。</t>
    <phoneticPr fontId="11" type="noConversion"/>
  </si>
  <si>
    <t>2022.4.11</t>
    <phoneticPr fontId="6" type="noConversion"/>
  </si>
  <si>
    <t>中节能风力发电（哈密）有限公司</t>
    <phoneticPr fontId="6" type="noConversion"/>
  </si>
  <si>
    <t>2022.4.12</t>
    <phoneticPr fontId="6" type="noConversion"/>
  </si>
  <si>
    <t>国华（神木）新能源有限公司</t>
    <phoneticPr fontId="6" type="noConversion"/>
  </si>
  <si>
    <t>2022.4.13</t>
    <phoneticPr fontId="6" type="noConversion"/>
  </si>
  <si>
    <t>宁安镜泊二道岭风力发电有限公司</t>
    <phoneticPr fontId="6" type="noConversion"/>
  </si>
  <si>
    <t>黑龙江龙源新能源发展有限公司黑河分公司</t>
    <phoneticPr fontId="6" type="noConversion"/>
  </si>
  <si>
    <t>大唐哈密风电开发有限公司</t>
    <phoneticPr fontId="6" type="noConversion"/>
  </si>
  <si>
    <t>中电建宁夏工程有限公司</t>
    <phoneticPr fontId="6" type="noConversion"/>
  </si>
  <si>
    <t>2022.4.14</t>
    <phoneticPr fontId="6" type="noConversion"/>
  </si>
  <si>
    <t>2022.4.15</t>
    <phoneticPr fontId="6" type="noConversion"/>
  </si>
  <si>
    <t>22021-1</t>
    <phoneticPr fontId="11" type="noConversion"/>
  </si>
  <si>
    <t>22021-2</t>
    <phoneticPr fontId="11" type="noConversion"/>
  </si>
  <si>
    <t>约18.62%</t>
    <phoneticPr fontId="11" type="noConversion"/>
  </si>
  <si>
    <t>约31.38%</t>
    <phoneticPr fontId="11" type="noConversion"/>
  </si>
  <si>
    <t>预付款</t>
    <phoneticPr fontId="11" type="noConversion"/>
  </si>
  <si>
    <t>马梦迪</t>
    <phoneticPr fontId="11" type="noConversion"/>
  </si>
  <si>
    <t>2022年4月13日收到一张承兑汇票15万元，汇票出票日期2022年3月22日。到期日期2022年9月22日。</t>
    <phoneticPr fontId="11" type="noConversion"/>
  </si>
  <si>
    <t>验收款</t>
    <phoneticPr fontId="11" type="noConversion"/>
  </si>
  <si>
    <t>杨振坤</t>
    <phoneticPr fontId="11" type="noConversion"/>
  </si>
  <si>
    <t>李妍</t>
    <phoneticPr fontId="11" type="noConversion"/>
  </si>
  <si>
    <t>大柳塔</t>
    <phoneticPr fontId="6" type="noConversion"/>
  </si>
  <si>
    <t>投运款</t>
    <phoneticPr fontId="11" type="noConversion"/>
  </si>
  <si>
    <r>
      <t>2</t>
    </r>
    <r>
      <rPr>
        <sz val="9"/>
        <color indexed="8"/>
        <rFont val="宋体"/>
        <family val="3"/>
        <charset val="134"/>
      </rPr>
      <t>1150-11</t>
    </r>
    <r>
      <rPr>
        <sz val="11"/>
        <color theme="1"/>
        <rFont val="宋体"/>
        <family val="2"/>
        <scheme val="minor"/>
      </rPr>
      <t/>
    </r>
  </si>
  <si>
    <t>宁安</t>
    <phoneticPr fontId="6" type="noConversion"/>
  </si>
  <si>
    <t>风电场工地视频监控系统</t>
    <phoneticPr fontId="6" type="noConversion"/>
  </si>
  <si>
    <t>宁安头道岭、二道岭</t>
    <phoneticPr fontId="21" type="noConversion"/>
  </si>
  <si>
    <t>系统硬件；预测服务1年</t>
    <phoneticPr fontId="6" type="noConversion"/>
  </si>
  <si>
    <t>服务费</t>
    <phoneticPr fontId="11" type="noConversion"/>
  </si>
  <si>
    <t>预测服务3年；系统硬件</t>
    <phoneticPr fontId="6" type="noConversion"/>
  </si>
  <si>
    <t>约33.33%</t>
    <phoneticPr fontId="11" type="noConversion"/>
  </si>
  <si>
    <t>王龙波</t>
    <phoneticPr fontId="11" type="noConversion"/>
  </si>
  <si>
    <t>巴里坤黑眼泉</t>
    <phoneticPr fontId="21" type="noConversion"/>
  </si>
  <si>
    <t>到货款</t>
    <phoneticPr fontId="11" type="noConversion"/>
  </si>
  <si>
    <t>96000.00 </t>
  </si>
  <si>
    <t>宾县大个岭风力发电有限公司</t>
    <phoneticPr fontId="6" type="noConversion"/>
  </si>
  <si>
    <t>2022.4.19</t>
    <phoneticPr fontId="6" type="noConversion"/>
  </si>
  <si>
    <t>光伏AGC/AVC软件升级；系统硬件</t>
    <phoneticPr fontId="6" type="noConversion"/>
  </si>
  <si>
    <t>2022.4.20</t>
    <phoneticPr fontId="6" type="noConversion"/>
  </si>
  <si>
    <t>三峡新能源泰来发电有限公司</t>
    <phoneticPr fontId="6" type="noConversion"/>
  </si>
  <si>
    <t>2022.4.24</t>
    <phoneticPr fontId="6" type="noConversion"/>
  </si>
  <si>
    <t>质保款</t>
    <phoneticPr fontId="6" type="noConversion"/>
  </si>
  <si>
    <t>2022.4.25</t>
    <phoneticPr fontId="6" type="noConversion"/>
  </si>
  <si>
    <r>
      <t>21168</t>
    </r>
    <r>
      <rPr>
        <sz val="9"/>
        <color indexed="8"/>
        <rFont val="宋体"/>
        <family val="3"/>
        <charset val="134"/>
      </rPr>
      <t>-1</t>
    </r>
    <phoneticPr fontId="6" type="noConversion"/>
  </si>
  <si>
    <r>
      <t>21168</t>
    </r>
    <r>
      <rPr>
        <sz val="9"/>
        <color indexed="8"/>
        <rFont val="宋体"/>
        <family val="3"/>
        <charset val="134"/>
      </rPr>
      <t>-2</t>
    </r>
    <r>
      <rPr>
        <sz val="11"/>
        <color theme="1"/>
        <rFont val="宋体"/>
        <family val="2"/>
        <scheme val="minor"/>
      </rPr>
      <t/>
    </r>
  </si>
  <si>
    <r>
      <t>21168</t>
    </r>
    <r>
      <rPr>
        <sz val="9"/>
        <color indexed="8"/>
        <rFont val="宋体"/>
        <family val="3"/>
        <charset val="134"/>
      </rPr>
      <t>-3</t>
    </r>
    <r>
      <rPr>
        <sz val="11"/>
        <color theme="1"/>
        <rFont val="宋体"/>
        <family val="2"/>
        <scheme val="minor"/>
      </rPr>
      <t/>
    </r>
  </si>
  <si>
    <r>
      <t>21168</t>
    </r>
    <r>
      <rPr>
        <sz val="9"/>
        <color indexed="8"/>
        <rFont val="宋体"/>
        <family val="3"/>
        <charset val="134"/>
      </rPr>
      <t>-4</t>
    </r>
    <r>
      <rPr>
        <sz val="11"/>
        <color theme="1"/>
        <rFont val="宋体"/>
        <family val="2"/>
        <scheme val="minor"/>
      </rPr>
      <t/>
    </r>
  </si>
  <si>
    <t>通榆新发风力发电有限公司</t>
    <phoneticPr fontId="6" type="noConversion"/>
  </si>
  <si>
    <t>约43.56%</t>
    <phoneticPr fontId="6" type="noConversion"/>
  </si>
  <si>
    <t>2022.4.26</t>
    <phoneticPr fontId="6" type="noConversion"/>
  </si>
  <si>
    <t>黑龙江龙源新能源发展有限公司桦南雄亚分公司</t>
    <phoneticPr fontId="6" type="noConversion"/>
  </si>
  <si>
    <r>
      <t>2</t>
    </r>
    <r>
      <rPr>
        <sz val="9"/>
        <color indexed="8"/>
        <rFont val="宋体"/>
        <family val="3"/>
        <charset val="134"/>
      </rPr>
      <t>1195-1</t>
    </r>
    <phoneticPr fontId="6" type="noConversion"/>
  </si>
  <si>
    <r>
      <t>2</t>
    </r>
    <r>
      <rPr>
        <sz val="9"/>
        <color indexed="8"/>
        <rFont val="宋体"/>
        <family val="3"/>
        <charset val="134"/>
      </rPr>
      <t>1195-2</t>
    </r>
    <r>
      <rPr>
        <sz val="11"/>
        <color theme="1"/>
        <rFont val="宋体"/>
        <family val="2"/>
        <scheme val="minor"/>
      </rPr>
      <t/>
    </r>
  </si>
  <si>
    <t>阿廷河</t>
    <phoneticPr fontId="21" type="noConversion"/>
  </si>
  <si>
    <t>预测服务1个月</t>
    <phoneticPr fontId="21" type="noConversion"/>
  </si>
  <si>
    <t>通河龙源风力发电有限公司</t>
    <phoneticPr fontId="6" type="noConversion"/>
  </si>
  <si>
    <t>黑龙江龙源新能源发展有限公司克山分公司</t>
    <phoneticPr fontId="6" type="noConversion"/>
  </si>
  <si>
    <t>合同款</t>
    <phoneticPr fontId="6" type="noConversion"/>
  </si>
  <si>
    <t>约90.83%</t>
    <phoneticPr fontId="6" type="noConversion"/>
  </si>
  <si>
    <t>黑龙江龙源新能源发展有限公司杜尔伯特分公司</t>
    <phoneticPr fontId="6" type="noConversion"/>
  </si>
  <si>
    <t>黑龙江龙源新能源发展有限公司克东分公司</t>
    <phoneticPr fontId="6" type="noConversion"/>
  </si>
  <si>
    <t>2022.4.27</t>
    <phoneticPr fontId="6" type="noConversion"/>
  </si>
  <si>
    <t>上海电气风电设备东台有限公司</t>
    <phoneticPr fontId="6" type="noConversion"/>
  </si>
  <si>
    <t>2022.4.28</t>
    <phoneticPr fontId="6" type="noConversion"/>
  </si>
  <si>
    <t>19183-1</t>
    <phoneticPr fontId="6" type="noConversion"/>
  </si>
  <si>
    <t>19183-2</t>
    <phoneticPr fontId="6" type="noConversion"/>
  </si>
  <si>
    <t>质保款</t>
    <phoneticPr fontId="6" type="noConversion"/>
  </si>
  <si>
    <t>马梦迪</t>
    <phoneticPr fontId="6" type="noConversion"/>
  </si>
  <si>
    <t>约1.16%</t>
    <phoneticPr fontId="6" type="noConversion"/>
  </si>
  <si>
    <t>约8.84%</t>
    <phoneticPr fontId="6" type="noConversion"/>
  </si>
  <si>
    <t>2022年4月28日收到一张承兑汇票5万元，汇票出票日期2022年4月18日。到期日期2022年10月18日。</t>
    <phoneticPr fontId="6" type="noConversion"/>
  </si>
  <si>
    <t>合同款</t>
    <phoneticPr fontId="6" type="noConversion"/>
  </si>
  <si>
    <t>李妍</t>
    <phoneticPr fontId="6" type="noConversion"/>
  </si>
  <si>
    <t>狄青塬</t>
    <phoneticPr fontId="6" type="noConversion"/>
  </si>
  <si>
    <t>投运款</t>
    <phoneticPr fontId="6" type="noConversion"/>
  </si>
  <si>
    <t>杨振坤</t>
    <phoneticPr fontId="6" type="noConversion"/>
  </si>
  <si>
    <t>大庆太平</t>
    <phoneticPr fontId="21" type="noConversion"/>
  </si>
  <si>
    <t>风机视频监控系统</t>
  </si>
  <si>
    <t>约57.33%</t>
    <phoneticPr fontId="6" type="noConversion"/>
  </si>
  <si>
    <t>合同款</t>
    <phoneticPr fontId="6" type="noConversion"/>
  </si>
  <si>
    <t>李妍</t>
    <phoneticPr fontId="6" type="noConversion"/>
  </si>
  <si>
    <t>2022.5.7</t>
    <phoneticPr fontId="6" type="noConversion"/>
  </si>
  <si>
    <t>预测服务2个月</t>
    <phoneticPr fontId="6" type="noConversion"/>
  </si>
  <si>
    <t>21196-1</t>
    <phoneticPr fontId="6" type="noConversion"/>
  </si>
  <si>
    <t>21196-2</t>
    <phoneticPr fontId="6" type="noConversion"/>
  </si>
  <si>
    <t>约88.42%</t>
    <phoneticPr fontId="6" type="noConversion"/>
  </si>
  <si>
    <t>2022.5.11</t>
    <phoneticPr fontId="6" type="noConversion"/>
  </si>
  <si>
    <t>2022.5.13</t>
    <phoneticPr fontId="6" type="noConversion"/>
  </si>
  <si>
    <t>华能</t>
    <phoneticPr fontId="21" type="noConversion"/>
  </si>
  <si>
    <t>大庆经开区风光互补</t>
    <phoneticPr fontId="21" type="noConversion"/>
  </si>
  <si>
    <t>合同款</t>
    <phoneticPr fontId="6" type="noConversion"/>
  </si>
  <si>
    <t>马梦迪</t>
    <phoneticPr fontId="6" type="noConversion"/>
  </si>
  <si>
    <t>2022.5.16</t>
    <phoneticPr fontId="6" type="noConversion"/>
  </si>
  <si>
    <t>中广核大悟阳平风力发电有限公司</t>
    <phoneticPr fontId="6" type="noConversion"/>
  </si>
  <si>
    <t>质保款</t>
    <phoneticPr fontId="6" type="noConversion"/>
  </si>
  <si>
    <t>秦英飞</t>
    <phoneticPr fontId="6" type="noConversion"/>
  </si>
  <si>
    <t>2022.5.18</t>
    <phoneticPr fontId="6" type="noConversion"/>
  </si>
  <si>
    <t>2022.5.19</t>
    <phoneticPr fontId="6" type="noConversion"/>
  </si>
  <si>
    <t>中水电中电风力发电有限公司</t>
    <phoneticPr fontId="6" type="noConversion"/>
  </si>
  <si>
    <t>长岭中电建新能源风力发电有限责任公司</t>
    <phoneticPr fontId="6" type="noConversion"/>
  </si>
  <si>
    <t>2022.5.20</t>
    <phoneticPr fontId="6" type="noConversion"/>
  </si>
  <si>
    <t>龙源哈密新能源有限公司</t>
    <phoneticPr fontId="6" type="noConversion"/>
  </si>
  <si>
    <t>服务费</t>
    <phoneticPr fontId="6" type="noConversion"/>
  </si>
  <si>
    <t>王星</t>
    <phoneticPr fontId="6" type="noConversion"/>
  </si>
  <si>
    <t>苦水西风电一场</t>
    <phoneticPr fontId="21" type="noConversion"/>
  </si>
  <si>
    <t>合同款</t>
    <phoneticPr fontId="6" type="noConversion"/>
  </si>
  <si>
    <t>李妍</t>
    <phoneticPr fontId="6" type="noConversion"/>
  </si>
  <si>
    <t>中国水电建设集团新能源开发有限责任公司长岭风电分公司</t>
    <phoneticPr fontId="6" type="noConversion"/>
  </si>
  <si>
    <t>2022.5.23</t>
    <phoneticPr fontId="6" type="noConversion"/>
  </si>
  <si>
    <t>伊春华宇电力新能源有限公司</t>
    <phoneticPr fontId="6" type="noConversion"/>
  </si>
  <si>
    <t>2022.5.24</t>
    <phoneticPr fontId="6" type="noConversion"/>
  </si>
  <si>
    <t>21199-1</t>
    <phoneticPr fontId="6" type="noConversion"/>
  </si>
  <si>
    <t>21199-2</t>
  </si>
  <si>
    <t>21199-3</t>
  </si>
  <si>
    <t>辽宁</t>
    <phoneticPr fontId="21" type="noConversion"/>
  </si>
  <si>
    <t>葫芦岛岳家屯</t>
  </si>
  <si>
    <t>富裕友谊</t>
    <phoneticPr fontId="21" type="noConversion"/>
  </si>
  <si>
    <r>
      <t>21200</t>
    </r>
    <r>
      <rPr>
        <sz val="9"/>
        <color indexed="8"/>
        <rFont val="宋体"/>
        <family val="3"/>
        <charset val="134"/>
      </rPr>
      <t>-1</t>
    </r>
    <phoneticPr fontId="6" type="noConversion"/>
  </si>
  <si>
    <t>21200-2</t>
    <phoneticPr fontId="6" type="noConversion"/>
  </si>
  <si>
    <t>三峡威远</t>
    <phoneticPr fontId="21" type="noConversion"/>
  </si>
  <si>
    <t>约74.12%</t>
    <phoneticPr fontId="6" type="noConversion"/>
  </si>
  <si>
    <t>服务费</t>
    <phoneticPr fontId="6" type="noConversion"/>
  </si>
  <si>
    <t>日泽</t>
    <phoneticPr fontId="21" type="noConversion"/>
  </si>
  <si>
    <t>黑龙江光伏电站综合通讯管理系统软件；系统硬件</t>
    <phoneticPr fontId="21" type="noConversion"/>
  </si>
  <si>
    <t>到货款</t>
    <phoneticPr fontId="6" type="noConversion"/>
  </si>
  <si>
    <t>马梦迪</t>
    <phoneticPr fontId="6" type="noConversion"/>
  </si>
  <si>
    <t>2022.5.25</t>
    <phoneticPr fontId="6" type="noConversion"/>
  </si>
  <si>
    <t>大唐文登风力发电有限公司</t>
    <phoneticPr fontId="6" type="noConversion"/>
  </si>
  <si>
    <t>约1.02%</t>
    <phoneticPr fontId="6" type="noConversion"/>
  </si>
  <si>
    <t>剩余到货款</t>
    <phoneticPr fontId="6" type="noConversion"/>
  </si>
  <si>
    <t>王龙波</t>
    <phoneticPr fontId="6" type="noConversion"/>
  </si>
  <si>
    <t>李妍</t>
    <phoneticPr fontId="6" type="noConversion"/>
  </si>
  <si>
    <t>约19.97%</t>
    <phoneticPr fontId="6" type="noConversion"/>
  </si>
  <si>
    <t>部分投运款</t>
    <phoneticPr fontId="6" type="noConversion"/>
  </si>
  <si>
    <t>约15.25%</t>
    <phoneticPr fontId="6" type="noConversion"/>
  </si>
  <si>
    <t>验收款</t>
    <phoneticPr fontId="6" type="noConversion"/>
  </si>
  <si>
    <t>质保款</t>
    <phoneticPr fontId="6" type="noConversion"/>
  </si>
  <si>
    <t>段洪宇</t>
    <phoneticPr fontId="6" type="noConversion"/>
  </si>
  <si>
    <t>2022.5.26</t>
    <phoneticPr fontId="6" type="noConversion"/>
  </si>
  <si>
    <t>华能钟祥风电有限责任公司</t>
    <phoneticPr fontId="6" type="noConversion"/>
  </si>
  <si>
    <t>约28.84%</t>
    <phoneticPr fontId="6" type="noConversion"/>
  </si>
  <si>
    <t>服务费</t>
    <phoneticPr fontId="6" type="noConversion"/>
  </si>
  <si>
    <t>2022.5.30</t>
    <phoneticPr fontId="6" type="noConversion"/>
  </si>
  <si>
    <t>2022.5.31</t>
    <phoneticPr fontId="6" type="noConversion"/>
  </si>
  <si>
    <t>质保款</t>
    <phoneticPr fontId="6" type="noConversion"/>
  </si>
  <si>
    <t>马梦迪</t>
    <phoneticPr fontId="6" type="noConversion"/>
  </si>
  <si>
    <t>测风塔</t>
    <phoneticPr fontId="21" type="noConversion"/>
  </si>
  <si>
    <t>预付款</t>
    <phoneticPr fontId="6" type="noConversion"/>
  </si>
  <si>
    <t>秦英飞</t>
    <phoneticPr fontId="6" type="noConversion"/>
  </si>
  <si>
    <t>望江</t>
    <phoneticPr fontId="21" type="noConversion"/>
  </si>
  <si>
    <t>20006-1</t>
    <phoneticPr fontId="6" type="noConversion"/>
  </si>
  <si>
    <r>
      <t>20006-2</t>
    </r>
    <r>
      <rPr>
        <sz val="11"/>
        <color indexed="8"/>
        <rFont val="宋体"/>
        <family val="3"/>
        <charset val="134"/>
      </rPr>
      <t/>
    </r>
  </si>
  <si>
    <t>验收款+到货款</t>
    <phoneticPr fontId="6" type="noConversion"/>
  </si>
  <si>
    <t>李妍</t>
    <phoneticPr fontId="6" type="noConversion"/>
  </si>
  <si>
    <t>20006-7</t>
    <phoneticPr fontId="6" type="noConversion"/>
  </si>
  <si>
    <t>20006-8</t>
    <phoneticPr fontId="6" type="noConversion"/>
  </si>
  <si>
    <t>大庆宏伟</t>
    <phoneticPr fontId="21" type="noConversion"/>
  </si>
  <si>
    <t>到货款</t>
    <phoneticPr fontId="6" type="noConversion"/>
  </si>
  <si>
    <t>约4.47%</t>
    <phoneticPr fontId="6" type="noConversion"/>
  </si>
  <si>
    <t>约65.53%</t>
    <phoneticPr fontId="6" type="noConversion"/>
  </si>
  <si>
    <t>约45.83</t>
    <phoneticPr fontId="6" type="noConversion"/>
  </si>
  <si>
    <t>验收款</t>
    <phoneticPr fontId="6" type="noConversion"/>
  </si>
  <si>
    <t>2022年5月30日收到一张承兑汇票130万元，汇票出票日期2022年5月19日。到期日期2023年2月19日。分四个项目。</t>
    <phoneticPr fontId="6" type="noConversion"/>
  </si>
  <si>
    <t>2022年5月30日收到一张承兑汇票80万元，汇票出票日期2022年5月26日。到期日期2023年3月26日。分三个项目。</t>
    <phoneticPr fontId="6" type="noConversion"/>
  </si>
  <si>
    <t>2022.6.1</t>
    <phoneticPr fontId="6" type="noConversion"/>
  </si>
  <si>
    <t>2022.6.10</t>
    <phoneticPr fontId="6" type="noConversion"/>
  </si>
  <si>
    <t>阳光电源股份有限公司</t>
    <phoneticPr fontId="6" type="noConversion"/>
  </si>
  <si>
    <t>18069-1</t>
    <phoneticPr fontId="6" type="noConversion"/>
  </si>
  <si>
    <t>18069-2</t>
    <phoneticPr fontId="6" type="noConversion"/>
  </si>
  <si>
    <r>
      <t>22053</t>
    </r>
    <r>
      <rPr>
        <sz val="9"/>
        <color indexed="8"/>
        <rFont val="宋体"/>
        <family val="3"/>
        <charset val="134"/>
      </rPr>
      <t>-1</t>
    </r>
    <phoneticPr fontId="6" type="noConversion"/>
  </si>
  <si>
    <r>
      <t>22053</t>
    </r>
    <r>
      <rPr>
        <sz val="9"/>
        <color indexed="8"/>
        <rFont val="宋体"/>
        <family val="3"/>
        <charset val="134"/>
      </rPr>
      <t>-2</t>
    </r>
    <r>
      <rPr>
        <sz val="11"/>
        <color theme="1"/>
        <rFont val="宋体"/>
        <family val="2"/>
        <scheme val="minor"/>
      </rPr>
      <t/>
    </r>
  </si>
  <si>
    <t>贾家梁</t>
    <phoneticPr fontId="21" type="noConversion"/>
  </si>
  <si>
    <t>合同款</t>
    <phoneticPr fontId="6" type="noConversion"/>
  </si>
  <si>
    <t>李妍</t>
    <phoneticPr fontId="6" type="noConversion"/>
  </si>
  <si>
    <t>2022.6.16</t>
    <phoneticPr fontId="6" type="noConversion"/>
  </si>
  <si>
    <t>2022.6.20</t>
    <phoneticPr fontId="6" type="noConversion"/>
  </si>
  <si>
    <t>2022.6.21</t>
    <phoneticPr fontId="6" type="noConversion"/>
  </si>
  <si>
    <t>2022.6.24</t>
    <phoneticPr fontId="6" type="noConversion"/>
  </si>
  <si>
    <t>亚洲电力</t>
    <phoneticPr fontId="21" type="noConversion"/>
  </si>
  <si>
    <t>三一金票到期到账</t>
    <phoneticPr fontId="6" type="noConversion"/>
  </si>
  <si>
    <t>2022.6.27</t>
    <phoneticPr fontId="6" type="noConversion"/>
  </si>
  <si>
    <t>2022.6.28</t>
    <phoneticPr fontId="6" type="noConversion"/>
  </si>
  <si>
    <t>大唐中电（吉林）新能源发电有限公司双辽分公司</t>
    <phoneticPr fontId="6" type="noConversion"/>
  </si>
  <si>
    <t>约12.10%</t>
    <phoneticPr fontId="6" type="noConversion"/>
  </si>
  <si>
    <t>部分进度款</t>
    <phoneticPr fontId="6" type="noConversion"/>
  </si>
  <si>
    <t>约31.45%</t>
    <phoneticPr fontId="6" type="noConversion"/>
  </si>
  <si>
    <t>剩余进度款+质保款</t>
    <phoneticPr fontId="6" type="noConversion"/>
  </si>
  <si>
    <t>约43.03%</t>
    <phoneticPr fontId="6" type="noConversion"/>
  </si>
  <si>
    <t>湖北</t>
    <phoneticPr fontId="21" type="noConversion"/>
  </si>
  <si>
    <t>2022.6.30</t>
    <phoneticPr fontId="6" type="noConversion"/>
  </si>
  <si>
    <t>约35.83%</t>
    <phoneticPr fontId="6" type="noConversion"/>
  </si>
  <si>
    <t>约8.34%</t>
    <phoneticPr fontId="6" type="noConversion"/>
  </si>
  <si>
    <t>约27.42%</t>
    <phoneticPr fontId="6" type="noConversion"/>
  </si>
  <si>
    <t>约0.07%</t>
    <phoneticPr fontId="6" type="noConversion"/>
  </si>
  <si>
    <t>2022年6月30日收到承兑汇票25万元，汇票出票日期2022.6.23，汇票到期日期2023.3.23</t>
    <phoneticPr fontId="6" type="noConversion"/>
  </si>
  <si>
    <t>2022年6月30日收到承兑汇票25万元，汇票出票日期2022.6.29，汇票到期日期2023.3.27</t>
    <phoneticPr fontId="6" type="noConversion"/>
  </si>
  <si>
    <t>2022.7.4</t>
    <phoneticPr fontId="6" type="noConversion"/>
  </si>
  <si>
    <t>2022.7.6</t>
    <phoneticPr fontId="6" type="noConversion"/>
  </si>
  <si>
    <t>吉林省加禧电力工程技术有限公司</t>
    <phoneticPr fontId="6" type="noConversion"/>
  </si>
  <si>
    <t>中国电建集团江西省电力建设有限公司</t>
    <phoneticPr fontId="6" type="noConversion"/>
  </si>
  <si>
    <t>短期软件；超短期软件；系统硬件；光伏气象站；光伏气象站设备；预测服务1年</t>
  </si>
  <si>
    <t>光伏电站视频监控</t>
  </si>
  <si>
    <t>18039-1</t>
    <phoneticPr fontId="6" type="noConversion"/>
  </si>
  <si>
    <t>18039-2</t>
    <phoneticPr fontId="6" type="noConversion"/>
  </si>
  <si>
    <t>鑫和北塔山</t>
    <phoneticPr fontId="21" type="noConversion"/>
  </si>
  <si>
    <t>短期软件；超短期软件；系统硬件；预测服务1年</t>
    <phoneticPr fontId="21" type="noConversion"/>
  </si>
  <si>
    <t>预付款+到货款</t>
    <phoneticPr fontId="6" type="noConversion"/>
  </si>
  <si>
    <t>2022.7.11</t>
    <phoneticPr fontId="6" type="noConversion"/>
  </si>
  <si>
    <t>2022.7.14</t>
    <phoneticPr fontId="6" type="noConversion"/>
  </si>
  <si>
    <t>黑龙江富龙风能科技开发有限责任公司</t>
    <phoneticPr fontId="6" type="noConversion"/>
  </si>
  <si>
    <t>金票。关慧慧管理平台。</t>
    <phoneticPr fontId="6" type="noConversion"/>
  </si>
  <si>
    <t>约23.91%</t>
    <phoneticPr fontId="6" type="noConversion"/>
  </si>
  <si>
    <t>永州梅岗</t>
    <phoneticPr fontId="6" type="noConversion"/>
  </si>
  <si>
    <t>约57.37%</t>
    <phoneticPr fontId="6" type="noConversion"/>
  </si>
  <si>
    <t>2022年7月11日收到承兑汇票40万元，汇票出票日期2022.7.7，汇票到期日期2023.7.7.分两个项目</t>
    <phoneticPr fontId="6" type="noConversion"/>
  </si>
  <si>
    <t>2022.7.18</t>
    <phoneticPr fontId="6" type="noConversion"/>
  </si>
  <si>
    <t>2022.7.19</t>
    <phoneticPr fontId="6" type="noConversion"/>
  </si>
  <si>
    <t>五凌托克逊电力有限公司</t>
    <phoneticPr fontId="6" type="noConversion"/>
  </si>
  <si>
    <t>五凌布尔津电力有限公司</t>
    <phoneticPr fontId="6" type="noConversion"/>
  </si>
  <si>
    <t>五凌小草湖南风电一场</t>
    <phoneticPr fontId="6" type="noConversion"/>
  </si>
  <si>
    <t>2022.7.21</t>
    <phoneticPr fontId="6" type="noConversion"/>
  </si>
  <si>
    <t>22039-2</t>
    <phoneticPr fontId="6" type="noConversion"/>
  </si>
  <si>
    <t>2022.7.27</t>
    <phoneticPr fontId="6" type="noConversion"/>
  </si>
  <si>
    <t>大唐托克逊风电开发有限公司</t>
    <phoneticPr fontId="6" type="noConversion"/>
  </si>
  <si>
    <t>2022.7.29</t>
    <phoneticPr fontId="6" type="noConversion"/>
  </si>
  <si>
    <t>衡水恒淼钢结构有限公司</t>
    <phoneticPr fontId="6" type="noConversion"/>
  </si>
  <si>
    <t>22043-1</t>
    <phoneticPr fontId="6" type="noConversion"/>
  </si>
  <si>
    <t>达坂城风电项目</t>
    <phoneticPr fontId="6" type="noConversion"/>
  </si>
  <si>
    <t>测风塔；测风塔设备</t>
    <phoneticPr fontId="21" type="noConversion"/>
  </si>
  <si>
    <t>约30.52%</t>
    <phoneticPr fontId="6" type="noConversion"/>
  </si>
  <si>
    <t>2022.7.15</t>
    <phoneticPr fontId="6" type="noConversion"/>
  </si>
  <si>
    <t>2022.8.1</t>
    <phoneticPr fontId="6" type="noConversion"/>
  </si>
  <si>
    <t>2022.8.9</t>
    <phoneticPr fontId="6" type="noConversion"/>
  </si>
  <si>
    <t>2022.8.10</t>
    <phoneticPr fontId="6" type="noConversion"/>
  </si>
  <si>
    <t>超短期软件；系统硬件</t>
    <phoneticPr fontId="6" type="noConversion"/>
  </si>
  <si>
    <t>服务16个月</t>
    <phoneticPr fontId="6" type="noConversion"/>
  </si>
  <si>
    <t>2022.8.14</t>
    <phoneticPr fontId="6" type="noConversion"/>
  </si>
  <si>
    <t>2022.8.15</t>
    <phoneticPr fontId="6" type="noConversion"/>
  </si>
  <si>
    <t>中水电中电风力发电有限公司</t>
  </si>
  <si>
    <t>2022.8.16</t>
    <phoneticPr fontId="6" type="noConversion"/>
  </si>
  <si>
    <t>2022.8.17</t>
    <phoneticPr fontId="6" type="noConversion"/>
  </si>
  <si>
    <t>2022.8.18</t>
    <phoneticPr fontId="6" type="noConversion"/>
  </si>
  <si>
    <t>2022.8.19</t>
    <phoneticPr fontId="6" type="noConversion"/>
  </si>
  <si>
    <t>黑龙江英大电力工程有限责任公司</t>
    <phoneticPr fontId="6" type="noConversion"/>
  </si>
  <si>
    <t>来福</t>
  </si>
  <si>
    <t>黑龙江光伏电站综合通讯管理系统软；系统硬件</t>
    <phoneticPr fontId="6" type="noConversion"/>
  </si>
  <si>
    <t>2022.8.24</t>
    <phoneticPr fontId="6" type="noConversion"/>
  </si>
  <si>
    <t>2022.8.25</t>
    <phoneticPr fontId="6" type="noConversion"/>
  </si>
  <si>
    <t>2022.8.26</t>
    <phoneticPr fontId="6" type="noConversion"/>
  </si>
  <si>
    <t>华电新疆天润托里新能源有限公司</t>
    <phoneticPr fontId="6" type="noConversion"/>
  </si>
  <si>
    <t>2022.9.1</t>
    <phoneticPr fontId="6" type="noConversion"/>
  </si>
  <si>
    <t>托里</t>
    <phoneticPr fontId="21" type="noConversion"/>
  </si>
  <si>
    <t>测风塔；测风塔设备；视频监控设备</t>
    <phoneticPr fontId="21" type="noConversion"/>
  </si>
  <si>
    <t>约1.46%</t>
    <phoneticPr fontId="6" type="noConversion"/>
  </si>
  <si>
    <t>约17.71%</t>
    <phoneticPr fontId="6" type="noConversion"/>
  </si>
  <si>
    <t>2022年9月1日收到承兑汇票5万元，汇票出票日期2022.8.9，汇票到期日期2023.2.9.分两个项目，其中19170-1合同3.4万元。19170-2合同1.6万元。</t>
    <phoneticPr fontId="6" type="noConversion"/>
  </si>
  <si>
    <t>2022.9.6</t>
    <phoneticPr fontId="6" type="noConversion"/>
  </si>
  <si>
    <t>2022.9.7</t>
    <phoneticPr fontId="6" type="noConversion"/>
  </si>
  <si>
    <t>2022.9.9</t>
    <phoneticPr fontId="6" type="noConversion"/>
  </si>
  <si>
    <t>华能林甸县清洁能源有限公司</t>
    <phoneticPr fontId="6" type="noConversion"/>
  </si>
  <si>
    <t>长胜</t>
    <phoneticPr fontId="21" type="noConversion"/>
  </si>
  <si>
    <t>中水建设</t>
    <phoneticPr fontId="21" type="noConversion"/>
  </si>
  <si>
    <t>王子</t>
    <phoneticPr fontId="21" type="noConversion"/>
  </si>
  <si>
    <t>2022.9.14</t>
    <phoneticPr fontId="6" type="noConversion"/>
  </si>
  <si>
    <t>吉林铧翊工程技术有限公司</t>
    <phoneticPr fontId="6" type="noConversion"/>
  </si>
  <si>
    <t>约27.34%</t>
  </si>
  <si>
    <t>2022.9.15</t>
    <phoneticPr fontId="6" type="noConversion"/>
  </si>
  <si>
    <t>2022.9.16</t>
    <phoneticPr fontId="6" type="noConversion"/>
  </si>
  <si>
    <t>中闽能</t>
    <phoneticPr fontId="21" type="noConversion"/>
  </si>
  <si>
    <t>山门</t>
    <phoneticPr fontId="21" type="noConversion"/>
  </si>
  <si>
    <t>2022.9.19</t>
    <phoneticPr fontId="6" type="noConversion"/>
  </si>
  <si>
    <t>2022.9.23</t>
    <phoneticPr fontId="6" type="noConversion"/>
  </si>
  <si>
    <t>扶余市成瑞风能有限公司</t>
    <phoneticPr fontId="6" type="noConversion"/>
  </si>
  <si>
    <t>扶余市吉成风能有限公司</t>
    <phoneticPr fontId="6" type="noConversion"/>
  </si>
  <si>
    <t>短期软件；超短期软件；预测服务1年</t>
    <phoneticPr fontId="21" type="noConversion"/>
  </si>
  <si>
    <t>铁岭镇西堡（镇西堡、李家屯、心田堡）</t>
    <phoneticPr fontId="21" type="noConversion"/>
  </si>
  <si>
    <t>2022.9.26</t>
    <phoneticPr fontId="6" type="noConversion"/>
  </si>
  <si>
    <t>沈阳博来德滋电子科技有限公司</t>
  </si>
  <si>
    <t>系统硬件</t>
  </si>
  <si>
    <t>2022.9.29</t>
    <phoneticPr fontId="6" type="noConversion"/>
  </si>
  <si>
    <t>大唐海林威虎山风力发电有限公司</t>
  </si>
  <si>
    <t>哈尔滨锐驰风力发电有限责任公司</t>
  </si>
  <si>
    <r>
      <t>2</t>
    </r>
    <r>
      <rPr>
        <sz val="9"/>
        <color indexed="8"/>
        <rFont val="宋体"/>
        <family val="3"/>
        <charset val="134"/>
      </rPr>
      <t>1183-4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</si>
  <si>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1183-1</t>
    </r>
    <phoneticPr fontId="6" type="noConversion"/>
  </si>
  <si>
    <r>
      <t>2</t>
    </r>
    <r>
      <rPr>
        <sz val="9"/>
        <color indexed="8"/>
        <rFont val="宋体"/>
        <family val="3"/>
        <charset val="134"/>
      </rPr>
      <t>1183-2</t>
    </r>
    <r>
      <rPr>
        <sz val="11"/>
        <color theme="1"/>
        <rFont val="宋体"/>
        <family val="2"/>
        <scheme val="minor"/>
      </rPr>
      <t/>
    </r>
  </si>
  <si>
    <t>21149-1</t>
    <phoneticPr fontId="6" type="noConversion"/>
  </si>
  <si>
    <t>21149-3</t>
    <phoneticPr fontId="6" type="noConversion"/>
  </si>
  <si>
    <t>2022.10.10</t>
    <phoneticPr fontId="6" type="noConversion"/>
  </si>
  <si>
    <t>2022.10.13</t>
    <phoneticPr fontId="6" type="noConversion"/>
  </si>
  <si>
    <t>河北新天科创新能源技术有限公司</t>
    <phoneticPr fontId="6" type="noConversion"/>
  </si>
  <si>
    <t>服务费</t>
    <phoneticPr fontId="21" type="noConversion"/>
  </si>
  <si>
    <t>质保款</t>
    <phoneticPr fontId="21" type="noConversion"/>
  </si>
  <si>
    <t>杨振坤</t>
    <phoneticPr fontId="21" type="noConversion"/>
  </si>
  <si>
    <t>2022.10.17</t>
    <phoneticPr fontId="6" type="noConversion"/>
  </si>
  <si>
    <t>上海巽竹科技有限公司</t>
    <phoneticPr fontId="6" type="noConversion"/>
  </si>
  <si>
    <t>2022.10.18</t>
    <phoneticPr fontId="6" type="noConversion"/>
  </si>
  <si>
    <t>国网黑龙江省电力有限公司</t>
    <phoneticPr fontId="6" type="noConversion"/>
  </si>
  <si>
    <t>2022.10.19</t>
    <phoneticPr fontId="6" type="noConversion"/>
  </si>
  <si>
    <t>2022.10.20</t>
    <phoneticPr fontId="6" type="noConversion"/>
  </si>
  <si>
    <t>2022.10.21</t>
    <phoneticPr fontId="6" type="noConversion"/>
  </si>
  <si>
    <t>国家电投集团宁夏能源铝业中卫新能源有限公司</t>
    <phoneticPr fontId="6" type="noConversion"/>
  </si>
  <si>
    <t>2022.10.24</t>
    <phoneticPr fontId="21" type="noConversion"/>
  </si>
  <si>
    <t>2022.10.25</t>
    <phoneticPr fontId="21" type="noConversion"/>
  </si>
  <si>
    <t>北京科东电力控制系统有限责任公司</t>
    <phoneticPr fontId="6" type="noConversion"/>
  </si>
  <si>
    <r>
      <t>21140</t>
    </r>
    <r>
      <rPr>
        <sz val="9"/>
        <color indexed="8"/>
        <rFont val="宋体"/>
        <family val="3"/>
        <charset val="134"/>
      </rPr>
      <t>-1</t>
    </r>
    <phoneticPr fontId="6" type="noConversion"/>
  </si>
  <si>
    <t>21140-2</t>
    <phoneticPr fontId="6" type="noConversion"/>
  </si>
  <si>
    <t>21140-3</t>
    <phoneticPr fontId="6" type="noConversion"/>
  </si>
  <si>
    <t>河北建投</t>
    <phoneticPr fontId="21" type="noConversion"/>
  </si>
  <si>
    <t>台安桑林</t>
  </si>
  <si>
    <t>风电AGC/AVC</t>
    <phoneticPr fontId="21" type="noConversion"/>
  </si>
  <si>
    <t>风电AGC软件；风电AVC软件；系统硬件</t>
    <phoneticPr fontId="21" type="noConversion"/>
  </si>
  <si>
    <t>辽宁风电场D5000二区软件；系统硬件</t>
    <phoneticPr fontId="21" type="noConversion"/>
  </si>
  <si>
    <t>王星</t>
    <phoneticPr fontId="21" type="noConversion"/>
  </si>
  <si>
    <t>21183-3</t>
    <phoneticPr fontId="21" type="noConversion"/>
  </si>
  <si>
    <t>华能烟墩北风电一场</t>
    <phoneticPr fontId="6" type="noConversion"/>
  </si>
  <si>
    <t>验收款</t>
    <phoneticPr fontId="21" type="noConversion"/>
  </si>
  <si>
    <t>21149-2</t>
    <phoneticPr fontId="21" type="noConversion"/>
  </si>
  <si>
    <t>运行款</t>
    <phoneticPr fontId="21" type="noConversion"/>
  </si>
  <si>
    <t>秦英飞</t>
    <phoneticPr fontId="21" type="noConversion"/>
  </si>
  <si>
    <r>
      <t>2</t>
    </r>
    <r>
      <rPr>
        <sz val="9"/>
        <color indexed="8"/>
        <rFont val="宋体"/>
        <family val="3"/>
        <charset val="134"/>
      </rPr>
      <t>1152-1</t>
    </r>
    <phoneticPr fontId="6" type="noConversion"/>
  </si>
  <si>
    <r>
      <t>2</t>
    </r>
    <r>
      <rPr>
        <sz val="9"/>
        <color indexed="8"/>
        <rFont val="宋体"/>
        <family val="3"/>
        <charset val="134"/>
      </rPr>
      <t>1152-2</t>
    </r>
    <r>
      <rPr>
        <sz val="11"/>
        <color theme="1"/>
        <rFont val="宋体"/>
        <family val="2"/>
        <scheme val="minor"/>
      </rPr>
      <t/>
    </r>
  </si>
  <si>
    <t>铁岭调兵山华仪+三峡能源泉眼沟</t>
    <phoneticPr fontId="21" type="noConversion"/>
  </si>
  <si>
    <t>2022.10.27</t>
    <phoneticPr fontId="21" type="noConversion"/>
  </si>
  <si>
    <t>2022.10.28</t>
    <phoneticPr fontId="21" type="noConversion"/>
  </si>
  <si>
    <t>约2.82%</t>
    <phoneticPr fontId="6" type="noConversion"/>
  </si>
  <si>
    <t>2022.10.17</t>
    <phoneticPr fontId="21" type="noConversion"/>
  </si>
  <si>
    <t>龙源(农安)风力发电有限公司</t>
    <phoneticPr fontId="6" type="noConversion"/>
  </si>
  <si>
    <t>2022.10.31</t>
    <phoneticPr fontId="21" type="noConversion"/>
  </si>
  <si>
    <t>龙源横山新能源有限公司</t>
    <phoneticPr fontId="6" type="noConversion"/>
  </si>
  <si>
    <t>靖边龙源新能源有限公司</t>
    <phoneticPr fontId="6" type="noConversion"/>
  </si>
  <si>
    <t>15003-2021</t>
    <phoneticPr fontId="6" type="noConversion"/>
  </si>
  <si>
    <t>15003-2022</t>
    <phoneticPr fontId="6" type="noConversion"/>
  </si>
  <si>
    <t>软件升级（预测上传10天）；系统硬件</t>
    <phoneticPr fontId="21" type="noConversion"/>
  </si>
  <si>
    <t>约3.26%</t>
    <phoneticPr fontId="6" type="noConversion"/>
  </si>
  <si>
    <t>靖边高家沟</t>
    <phoneticPr fontId="6" type="noConversion"/>
  </si>
  <si>
    <t>高家沟</t>
  </si>
  <si>
    <t>2022.11.4</t>
    <phoneticPr fontId="21" type="noConversion"/>
  </si>
  <si>
    <t>2022.11.9</t>
    <phoneticPr fontId="21" type="noConversion"/>
  </si>
  <si>
    <t>20035-1</t>
    <phoneticPr fontId="6" type="noConversion"/>
  </si>
  <si>
    <t>20035-2</t>
    <phoneticPr fontId="6" type="noConversion"/>
  </si>
  <si>
    <t>测风塔维护；测风塔设备</t>
    <phoneticPr fontId="21" type="noConversion"/>
  </si>
  <si>
    <t>2022.11.11</t>
    <phoneticPr fontId="21" type="noConversion"/>
  </si>
  <si>
    <t>测风塔维护；预测服务1年</t>
    <phoneticPr fontId="21" type="noConversion"/>
  </si>
  <si>
    <t>2022.11.14</t>
    <phoneticPr fontId="6" type="noConversion"/>
  </si>
  <si>
    <t>南京国电南自电网自动化有限公司</t>
    <phoneticPr fontId="21" type="noConversion"/>
  </si>
  <si>
    <t>富裕友谊50MW风电平价上网项目</t>
    <phoneticPr fontId="21" type="noConversion"/>
  </si>
  <si>
    <t>黑龙江风电场综合通讯管理系统软件；系统硬件</t>
    <phoneticPr fontId="21" type="noConversion"/>
  </si>
  <si>
    <r>
      <t>2</t>
    </r>
    <r>
      <rPr>
        <sz val="9"/>
        <color indexed="8"/>
        <rFont val="宋体"/>
        <family val="3"/>
        <charset val="134"/>
      </rPr>
      <t>2012-1</t>
    </r>
    <phoneticPr fontId="6" type="noConversion"/>
  </si>
  <si>
    <r>
      <t>2</t>
    </r>
    <r>
      <rPr>
        <sz val="9"/>
        <color indexed="8"/>
        <rFont val="宋体"/>
        <family val="3"/>
        <charset val="134"/>
      </rPr>
      <t>2012-2</t>
    </r>
    <r>
      <rPr>
        <sz val="11"/>
        <color theme="1"/>
        <rFont val="宋体"/>
        <family val="2"/>
        <scheme val="minor"/>
      </rPr>
      <t/>
    </r>
  </si>
  <si>
    <t>约32.07%</t>
    <phoneticPr fontId="6" type="noConversion"/>
  </si>
  <si>
    <t>2022年11月14日收到承兑汇票20万元，汇票出票日期2022.4.13，汇票到期日期2023.4.5.分两个项目，其中22012-1合同16.1万元。22012-2合同3.9万元。</t>
    <phoneticPr fontId="6" type="noConversion"/>
  </si>
  <si>
    <t>2022.11.16</t>
    <phoneticPr fontId="6" type="noConversion"/>
  </si>
  <si>
    <t>2022.11.17</t>
    <phoneticPr fontId="6" type="noConversion"/>
  </si>
  <si>
    <t>葫芦岛全方新能源风电有限公司</t>
    <phoneticPr fontId="21" type="noConversion"/>
  </si>
  <si>
    <t>华能哈密风力发电有限公司</t>
    <phoneticPr fontId="21" type="noConversion"/>
  </si>
  <si>
    <t>河北新天科创新能源技术有限公司</t>
    <phoneticPr fontId="21" type="noConversion"/>
  </si>
  <si>
    <t>22039-1</t>
    <phoneticPr fontId="6" type="noConversion"/>
  </si>
  <si>
    <t>系统硬件；技术服务（预测三区换到二区）</t>
    <phoneticPr fontId="21" type="noConversion"/>
  </si>
  <si>
    <t>2022.11.22</t>
    <phoneticPr fontId="6" type="noConversion"/>
  </si>
  <si>
    <t>上海巽竹科技有限公司</t>
    <phoneticPr fontId="21" type="noConversion"/>
  </si>
  <si>
    <t>海林中电红旗风力发电有限公司</t>
    <phoneticPr fontId="21" type="noConversion"/>
  </si>
  <si>
    <t>2022.11.23</t>
    <phoneticPr fontId="6" type="noConversion"/>
  </si>
  <si>
    <t>蒙东协合镇赉第一风力发电有限公司</t>
    <phoneticPr fontId="21" type="noConversion"/>
  </si>
  <si>
    <t>云南</t>
    <phoneticPr fontId="21" type="noConversion"/>
  </si>
  <si>
    <t>五街</t>
    <phoneticPr fontId="21" type="noConversion"/>
  </si>
  <si>
    <r>
      <t>短期软件；超短期软件；预测服务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3"/>
        <charset val="134"/>
        <scheme val="minor"/>
      </rPr>
      <t>年</t>
    </r>
    <phoneticPr fontId="21" type="noConversion"/>
  </si>
  <si>
    <t>2022.11.25</t>
    <phoneticPr fontId="6" type="noConversion"/>
  </si>
  <si>
    <t>2022.11.29</t>
    <phoneticPr fontId="6" type="noConversion"/>
  </si>
  <si>
    <t>2022.12.2</t>
    <phoneticPr fontId="6" type="noConversion"/>
  </si>
  <si>
    <t>国华（铜川）新能源有限公司</t>
    <phoneticPr fontId="21" type="noConversion"/>
  </si>
  <si>
    <t>阳光智维科技有限公司</t>
    <phoneticPr fontId="21" type="noConversion"/>
  </si>
  <si>
    <r>
      <t>2</t>
    </r>
    <r>
      <rPr>
        <sz val="9"/>
        <color indexed="8"/>
        <rFont val="宋体"/>
        <family val="3"/>
        <charset val="134"/>
      </rPr>
      <t>2080-1</t>
    </r>
    <phoneticPr fontId="6" type="noConversion"/>
  </si>
  <si>
    <r>
      <t>2</t>
    </r>
    <r>
      <rPr>
        <sz val="9"/>
        <color indexed="8"/>
        <rFont val="宋体"/>
        <family val="3"/>
        <charset val="134"/>
      </rPr>
      <t>2080-2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</si>
  <si>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2080-3</t>
    </r>
    <r>
      <rPr>
        <sz val="11"/>
        <color theme="1"/>
        <rFont val="宋体"/>
        <family val="2"/>
        <scheme val="minor"/>
      </rPr>
      <t/>
    </r>
  </si>
  <si>
    <t>预测服务18个月</t>
    <phoneticPr fontId="21" type="noConversion"/>
  </si>
  <si>
    <t>美林</t>
    <phoneticPr fontId="21" type="noConversion"/>
  </si>
  <si>
    <t>2022.12.5</t>
    <phoneticPr fontId="6" type="noConversion"/>
  </si>
  <si>
    <t>2022.12.6</t>
    <phoneticPr fontId="6" type="noConversion"/>
  </si>
  <si>
    <t>国华（神木）新能源有限公司</t>
    <phoneticPr fontId="21" type="noConversion"/>
  </si>
  <si>
    <t>华电吉林双辽风力发电有限公司</t>
    <phoneticPr fontId="21" type="noConversion"/>
  </si>
  <si>
    <t>湖南泰威电力科技有限公司</t>
    <phoneticPr fontId="21" type="noConversion"/>
  </si>
  <si>
    <t>湖南</t>
    <phoneticPr fontId="21" type="noConversion"/>
  </si>
  <si>
    <t>马梦迪</t>
    <phoneticPr fontId="21" type="noConversion"/>
  </si>
  <si>
    <t>2022.12.12</t>
    <phoneticPr fontId="6" type="noConversion"/>
  </si>
  <si>
    <t>2022.12.13</t>
    <phoneticPr fontId="6" type="noConversion"/>
  </si>
  <si>
    <t>2022.12.14</t>
    <phoneticPr fontId="6" type="noConversion"/>
  </si>
  <si>
    <t>2022.12.15</t>
    <phoneticPr fontId="6" type="noConversion"/>
  </si>
  <si>
    <t>2022.12.19</t>
    <phoneticPr fontId="6" type="noConversion"/>
  </si>
  <si>
    <t>2022.12.21</t>
    <phoneticPr fontId="6" type="noConversion"/>
  </si>
  <si>
    <t>2022.12.22</t>
    <phoneticPr fontId="6" type="noConversion"/>
  </si>
  <si>
    <t>2022.12.23</t>
    <phoneticPr fontId="6" type="noConversion"/>
  </si>
  <si>
    <t>2022.12.26</t>
    <phoneticPr fontId="6" type="noConversion"/>
  </si>
  <si>
    <t>华电铁岭风力发电有限公司</t>
    <phoneticPr fontId="21" type="noConversion"/>
  </si>
  <si>
    <t>华润新能源（安达）有限公司</t>
    <phoneticPr fontId="21" type="noConversion"/>
  </si>
  <si>
    <t>长春华信电力成套设备有限公司</t>
    <phoneticPr fontId="21" type="noConversion"/>
  </si>
  <si>
    <t>国家电投集团广西金紫山风电有限公司</t>
    <phoneticPr fontId="21" type="noConversion"/>
  </si>
  <si>
    <t>国电霞浦延亭风力发电有限公司</t>
    <phoneticPr fontId="21" type="noConversion"/>
  </si>
  <si>
    <t>松原绿筑光伏发电有限公司</t>
    <phoneticPr fontId="21" type="noConversion"/>
  </si>
  <si>
    <t>国家电投集团宁夏能源铝业中卫新能源有限公司</t>
    <phoneticPr fontId="21" type="noConversion"/>
  </si>
  <si>
    <t>国家电投集团广西兴安风电有限公司</t>
    <phoneticPr fontId="21" type="noConversion"/>
  </si>
  <si>
    <t>国电</t>
    <phoneticPr fontId="21" type="noConversion"/>
  </si>
  <si>
    <t>霞浦延亭（一期+二期）</t>
    <phoneticPr fontId="21" type="noConversion"/>
  </si>
  <si>
    <t>软件升级；系统硬件</t>
    <phoneticPr fontId="21" type="noConversion"/>
  </si>
  <si>
    <t>富裕</t>
    <phoneticPr fontId="21" type="noConversion"/>
  </si>
  <si>
    <r>
      <t>2</t>
    </r>
    <r>
      <rPr>
        <sz val="9"/>
        <color indexed="8"/>
        <rFont val="宋体"/>
        <family val="3"/>
        <charset val="134"/>
      </rPr>
      <t>2068-1</t>
    </r>
    <phoneticPr fontId="6" type="noConversion"/>
  </si>
  <si>
    <r>
      <t>2</t>
    </r>
    <r>
      <rPr>
        <sz val="9"/>
        <color indexed="8"/>
        <rFont val="宋体"/>
        <family val="3"/>
        <charset val="134"/>
      </rPr>
      <t>2068-2</t>
    </r>
    <r>
      <rPr>
        <sz val="11"/>
        <color theme="1"/>
        <rFont val="宋体"/>
        <family val="2"/>
        <scheme val="minor"/>
      </rPr>
      <t/>
    </r>
  </si>
  <si>
    <t>松原绿筑</t>
    <phoneticPr fontId="21" type="noConversion"/>
  </si>
  <si>
    <t>预测服务18个月；软件升级（预测上传10天）</t>
    <phoneticPr fontId="21" type="noConversion"/>
  </si>
  <si>
    <r>
      <t>2</t>
    </r>
    <r>
      <rPr>
        <sz val="9"/>
        <color indexed="8"/>
        <rFont val="宋体"/>
        <family val="3"/>
        <charset val="134"/>
      </rPr>
      <t>2155-1</t>
    </r>
    <phoneticPr fontId="6" type="noConversion"/>
  </si>
  <si>
    <r>
      <t>2</t>
    </r>
    <r>
      <rPr>
        <sz val="9"/>
        <color indexed="8"/>
        <rFont val="宋体"/>
        <family val="3"/>
        <charset val="134"/>
      </rPr>
      <t>2155-2</t>
    </r>
    <phoneticPr fontId="6" type="noConversion"/>
  </si>
  <si>
    <t>坵坪</t>
    <phoneticPr fontId="21" type="noConversion"/>
  </si>
  <si>
    <t>广西风电场电力安全二区综合通讯系统软件；系统硬件</t>
    <phoneticPr fontId="6" type="noConversion"/>
  </si>
  <si>
    <t>瞻榆</t>
    <phoneticPr fontId="6" type="noConversion"/>
  </si>
  <si>
    <t>2022.12.27</t>
    <phoneticPr fontId="6" type="noConversion"/>
  </si>
  <si>
    <t>2022.12.28</t>
    <phoneticPr fontId="6" type="noConversion"/>
  </si>
  <si>
    <t>2022.12.29</t>
    <phoneticPr fontId="6" type="noConversion"/>
  </si>
  <si>
    <t>大唐巴里坤风电开发有限公司</t>
    <phoneticPr fontId="21" type="noConversion"/>
  </si>
  <si>
    <t>三峡新能源大连发电有限公司</t>
    <phoneticPr fontId="21" type="noConversion"/>
  </si>
  <si>
    <t>华能同江风力发电有限公司</t>
    <phoneticPr fontId="21" type="noConversion"/>
  </si>
  <si>
    <t>肇州县隆辉新能源有限公司</t>
    <phoneticPr fontId="21" type="noConversion"/>
  </si>
  <si>
    <t>软件升级；系统硬件；主机加固</t>
    <phoneticPr fontId="21" type="noConversion"/>
  </si>
  <si>
    <t>三塘湖</t>
    <phoneticPr fontId="6" type="noConversion"/>
  </si>
  <si>
    <t>风电AVC软件；系统硬件</t>
  </si>
  <si>
    <t>隆辉</t>
    <phoneticPr fontId="6" type="noConversion"/>
  </si>
  <si>
    <t>20174-1</t>
    <phoneticPr fontId="6" type="noConversion"/>
  </si>
  <si>
    <t>22012-1</t>
    <phoneticPr fontId="6" type="noConversion"/>
  </si>
  <si>
    <t>约21.71%</t>
    <phoneticPr fontId="6" type="noConversion"/>
  </si>
  <si>
    <t>2023年销售合同回款登记台账</t>
    <phoneticPr fontId="11" type="noConversion"/>
  </si>
  <si>
    <t>2023年合计</t>
    <phoneticPr fontId="11" type="noConversion"/>
  </si>
  <si>
    <t>2023.1.4</t>
    <phoneticPr fontId="6" type="noConversion"/>
  </si>
  <si>
    <t>北京四方继保工程技术有限公司保定分公司</t>
    <phoneticPr fontId="21" type="noConversion"/>
  </si>
  <si>
    <t>2023.1.6</t>
    <phoneticPr fontId="6" type="noConversion"/>
  </si>
  <si>
    <t>肇东中广核新能源科技开发有限公司</t>
    <phoneticPr fontId="21" type="noConversion"/>
  </si>
  <si>
    <t>创新奇智（青岛）科技有限公司</t>
    <phoneticPr fontId="21" type="noConversion"/>
  </si>
  <si>
    <t>2023.1.11</t>
    <phoneticPr fontId="6" type="noConversion"/>
  </si>
  <si>
    <t>中节能风力发电（哈密）有限公司</t>
    <phoneticPr fontId="21" type="noConversion"/>
  </si>
  <si>
    <t>2023.1.13</t>
    <phoneticPr fontId="6" type="noConversion"/>
  </si>
  <si>
    <t>肇东华能德昌太阳能发电有限公司</t>
    <phoneticPr fontId="21" type="noConversion"/>
  </si>
  <si>
    <t>2023.1.16</t>
    <phoneticPr fontId="6" type="noConversion"/>
  </si>
  <si>
    <t>2023.1.17</t>
    <phoneticPr fontId="6" type="noConversion"/>
  </si>
  <si>
    <t>大唐吉林风力发电股份有限公司</t>
    <phoneticPr fontId="21" type="noConversion"/>
  </si>
  <si>
    <t>大唐中电（吉林）新能源发电有限公司双辽分公司</t>
    <phoneticPr fontId="21" type="noConversion"/>
  </si>
  <si>
    <t>大唐向阳风电有限公司</t>
    <phoneticPr fontId="21" type="noConversion"/>
  </si>
  <si>
    <t>肇东尚家镇</t>
    <phoneticPr fontId="6" type="noConversion"/>
  </si>
  <si>
    <t>验收款+运行款</t>
    <phoneticPr fontId="6" type="noConversion"/>
  </si>
  <si>
    <t>升压站视频监控系统</t>
    <phoneticPr fontId="21" type="noConversion"/>
  </si>
  <si>
    <r>
      <t>2</t>
    </r>
    <r>
      <rPr>
        <sz val="9"/>
        <color indexed="8"/>
        <rFont val="宋体"/>
        <family val="3"/>
        <charset val="134"/>
      </rPr>
      <t>2022-1</t>
    </r>
    <phoneticPr fontId="6" type="noConversion"/>
  </si>
  <si>
    <r>
      <t>2</t>
    </r>
    <r>
      <rPr>
        <sz val="9"/>
        <color indexed="8"/>
        <rFont val="宋体"/>
        <family val="3"/>
        <charset val="134"/>
      </rPr>
      <t>2022-2</t>
    </r>
    <r>
      <rPr>
        <sz val="11"/>
        <color theme="1"/>
        <rFont val="宋体"/>
        <family val="2"/>
        <scheme val="minor"/>
      </rPr>
      <t/>
    </r>
  </si>
  <si>
    <t>中节能</t>
    <phoneticPr fontId="21" type="noConversion"/>
  </si>
  <si>
    <t>哈密景峡</t>
    <phoneticPr fontId="21" type="noConversion"/>
  </si>
  <si>
    <t>光伏气象站维护；预测服务1年</t>
    <phoneticPr fontId="21" type="noConversion"/>
  </si>
  <si>
    <t>洮南</t>
    <phoneticPr fontId="21" type="noConversion"/>
  </si>
  <si>
    <t>向阳</t>
    <phoneticPr fontId="21" type="noConversion"/>
  </si>
  <si>
    <t>新艾里</t>
    <phoneticPr fontId="21" type="noConversion"/>
  </si>
  <si>
    <t>双辽</t>
    <phoneticPr fontId="21" type="noConversion"/>
  </si>
  <si>
    <t>山东泰开高压开关有限公司</t>
    <phoneticPr fontId="21" type="noConversion"/>
  </si>
  <si>
    <t>余字（一期）</t>
    <phoneticPr fontId="21" type="noConversion"/>
  </si>
  <si>
    <t>2023.1.18</t>
    <phoneticPr fontId="6" type="noConversion"/>
  </si>
  <si>
    <t>巴里坤东方民生新能源有限公司</t>
    <phoneticPr fontId="21" type="noConversion"/>
  </si>
  <si>
    <t>新疆华电苦水风电有限责任公司</t>
    <phoneticPr fontId="21" type="noConversion"/>
  </si>
  <si>
    <t>2023.1.19</t>
    <phoneticPr fontId="6" type="noConversion"/>
  </si>
  <si>
    <t>国电和风风电开发有限公司桦川分公司</t>
    <phoneticPr fontId="21" type="noConversion"/>
  </si>
  <si>
    <t>2023.1.28</t>
    <phoneticPr fontId="6" type="noConversion"/>
  </si>
  <si>
    <t>伊吾东方民生新能源有限公司</t>
    <phoneticPr fontId="21" type="noConversion"/>
  </si>
  <si>
    <t>新疆华电淖毛湖风电有限责任公司</t>
    <phoneticPr fontId="21" type="noConversion"/>
  </si>
  <si>
    <t>2023.2.2</t>
    <phoneticPr fontId="6" type="noConversion"/>
  </si>
  <si>
    <t>福建中核高嵛山风电有限公司</t>
    <phoneticPr fontId="21" type="noConversion"/>
  </si>
  <si>
    <t>2023.2.6</t>
    <phoneticPr fontId="6" type="noConversion"/>
  </si>
  <si>
    <r>
      <t>2</t>
    </r>
    <r>
      <rPr>
        <sz val="9"/>
        <color indexed="8"/>
        <rFont val="宋体"/>
        <family val="3"/>
        <charset val="134"/>
      </rPr>
      <t>2061-1</t>
    </r>
    <phoneticPr fontId="6" type="noConversion"/>
  </si>
  <si>
    <r>
      <t>2</t>
    </r>
    <r>
      <rPr>
        <sz val="9"/>
        <color indexed="8"/>
        <rFont val="宋体"/>
        <family val="3"/>
        <charset val="134"/>
      </rPr>
      <t>2061-2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</si>
  <si>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2061-3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</si>
  <si>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2160-4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</si>
  <si>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1183-3</t>
    </r>
    <r>
      <rPr>
        <sz val="11"/>
        <color theme="1"/>
        <rFont val="宋体"/>
        <family val="2"/>
        <scheme val="minor"/>
      </rPr>
      <t/>
    </r>
  </si>
  <si>
    <t>约8.27%</t>
    <phoneticPr fontId="6" type="noConversion"/>
  </si>
  <si>
    <t>2023.2.7</t>
    <phoneticPr fontId="6" type="noConversion"/>
  </si>
  <si>
    <t>2023.2.8</t>
    <phoneticPr fontId="6" type="noConversion"/>
  </si>
  <si>
    <t>2023.2.9</t>
    <phoneticPr fontId="6" type="noConversion"/>
  </si>
  <si>
    <t>2023.2.10</t>
    <phoneticPr fontId="6" type="noConversion"/>
  </si>
  <si>
    <t>宁安镜泊二道岭风力发电有限公司</t>
    <phoneticPr fontId="21" type="noConversion"/>
  </si>
  <si>
    <t>宁德蕉城闽电新能源有限公司</t>
    <phoneticPr fontId="21" type="noConversion"/>
  </si>
  <si>
    <t>大唐哈密风电开发有限公司</t>
    <phoneticPr fontId="21" type="noConversion"/>
  </si>
  <si>
    <t>宁安头道岭、二道岭</t>
    <phoneticPr fontId="6" type="noConversion"/>
  </si>
  <si>
    <t>22160-11</t>
    <phoneticPr fontId="6" type="noConversion"/>
  </si>
  <si>
    <t>20095-1</t>
    <phoneticPr fontId="6" type="noConversion"/>
  </si>
  <si>
    <t>20095-2</t>
    <phoneticPr fontId="6" type="noConversion"/>
  </si>
  <si>
    <t>中卫香山第四风电场、中卫香山第六风电场</t>
  </si>
  <si>
    <t>20174-2</t>
    <phoneticPr fontId="6" type="noConversion"/>
  </si>
  <si>
    <r>
      <t>2</t>
    </r>
    <r>
      <rPr>
        <sz val="9"/>
        <color indexed="8"/>
        <rFont val="宋体"/>
        <family val="3"/>
        <charset val="134"/>
      </rPr>
      <t>2082-1</t>
    </r>
    <phoneticPr fontId="6" type="noConversion"/>
  </si>
  <si>
    <r>
      <t>2</t>
    </r>
    <r>
      <rPr>
        <sz val="9"/>
        <color indexed="8"/>
        <rFont val="宋体"/>
        <family val="3"/>
        <charset val="134"/>
      </rPr>
      <t>2082-2</t>
    </r>
    <r>
      <rPr>
        <sz val="11"/>
        <color theme="1"/>
        <rFont val="宋体"/>
        <family val="2"/>
        <scheme val="minor"/>
      </rPr>
      <t/>
    </r>
  </si>
  <si>
    <t>宁夏</t>
    <phoneticPr fontId="21" type="noConversion"/>
  </si>
  <si>
    <t>中卫香山第四风电场</t>
    <phoneticPr fontId="21" type="noConversion"/>
  </si>
  <si>
    <t>中卫香山第六风电场</t>
    <phoneticPr fontId="21" type="noConversion"/>
  </si>
  <si>
    <t>雅满苏</t>
    <phoneticPr fontId="21" type="noConversion"/>
  </si>
  <si>
    <t>光伏气象站；光伏气象站设备</t>
    <phoneticPr fontId="21" type="noConversion"/>
  </si>
  <si>
    <t>2023.2.13</t>
    <phoneticPr fontId="6" type="noConversion"/>
  </si>
  <si>
    <t>大唐大庆东辉新能源有限公司</t>
    <phoneticPr fontId="21" type="noConversion"/>
  </si>
  <si>
    <t>哈尔滨锐驰风力发电有限责任公司</t>
    <phoneticPr fontId="21" type="noConversion"/>
  </si>
  <si>
    <t>22160-9</t>
    <phoneticPr fontId="6" type="noConversion"/>
  </si>
  <si>
    <r>
      <t>2</t>
    </r>
    <r>
      <rPr>
        <sz val="9"/>
        <color indexed="8"/>
        <rFont val="宋体"/>
        <family val="3"/>
        <charset val="134"/>
      </rPr>
      <t>2160-7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</si>
  <si>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2160-2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</si>
  <si>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2160-3</t>
    </r>
    <r>
      <rPr>
        <sz val="11"/>
        <color theme="1"/>
        <rFont val="宋体"/>
        <family val="2"/>
        <scheme val="minor"/>
      </rPr>
      <t/>
    </r>
  </si>
  <si>
    <t>22160-1</t>
    <phoneticPr fontId="6" type="noConversion"/>
  </si>
  <si>
    <t>2023.2.14</t>
    <phoneticPr fontId="6" type="noConversion"/>
  </si>
  <si>
    <t>大唐大庆东岗新能源有限公司</t>
    <phoneticPr fontId="21" type="noConversion"/>
  </si>
  <si>
    <t>2023.2.15</t>
    <phoneticPr fontId="6" type="noConversion"/>
  </si>
  <si>
    <t>22160-10</t>
    <phoneticPr fontId="6" type="noConversion"/>
  </si>
  <si>
    <t>东安</t>
    <phoneticPr fontId="6" type="noConversion"/>
  </si>
  <si>
    <r>
      <t>2</t>
    </r>
    <r>
      <rPr>
        <sz val="9"/>
        <color indexed="8"/>
        <rFont val="宋体"/>
        <family val="3"/>
        <charset val="134"/>
      </rPr>
      <t>1149-1</t>
    </r>
    <phoneticPr fontId="6" type="noConversion"/>
  </si>
  <si>
    <r>
      <t>2</t>
    </r>
    <r>
      <rPr>
        <sz val="9"/>
        <color indexed="8"/>
        <rFont val="宋体"/>
        <family val="3"/>
        <charset val="134"/>
      </rPr>
      <t>2160-5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</si>
  <si>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1149-3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</si>
  <si>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2160-6</t>
    </r>
    <r>
      <rPr>
        <sz val="11"/>
        <color theme="1"/>
        <rFont val="宋体"/>
        <family val="2"/>
        <scheme val="minor"/>
      </rPr>
      <t/>
    </r>
  </si>
  <si>
    <t>2023.2.16</t>
    <phoneticPr fontId="6" type="noConversion"/>
  </si>
  <si>
    <t>遂川大唐汉业新能源有限公司</t>
    <phoneticPr fontId="21" type="noConversion"/>
  </si>
  <si>
    <t>遂川清秀</t>
    <phoneticPr fontId="6" type="noConversion"/>
  </si>
  <si>
    <t>2023.2.20</t>
    <phoneticPr fontId="6" type="noConversion"/>
  </si>
  <si>
    <t>大唐海林威虎山风力发电有限公司</t>
    <phoneticPr fontId="21" type="noConversion"/>
  </si>
  <si>
    <t>2023.2.24</t>
    <phoneticPr fontId="6" type="noConversion"/>
  </si>
  <si>
    <t>中国大唐集团财务有限公司
大唐黑龙江新能源开发有限公司集贤太平风力发电分公司</t>
    <phoneticPr fontId="21" type="noConversion"/>
  </si>
  <si>
    <t>21152-1</t>
    <phoneticPr fontId="6" type="noConversion"/>
  </si>
  <si>
    <t>国能陕西新能源发电有限公司靖边分公司
国电陕西新能源有限公司</t>
    <phoneticPr fontId="21" type="noConversion"/>
  </si>
  <si>
    <t>19168-1</t>
    <phoneticPr fontId="6" type="noConversion"/>
  </si>
  <si>
    <t>19168-2</t>
    <phoneticPr fontId="6" type="noConversion"/>
  </si>
  <si>
    <t>2023.2.27</t>
    <phoneticPr fontId="6" type="noConversion"/>
  </si>
  <si>
    <t>蒲类海麻黄沟西风电场</t>
    <phoneticPr fontId="21" type="noConversion"/>
  </si>
  <si>
    <t>2023.2.27</t>
    <phoneticPr fontId="21" type="noConversion"/>
  </si>
  <si>
    <t>21152-2</t>
    <phoneticPr fontId="21" type="noConversion"/>
  </si>
  <si>
    <t>中国大唐集团财务有限公司
大唐黑龙江新能源开发有限公司华安（齐齐哈尔）风力发电分公司</t>
    <phoneticPr fontId="21" type="noConversion"/>
  </si>
  <si>
    <r>
      <t>2</t>
    </r>
    <r>
      <rPr>
        <sz val="9"/>
        <color indexed="8"/>
        <rFont val="宋体"/>
        <family val="3"/>
        <charset val="134"/>
      </rPr>
      <t>2160-8</t>
    </r>
    <r>
      <rPr>
        <sz val="11"/>
        <color theme="1"/>
        <rFont val="宋体"/>
        <family val="2"/>
        <scheme val="minor"/>
      </rPr>
      <t/>
    </r>
  </si>
  <si>
    <t>2023.3.6</t>
    <phoneticPr fontId="6" type="noConversion"/>
  </si>
  <si>
    <r>
      <t>2</t>
    </r>
    <r>
      <rPr>
        <sz val="9"/>
        <color indexed="8"/>
        <rFont val="宋体"/>
        <family val="3"/>
        <charset val="134"/>
      </rPr>
      <t>1149-2</t>
    </r>
    <r>
      <rPr>
        <sz val="11"/>
        <color theme="1"/>
        <rFont val="宋体"/>
        <family val="2"/>
        <scheme val="minor"/>
      </rPr>
      <t/>
    </r>
  </si>
  <si>
    <t>安达众城能源有限公司</t>
    <phoneticPr fontId="6" type="noConversion"/>
  </si>
  <si>
    <t>安达畜牧场</t>
    <phoneticPr fontId="21" type="noConversion"/>
  </si>
  <si>
    <t>2023.3.14</t>
    <phoneticPr fontId="6" type="noConversion"/>
  </si>
  <si>
    <t>2023.3.16</t>
    <phoneticPr fontId="6" type="noConversion"/>
  </si>
  <si>
    <t>2023.3.20</t>
    <phoneticPr fontId="6" type="noConversion"/>
  </si>
  <si>
    <t>2023.3.21</t>
    <phoneticPr fontId="6" type="noConversion"/>
  </si>
  <si>
    <t>大庆美阳达新能源科技开发有限公司</t>
    <phoneticPr fontId="6" type="noConversion"/>
  </si>
  <si>
    <t>华电巴里坤新能源有限公司
巴里坤东方民生新能源有限公司</t>
    <phoneticPr fontId="6" type="noConversion"/>
  </si>
  <si>
    <t>美阳达</t>
    <phoneticPr fontId="6" type="noConversion"/>
  </si>
  <si>
    <t>2023.3.15</t>
    <phoneticPr fontId="6" type="noConversion"/>
  </si>
  <si>
    <t>锦州和兴风力发电有限公司</t>
    <phoneticPr fontId="6" type="noConversion"/>
  </si>
  <si>
    <t>2023.3.27</t>
    <phoneticPr fontId="6" type="noConversion"/>
  </si>
  <si>
    <t>2023.3.28</t>
    <phoneticPr fontId="6" type="noConversion"/>
  </si>
  <si>
    <t>2023.3.29</t>
    <phoneticPr fontId="6" type="noConversion"/>
  </si>
  <si>
    <t>哈密海新能源有限公司</t>
    <phoneticPr fontId="6" type="noConversion"/>
  </si>
  <si>
    <t>国能陕西新能源发电有限公司
国电陕西新能源有限公司</t>
    <phoneticPr fontId="6" type="noConversion"/>
  </si>
  <si>
    <t>中船重工</t>
    <phoneticPr fontId="21" type="noConversion"/>
  </si>
  <si>
    <t>第十三师三塘湖</t>
    <phoneticPr fontId="21" type="noConversion"/>
  </si>
  <si>
    <t>进度款+验收款</t>
    <phoneticPr fontId="6" type="noConversion"/>
  </si>
  <si>
    <t>2023.4.3</t>
    <phoneticPr fontId="6" type="noConversion"/>
  </si>
  <si>
    <t>2023.4.7</t>
    <phoneticPr fontId="6" type="noConversion"/>
  </si>
  <si>
    <t>预测服务6个月</t>
    <phoneticPr fontId="6" type="noConversion"/>
  </si>
  <si>
    <t>2023.4.13</t>
    <phoneticPr fontId="6" type="noConversion"/>
  </si>
  <si>
    <t>中国二十二冶集团有限公司</t>
    <phoneticPr fontId="6" type="noConversion"/>
  </si>
  <si>
    <t>2023.4.18</t>
    <phoneticPr fontId="6" type="noConversion"/>
  </si>
  <si>
    <t>吉电未来智维能源科技（吉林）有限公司</t>
    <phoneticPr fontId="6" type="noConversion"/>
  </si>
  <si>
    <t>2023.4.19</t>
    <phoneticPr fontId="6" type="noConversion"/>
  </si>
  <si>
    <t>三峡新能源大连发电有限公司</t>
    <phoneticPr fontId="6" type="noConversion"/>
  </si>
  <si>
    <t>2023.4.20</t>
    <phoneticPr fontId="6" type="noConversion"/>
  </si>
  <si>
    <t>战海（二期）</t>
    <phoneticPr fontId="6" type="noConversion"/>
  </si>
  <si>
    <r>
      <t>2</t>
    </r>
    <r>
      <rPr>
        <sz val="9"/>
        <color indexed="8"/>
        <rFont val="宋体"/>
        <family val="3"/>
        <charset val="134"/>
      </rPr>
      <t>1079-1</t>
    </r>
    <phoneticPr fontId="6" type="noConversion"/>
  </si>
  <si>
    <t>约55.21%</t>
    <phoneticPr fontId="21" type="noConversion"/>
  </si>
  <si>
    <r>
      <t>22043</t>
    </r>
    <r>
      <rPr>
        <sz val="9"/>
        <color indexed="8"/>
        <rFont val="宋体"/>
        <family val="3"/>
        <charset val="134"/>
      </rPr>
      <t>-1</t>
    </r>
    <phoneticPr fontId="6" type="noConversion"/>
  </si>
  <si>
    <t>约8.26%</t>
    <phoneticPr fontId="21" type="noConversion"/>
  </si>
  <si>
    <t>约1.19%</t>
    <phoneticPr fontId="21" type="noConversion"/>
  </si>
  <si>
    <t>约58.81%</t>
    <phoneticPr fontId="21" type="noConversion"/>
  </si>
  <si>
    <t>梅里斯</t>
    <phoneticPr fontId="21" type="noConversion"/>
  </si>
  <si>
    <t>短期软件；超短期软件；系统硬件；测风塔设备；预测服务1年</t>
    <phoneticPr fontId="21" type="noConversion"/>
  </si>
  <si>
    <r>
      <t>2</t>
    </r>
    <r>
      <rPr>
        <sz val="9"/>
        <color indexed="8"/>
        <rFont val="宋体"/>
        <family val="3"/>
        <charset val="134"/>
      </rPr>
      <t>2131-1</t>
    </r>
    <phoneticPr fontId="6" type="noConversion"/>
  </si>
  <si>
    <t>22131-2</t>
    <phoneticPr fontId="6" type="noConversion"/>
  </si>
  <si>
    <t>22131-3</t>
    <phoneticPr fontId="6" type="noConversion"/>
  </si>
  <si>
    <t>2023年4月20日收到电子银行承兑汇票38.79万元，汇票出票日期2023.3.10，汇票到期日期2023.9.10.分三个项目，其中22131-1合同25.23万元。22131-2合同6万元。22131-3合同7.56万元。</t>
    <phoneticPr fontId="6" type="noConversion"/>
  </si>
  <si>
    <t>2023.4.24</t>
    <phoneticPr fontId="6" type="noConversion"/>
  </si>
  <si>
    <t>2023.4.25</t>
    <phoneticPr fontId="6" type="noConversion"/>
  </si>
  <si>
    <t>2023.4.26</t>
    <phoneticPr fontId="6" type="noConversion"/>
  </si>
  <si>
    <t>技术服务（数据转发集控）</t>
  </si>
  <si>
    <t>2023.4.28</t>
    <phoneticPr fontId="6" type="noConversion"/>
  </si>
  <si>
    <t>2023.5.4</t>
    <phoneticPr fontId="6" type="noConversion"/>
  </si>
  <si>
    <t>2023.5.15</t>
    <phoneticPr fontId="6" type="noConversion"/>
  </si>
  <si>
    <t>约33.33%</t>
    <phoneticPr fontId="6" type="noConversion"/>
  </si>
  <si>
    <t>测风塔维护；预测服务3年</t>
    <phoneticPr fontId="21" type="noConversion"/>
  </si>
  <si>
    <t>2023.5.18</t>
    <phoneticPr fontId="6" type="noConversion"/>
  </si>
  <si>
    <t>张家口安智科为新能源有限公司</t>
    <phoneticPr fontId="6" type="noConversion"/>
  </si>
  <si>
    <t>尚义石井（二期）</t>
    <phoneticPr fontId="6" type="noConversion"/>
  </si>
  <si>
    <t>技术服务（预测三区换到二区）</t>
    <phoneticPr fontId="21" type="noConversion"/>
  </si>
  <si>
    <t>段洪宇</t>
    <phoneticPr fontId="21" type="noConversion"/>
  </si>
  <si>
    <t>2023.5.19</t>
    <phoneticPr fontId="6" type="noConversion"/>
  </si>
  <si>
    <t>2023.5.22</t>
    <phoneticPr fontId="6" type="noConversion"/>
  </si>
  <si>
    <t>腾字</t>
  </si>
  <si>
    <t>约66.66%</t>
    <phoneticPr fontId="21" type="noConversion"/>
  </si>
  <si>
    <t>2023.5.24</t>
    <phoneticPr fontId="6" type="noConversion"/>
  </si>
  <si>
    <t>2023.5.25</t>
    <phoneticPr fontId="6" type="noConversion"/>
  </si>
  <si>
    <t>新疆华电苇湖梁新能源有限公司</t>
    <phoneticPr fontId="6" type="noConversion"/>
  </si>
  <si>
    <t>新疆华电珍珠泉新能源有限公司</t>
    <phoneticPr fontId="6" type="noConversion"/>
  </si>
  <si>
    <r>
      <t>2</t>
    </r>
    <r>
      <rPr>
        <sz val="9"/>
        <color indexed="8"/>
        <rFont val="宋体"/>
        <family val="3"/>
        <charset val="134"/>
      </rPr>
      <t>1121-1</t>
    </r>
    <phoneticPr fontId="6" type="noConversion"/>
  </si>
  <si>
    <r>
      <t>2</t>
    </r>
    <r>
      <rPr>
        <sz val="9"/>
        <color indexed="8"/>
        <rFont val="宋体"/>
        <family val="3"/>
        <charset val="134"/>
      </rPr>
      <t>1121-2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</si>
  <si>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1121-3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</si>
  <si>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2073-1</t>
    </r>
    <phoneticPr fontId="6" type="noConversion"/>
  </si>
  <si>
    <r>
      <t>2</t>
    </r>
    <r>
      <rPr>
        <sz val="9"/>
        <color indexed="8"/>
        <rFont val="宋体"/>
        <family val="3"/>
        <charset val="134"/>
      </rPr>
      <t>2073-2</t>
    </r>
    <r>
      <rPr>
        <sz val="11"/>
        <color theme="1"/>
        <rFont val="宋体"/>
        <family val="2"/>
        <scheme val="minor"/>
      </rPr>
      <t/>
    </r>
  </si>
  <si>
    <t>22073-3</t>
    <phoneticPr fontId="6" type="noConversion"/>
  </si>
  <si>
    <t>2023.5.26</t>
    <phoneticPr fontId="6" type="noConversion"/>
  </si>
  <si>
    <t>大唐苦水东风电场</t>
    <phoneticPr fontId="21" type="noConversion"/>
  </si>
  <si>
    <t>2023.5.27</t>
    <phoneticPr fontId="6" type="noConversion"/>
  </si>
  <si>
    <t>北京四方继保工程技术有限公司保定分公司</t>
  </si>
  <si>
    <t>约3.61%</t>
    <phoneticPr fontId="6" type="noConversion"/>
  </si>
  <si>
    <t>约41.39%</t>
    <phoneticPr fontId="6" type="noConversion"/>
  </si>
  <si>
    <t>22021-1</t>
    <phoneticPr fontId="6" type="noConversion"/>
  </si>
  <si>
    <t>22021-2</t>
    <phoneticPr fontId="6" type="noConversion"/>
  </si>
  <si>
    <t>2023年5月27日收到电子银行承兑汇票22.8万元，汇票出票日期2023.4.26，汇票到期日期2023.10.26。分两个项目，其中22021-1合同19.785万元。22021-2合同3.015万元。</t>
    <phoneticPr fontId="6" type="noConversion"/>
  </si>
  <si>
    <t>2023.6.2</t>
    <phoneticPr fontId="6" type="noConversion"/>
  </si>
  <si>
    <t>2023.6.5</t>
    <phoneticPr fontId="6" type="noConversion"/>
  </si>
  <si>
    <t>七台河万龙风力发电有限公司</t>
    <phoneticPr fontId="6" type="noConversion"/>
  </si>
  <si>
    <t>九洲电气</t>
    <phoneticPr fontId="6" type="noConversion"/>
  </si>
  <si>
    <t>万龙</t>
    <phoneticPr fontId="6" type="noConversion"/>
  </si>
  <si>
    <t>吉林省光华风电投资有限公司</t>
    <phoneticPr fontId="21" type="noConversion"/>
  </si>
  <si>
    <t>2023.6.7</t>
    <phoneticPr fontId="6" type="noConversion"/>
  </si>
  <si>
    <t>华能新疆三塘湖风力发电有限责任公司</t>
    <phoneticPr fontId="21" type="noConversion"/>
  </si>
  <si>
    <t>望洋台</t>
    <phoneticPr fontId="21" type="noConversion"/>
  </si>
  <si>
    <t>2023.6.13</t>
    <phoneticPr fontId="6" type="noConversion"/>
  </si>
  <si>
    <t>2023.6.14</t>
    <phoneticPr fontId="6" type="noConversion"/>
  </si>
  <si>
    <t>中水电中电风力发电有限公司</t>
    <phoneticPr fontId="21" type="noConversion"/>
  </si>
  <si>
    <t>长岭中电建新能源风力发电有限责任公司</t>
    <phoneticPr fontId="21" type="noConversion"/>
  </si>
  <si>
    <t>三峡新能源调兵山风电有限公司</t>
    <phoneticPr fontId="21" type="noConversion"/>
  </si>
  <si>
    <t>峡新能源调兵山风电有限公司</t>
    <phoneticPr fontId="21" type="noConversion"/>
  </si>
  <si>
    <t>黑龙江龙能电力集团有限公司</t>
    <phoneticPr fontId="21" type="noConversion"/>
  </si>
  <si>
    <t>约9.17%</t>
    <phoneticPr fontId="6" type="noConversion"/>
  </si>
  <si>
    <t>2023.6.20</t>
    <phoneticPr fontId="6" type="noConversion"/>
  </si>
  <si>
    <t>2023.6.21</t>
    <phoneticPr fontId="6" type="noConversion"/>
  </si>
  <si>
    <t>2023.6.25</t>
    <phoneticPr fontId="6" type="noConversion"/>
  </si>
  <si>
    <t>中国水电建设集团新能源开发有限责任公司长岭风电分公司</t>
    <phoneticPr fontId="21" type="noConversion"/>
  </si>
  <si>
    <t>大唐托克逊风电开发有限公司</t>
    <phoneticPr fontId="21" type="noConversion"/>
  </si>
  <si>
    <t>四平中广核风力发电有限公司</t>
    <phoneticPr fontId="21" type="noConversion"/>
  </si>
  <si>
    <t>大安中广核风力发电有限公司</t>
    <phoneticPr fontId="21" type="noConversion"/>
  </si>
  <si>
    <t>2023.6.26</t>
    <phoneticPr fontId="6" type="noConversion"/>
  </si>
  <si>
    <t>2023.6.28</t>
    <phoneticPr fontId="6" type="noConversion"/>
  </si>
  <si>
    <t>华能钟祥风电有限责任公司</t>
    <phoneticPr fontId="21" type="noConversion"/>
  </si>
  <si>
    <t>2023.6.29</t>
    <phoneticPr fontId="6" type="noConversion"/>
  </si>
  <si>
    <t>2023.6.69</t>
    <phoneticPr fontId="6" type="noConversion"/>
  </si>
  <si>
    <t>绥滨（三期）</t>
    <phoneticPr fontId="6" type="noConversion"/>
  </si>
  <si>
    <t>短期软件；超短期软件；系统硬件；测风塔1；测风塔1设备；测风塔2；测风塔2设备；预测服务2年</t>
    <phoneticPr fontId="6" type="noConversion"/>
  </si>
  <si>
    <t>江苏金风软件技术有限公司</t>
    <phoneticPr fontId="21" type="noConversion"/>
  </si>
  <si>
    <t>北京金风慧能技术有限公司</t>
    <phoneticPr fontId="21" type="noConversion"/>
  </si>
  <si>
    <t>约7.16%</t>
    <phoneticPr fontId="6" type="noConversion"/>
  </si>
  <si>
    <t>约71.61%</t>
    <phoneticPr fontId="6" type="noConversion"/>
  </si>
  <si>
    <t>约11.23%</t>
    <phoneticPr fontId="6" type="noConversion"/>
  </si>
  <si>
    <t>2023年6月29月收到电子银行承兑汇票10万元，汇票出票日期2023.5.29，汇票到期日期2023.11.29。</t>
    <phoneticPr fontId="6" type="noConversion"/>
  </si>
  <si>
    <t>2023年6月29月收到电子银行承兑汇票100万元，汇票出票日期2023.6.26，汇票到期日期2023.12.26。</t>
    <phoneticPr fontId="6" type="noConversion"/>
  </si>
  <si>
    <t>绥滨（三期）</t>
    <phoneticPr fontId="21" type="noConversion"/>
  </si>
  <si>
    <t>风机自动消防</t>
    <phoneticPr fontId="21" type="noConversion"/>
  </si>
  <si>
    <t>灭火装置；探测装置；控制装置；通讯装置</t>
    <phoneticPr fontId="21" type="noConversion"/>
  </si>
  <si>
    <t>约20.93%</t>
    <phoneticPr fontId="6" type="noConversion"/>
  </si>
  <si>
    <t>约74.07%</t>
    <phoneticPr fontId="6" type="noConversion"/>
  </si>
  <si>
    <t>剩余到货款+阶段款</t>
    <phoneticPr fontId="6" type="noConversion"/>
  </si>
  <si>
    <t>郭文明
李妍</t>
    <phoneticPr fontId="21" type="noConversion"/>
  </si>
  <si>
    <t>2023年6月29月收到电子银行承兑汇票100万元，汇票出票日期2022.9.21，汇票到期日期2023.9.21。</t>
    <phoneticPr fontId="6" type="noConversion"/>
  </si>
  <si>
    <t>2023.7.3</t>
    <phoneticPr fontId="6" type="noConversion"/>
  </si>
  <si>
    <t>2023.7.4</t>
    <phoneticPr fontId="6" type="noConversion"/>
  </si>
  <si>
    <t>2023.7.5</t>
    <phoneticPr fontId="6" type="noConversion"/>
  </si>
  <si>
    <t>三峡新能源开原风电有限公司</t>
    <phoneticPr fontId="21" type="noConversion"/>
  </si>
  <si>
    <t>2023.7.6</t>
    <phoneticPr fontId="6" type="noConversion"/>
  </si>
  <si>
    <t>2023.7.7</t>
    <phoneticPr fontId="6" type="noConversion"/>
  </si>
  <si>
    <t>2023.7.13</t>
    <phoneticPr fontId="6" type="noConversion"/>
  </si>
  <si>
    <t>国网黑龙江省电力有限公司</t>
    <phoneticPr fontId="21" type="noConversion"/>
  </si>
  <si>
    <t>2023.7.14</t>
    <phoneticPr fontId="6" type="noConversion"/>
  </si>
  <si>
    <t>新风光电子科技股份有限公司</t>
    <phoneticPr fontId="21" type="noConversion"/>
  </si>
  <si>
    <t>约49.81%</t>
    <phoneticPr fontId="6" type="noConversion"/>
  </si>
  <si>
    <t>2023.7.17</t>
    <phoneticPr fontId="6" type="noConversion"/>
  </si>
  <si>
    <t>2023.7.18</t>
    <phoneticPr fontId="6" type="noConversion"/>
  </si>
  <si>
    <t>2023.7.19</t>
    <phoneticPr fontId="6" type="noConversion"/>
  </si>
  <si>
    <t>2023.7.20</t>
    <phoneticPr fontId="6" type="noConversion"/>
  </si>
  <si>
    <t>红旗</t>
    <phoneticPr fontId="21" type="noConversion"/>
  </si>
  <si>
    <t>新疆华电东方民生太阳能源开发有限公司
哈密市东方民生太阳能源开发有限公司</t>
    <phoneticPr fontId="6" type="noConversion"/>
  </si>
  <si>
    <t>新疆华电力诺太阳能电力有限公司
哈密力诺太阳能电力有限公司</t>
    <phoneticPr fontId="21" type="noConversion"/>
  </si>
  <si>
    <t>2023.7.25</t>
    <phoneticPr fontId="6" type="noConversion"/>
  </si>
  <si>
    <t>福能（仙游）风力发电有限责任公司</t>
    <phoneticPr fontId="21" type="noConversion"/>
  </si>
  <si>
    <t>福能（龙海）风力发电有限责任公司</t>
    <phoneticPr fontId="21" type="noConversion"/>
  </si>
  <si>
    <t>福能平海（莆田）风力发电有限公司</t>
    <phoneticPr fontId="21" type="noConversion"/>
  </si>
  <si>
    <t>2023.7.27</t>
    <phoneticPr fontId="6" type="noConversion"/>
  </si>
  <si>
    <t>衡水恒淼钢结构有限公司</t>
    <phoneticPr fontId="21" type="noConversion"/>
  </si>
  <si>
    <t>约51.21%</t>
    <phoneticPr fontId="6" type="noConversion"/>
  </si>
  <si>
    <t>2023.7.28</t>
    <phoneticPr fontId="6" type="noConversion"/>
  </si>
  <si>
    <t>华能启东风力发电有限公司</t>
    <phoneticPr fontId="21" type="noConversion"/>
  </si>
  <si>
    <t>镇江全宝电气有限公司</t>
    <phoneticPr fontId="21" type="noConversion"/>
  </si>
  <si>
    <t>2023.8.2</t>
    <phoneticPr fontId="6" type="noConversion"/>
  </si>
  <si>
    <t>2023.8.8</t>
    <phoneticPr fontId="6" type="noConversion"/>
  </si>
  <si>
    <t>2023.8.10</t>
    <phoneticPr fontId="6" type="noConversion"/>
  </si>
  <si>
    <t>2023.8.11</t>
    <phoneticPr fontId="6" type="noConversion"/>
  </si>
  <si>
    <t>2023.8.14</t>
    <phoneticPr fontId="6" type="noConversion"/>
  </si>
  <si>
    <t>23077-1</t>
    <phoneticPr fontId="21" type="noConversion"/>
  </si>
  <si>
    <t>23077-2</t>
    <phoneticPr fontId="21" type="noConversion"/>
  </si>
  <si>
    <t>云山石墨矿分散式风电项目</t>
    <phoneticPr fontId="21" type="noConversion"/>
  </si>
  <si>
    <t>预付款</t>
    <phoneticPr fontId="21" type="noConversion"/>
  </si>
  <si>
    <t>萝北县石墨产业园分散式风电项目</t>
    <phoneticPr fontId="21" type="noConversion"/>
  </si>
  <si>
    <t>约2.29%</t>
    <phoneticPr fontId="21" type="noConversion"/>
  </si>
  <si>
    <t>约7.11%</t>
    <phoneticPr fontId="21" type="noConversion"/>
  </si>
  <si>
    <t>2023年8月8月收到电子银行承兑汇票3万元，汇票出票日期2023.8.1，汇票到期日期2024.2.1</t>
    <phoneticPr fontId="6" type="noConversion"/>
  </si>
  <si>
    <t>2023年8月8月收到电子银行承兑汇票3万元，汇票出票日期2023.8.1，汇票到期日期2024.2.1。分2个项目，23077-1为0.9678万元，23077-2为2.0322万元</t>
    <phoneticPr fontId="6" type="noConversion"/>
  </si>
  <si>
    <r>
      <t>2</t>
    </r>
    <r>
      <rPr>
        <sz val="9"/>
        <color indexed="8"/>
        <rFont val="宋体"/>
        <family val="3"/>
        <charset val="134"/>
      </rPr>
      <t>3002-3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</si>
  <si>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3002-4</t>
    </r>
    <r>
      <rPr>
        <sz val="11"/>
        <color theme="1"/>
        <rFont val="宋体"/>
        <family val="2"/>
        <scheme val="minor"/>
      </rPr>
      <t/>
    </r>
  </si>
  <si>
    <t>测风塔维护；预测服务5个月</t>
    <phoneticPr fontId="6" type="noConversion"/>
  </si>
  <si>
    <r>
      <t>2</t>
    </r>
    <r>
      <rPr>
        <sz val="9"/>
        <color indexed="8"/>
        <rFont val="宋体"/>
        <family val="3"/>
        <charset val="134"/>
      </rPr>
      <t>3005-1</t>
    </r>
    <phoneticPr fontId="6" type="noConversion"/>
  </si>
  <si>
    <r>
      <t>2</t>
    </r>
    <r>
      <rPr>
        <sz val="9"/>
        <color indexed="8"/>
        <rFont val="宋体"/>
        <family val="3"/>
        <charset val="134"/>
      </rPr>
      <t>3005-2</t>
    </r>
    <r>
      <rPr>
        <sz val="11"/>
        <color theme="1"/>
        <rFont val="宋体"/>
        <family val="2"/>
        <scheme val="minor"/>
      </rPr>
      <t/>
    </r>
  </si>
  <si>
    <t>2023.8.15</t>
    <phoneticPr fontId="6" type="noConversion"/>
  </si>
  <si>
    <t>吉林中广核风力发电有限公司</t>
    <phoneticPr fontId="21" type="noConversion"/>
  </si>
  <si>
    <t>2023.8.16</t>
    <phoneticPr fontId="6" type="noConversion"/>
  </si>
  <si>
    <t>2023.8.17</t>
    <phoneticPr fontId="6" type="noConversion"/>
  </si>
  <si>
    <t>2023.8.21</t>
    <phoneticPr fontId="6" type="noConversion"/>
  </si>
  <si>
    <t>2023.8.23</t>
    <phoneticPr fontId="6" type="noConversion"/>
  </si>
  <si>
    <t>黑龙江省筑祥建设工程有限公司</t>
    <phoneticPr fontId="21" type="noConversion"/>
  </si>
  <si>
    <r>
      <t>2</t>
    </r>
    <r>
      <rPr>
        <sz val="9"/>
        <color indexed="8"/>
        <rFont val="宋体"/>
        <family val="3"/>
        <charset val="134"/>
      </rPr>
      <t>3002-1</t>
    </r>
    <phoneticPr fontId="6" type="noConversion"/>
  </si>
  <si>
    <r>
      <t>2</t>
    </r>
    <r>
      <rPr>
        <sz val="9"/>
        <color indexed="8"/>
        <rFont val="宋体"/>
        <family val="3"/>
        <charset val="134"/>
      </rPr>
      <t>3002-2</t>
    </r>
    <r>
      <rPr>
        <sz val="11"/>
        <color theme="1"/>
        <rFont val="宋体"/>
        <family val="2"/>
        <scheme val="minor"/>
      </rPr>
      <t/>
    </r>
  </si>
  <si>
    <t>系统硬件；光伏气象站设备</t>
    <phoneticPr fontId="21" type="noConversion"/>
  </si>
  <si>
    <t>2023.8.24</t>
    <phoneticPr fontId="6" type="noConversion"/>
  </si>
  <si>
    <t>2023.8.25</t>
    <phoneticPr fontId="6" type="noConversion"/>
  </si>
  <si>
    <t>2023.8.28</t>
    <phoneticPr fontId="6" type="noConversion"/>
  </si>
  <si>
    <t>2023.8.31</t>
    <phoneticPr fontId="6" type="noConversion"/>
  </si>
  <si>
    <t>2023.9.1</t>
    <phoneticPr fontId="6" type="noConversion"/>
  </si>
  <si>
    <r>
      <t>2</t>
    </r>
    <r>
      <rPr>
        <sz val="9"/>
        <color indexed="8"/>
        <rFont val="宋体"/>
        <family val="3"/>
        <charset val="134"/>
      </rPr>
      <t>3004-1</t>
    </r>
    <phoneticPr fontId="6" type="noConversion"/>
  </si>
  <si>
    <t>中国大唐集团财务有限公司
大唐黑龙江新能源开发有限公司集贤太平风力发电分公司</t>
    <phoneticPr fontId="6" type="noConversion"/>
  </si>
  <si>
    <t>孙吴</t>
    <phoneticPr fontId="21" type="noConversion"/>
  </si>
  <si>
    <t>约34.88%</t>
    <phoneticPr fontId="21" type="noConversion"/>
  </si>
  <si>
    <t>约60.12%</t>
    <phoneticPr fontId="21" type="noConversion"/>
  </si>
  <si>
    <t>部分到货款</t>
    <phoneticPr fontId="21" type="noConversion"/>
  </si>
  <si>
    <t>2023年9月1月收到电子银行承兑汇票22万元，汇票出票日期2023.8.30，汇票到期日期2024.2.29。</t>
    <phoneticPr fontId="6" type="noConversion"/>
  </si>
  <si>
    <t>2023.9.2</t>
    <phoneticPr fontId="6" type="noConversion"/>
  </si>
  <si>
    <t>古田中电建新能源发电有限公司</t>
    <phoneticPr fontId="21" type="noConversion"/>
  </si>
  <si>
    <t>2023.9.5</t>
    <phoneticPr fontId="6" type="noConversion"/>
  </si>
  <si>
    <t>黑龙江富龙风能科技开发有限责任公司</t>
    <phoneticPr fontId="21" type="noConversion"/>
  </si>
  <si>
    <t>黑龙江富龙风力发电有限责任公司</t>
    <phoneticPr fontId="21" type="noConversion"/>
  </si>
  <si>
    <t>泮阳</t>
    <phoneticPr fontId="21" type="noConversion"/>
  </si>
  <si>
    <t>2023.9.11</t>
    <phoneticPr fontId="6" type="noConversion"/>
  </si>
  <si>
    <t>2023.9.12</t>
    <phoneticPr fontId="6" type="noConversion"/>
  </si>
  <si>
    <t>三峡新能源泰来发电有限公司</t>
    <phoneticPr fontId="21" type="noConversion"/>
  </si>
  <si>
    <t>2023.9.18</t>
    <phoneticPr fontId="6" type="noConversion"/>
  </si>
  <si>
    <t>2023.9.21</t>
    <phoneticPr fontId="6" type="noConversion"/>
  </si>
  <si>
    <t>哈尔滨和睿科技有限公司</t>
    <phoneticPr fontId="21" type="noConversion"/>
  </si>
  <si>
    <r>
      <t>2</t>
    </r>
    <r>
      <rPr>
        <sz val="9"/>
        <color indexed="8"/>
        <rFont val="宋体"/>
        <family val="3"/>
        <charset val="134"/>
      </rPr>
      <t>1196-1</t>
    </r>
    <phoneticPr fontId="6" type="noConversion"/>
  </si>
  <si>
    <t>约11.58%</t>
    <phoneticPr fontId="6" type="noConversion"/>
  </si>
  <si>
    <t>2023.9.22</t>
    <phoneticPr fontId="6" type="noConversion"/>
  </si>
  <si>
    <t>2023.9.25</t>
    <phoneticPr fontId="6" type="noConversion"/>
  </si>
  <si>
    <t>2023.9.27</t>
    <phoneticPr fontId="6" type="noConversion"/>
  </si>
  <si>
    <t>伊春华宇电力新能源有限公司</t>
    <phoneticPr fontId="21" type="noConversion"/>
  </si>
  <si>
    <t>测风塔设备；预测服务1年</t>
    <phoneticPr fontId="21" type="noConversion"/>
  </si>
  <si>
    <t>约75.97%</t>
    <phoneticPr fontId="6" type="noConversion"/>
  </si>
  <si>
    <t>测风塔设备；预测服务2年</t>
    <phoneticPr fontId="6" type="noConversion"/>
  </si>
  <si>
    <t>软件升级（极端天气）</t>
    <phoneticPr fontId="21" type="noConversion"/>
  </si>
  <si>
    <t>2023.10.7</t>
    <phoneticPr fontId="6" type="noConversion"/>
  </si>
  <si>
    <t>2023.10.8</t>
    <phoneticPr fontId="6" type="noConversion"/>
  </si>
  <si>
    <t>2023.10.10</t>
    <phoneticPr fontId="6" type="noConversion"/>
  </si>
  <si>
    <t>林甸东明园风力发电有限公司</t>
    <phoneticPr fontId="21" type="noConversion"/>
  </si>
  <si>
    <r>
      <t>2</t>
    </r>
    <r>
      <rPr>
        <sz val="9"/>
        <color indexed="8"/>
        <rFont val="宋体"/>
        <family val="3"/>
        <charset val="134"/>
      </rPr>
      <t>3004-2</t>
    </r>
    <r>
      <rPr>
        <sz val="11"/>
        <color theme="1"/>
        <rFont val="宋体"/>
        <family val="2"/>
        <scheme val="minor"/>
      </rPr>
      <t/>
    </r>
  </si>
  <si>
    <t>中国大唐集团财务有限公司
大唐黑龙江新能源开发有限公司华安（齐齐哈尔）风力发电分公司</t>
    <phoneticPr fontId="6" type="noConversion"/>
  </si>
  <si>
    <t>大庆大丰</t>
    <phoneticPr fontId="21" type="noConversion"/>
  </si>
  <si>
    <t>林甸东明园</t>
    <phoneticPr fontId="21" type="noConversion"/>
  </si>
  <si>
    <t>2023.10.12</t>
    <phoneticPr fontId="6" type="noConversion"/>
  </si>
  <si>
    <t>2023.10.13</t>
    <phoneticPr fontId="6" type="noConversion"/>
  </si>
  <si>
    <t>南京南瑞继保工程技术有限公司</t>
    <phoneticPr fontId="21" type="noConversion"/>
  </si>
  <si>
    <t>乾安网新风电有限公司</t>
    <phoneticPr fontId="21" type="noConversion"/>
  </si>
  <si>
    <t>2023.10.14</t>
    <phoneticPr fontId="6" type="noConversion"/>
  </si>
  <si>
    <t>2023.10.16</t>
    <phoneticPr fontId="6" type="noConversion"/>
  </si>
  <si>
    <t>2023.10.17</t>
    <phoneticPr fontId="6" type="noConversion"/>
  </si>
  <si>
    <t>湘能楚天电力装备股份有限公司</t>
    <phoneticPr fontId="21" type="noConversion"/>
  </si>
  <si>
    <t>林口胜利风力发电有限公司</t>
    <phoneticPr fontId="21" type="noConversion"/>
  </si>
  <si>
    <t>河北</t>
    <phoneticPr fontId="21" type="noConversion"/>
  </si>
  <si>
    <t>尚义石井</t>
    <phoneticPr fontId="21" type="noConversion"/>
  </si>
  <si>
    <t>技术服务（数据转发集控）</t>
    <phoneticPr fontId="21" type="noConversion"/>
  </si>
  <si>
    <t>韩涛</t>
    <phoneticPr fontId="6" type="noConversion"/>
  </si>
  <si>
    <t>华润</t>
    <phoneticPr fontId="21" type="noConversion"/>
  </si>
  <si>
    <t>桦南一期300MW风电项目</t>
    <phoneticPr fontId="21" type="noConversion"/>
  </si>
  <si>
    <t>短期软件；超短期软件；系统硬件；预测服务3年</t>
    <phoneticPr fontId="21" type="noConversion"/>
  </si>
  <si>
    <t>2023.10.19</t>
    <phoneticPr fontId="6" type="noConversion"/>
  </si>
  <si>
    <t>约27.39%</t>
    <phoneticPr fontId="6" type="noConversion"/>
  </si>
  <si>
    <r>
      <t>2</t>
    </r>
    <r>
      <rPr>
        <sz val="9"/>
        <color indexed="8"/>
        <rFont val="宋体"/>
        <family val="3"/>
        <charset val="134"/>
      </rPr>
      <t>3005-3</t>
    </r>
    <r>
      <rPr>
        <sz val="11"/>
        <color theme="1"/>
        <rFont val="宋体"/>
        <family val="2"/>
        <scheme val="minor"/>
      </rPr>
      <t/>
    </r>
  </si>
  <si>
    <t>2023.10.20</t>
    <phoneticPr fontId="6" type="noConversion"/>
  </si>
  <si>
    <t>大安润风能源开发有限公司</t>
    <phoneticPr fontId="21" type="noConversion"/>
  </si>
  <si>
    <t>宾县大个岭风力发电有限公司</t>
    <phoneticPr fontId="21" type="noConversion"/>
  </si>
  <si>
    <t>2023.10.23</t>
    <phoneticPr fontId="6" type="noConversion"/>
  </si>
  <si>
    <t>2023.10.24</t>
    <phoneticPr fontId="6" type="noConversion"/>
  </si>
  <si>
    <t>2023.10.25</t>
    <phoneticPr fontId="6" type="noConversion"/>
  </si>
  <si>
    <t>2023.10.26</t>
    <phoneticPr fontId="6" type="noConversion"/>
  </si>
  <si>
    <t>华润电力风能(佳木斯)有限公司</t>
    <phoneticPr fontId="21" type="noConversion"/>
  </si>
  <si>
    <r>
      <t>2</t>
    </r>
    <r>
      <rPr>
        <sz val="9"/>
        <color indexed="8"/>
        <rFont val="宋体"/>
        <family val="3"/>
        <charset val="134"/>
      </rPr>
      <t>1151-1</t>
    </r>
    <phoneticPr fontId="6" type="noConversion"/>
  </si>
  <si>
    <r>
      <t>2</t>
    </r>
    <r>
      <rPr>
        <sz val="9"/>
        <color indexed="8"/>
        <rFont val="宋体"/>
        <family val="3"/>
        <charset val="134"/>
      </rPr>
      <t>1151-2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</si>
  <si>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1150-7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</si>
  <si>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1150-9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</si>
  <si>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1150-10</t>
    </r>
    <r>
      <rPr>
        <sz val="11"/>
        <color theme="1"/>
        <rFont val="宋体"/>
        <family val="2"/>
        <scheme val="minor"/>
      </rPr>
      <t/>
    </r>
  </si>
  <si>
    <t>2023.10.27</t>
    <phoneticPr fontId="6" type="noConversion"/>
  </si>
  <si>
    <t>通河县聚霆新能源有限公司</t>
    <phoneticPr fontId="21" type="noConversion"/>
  </si>
  <si>
    <t>2023.10.30</t>
    <phoneticPr fontId="6" type="noConversion"/>
  </si>
  <si>
    <t>2023.10.31</t>
    <phoneticPr fontId="6" type="noConversion"/>
  </si>
  <si>
    <t>华能新能源湘乡风力发电有限公司</t>
    <phoneticPr fontId="21" type="noConversion"/>
  </si>
  <si>
    <t>21150-2</t>
    <phoneticPr fontId="6" type="noConversion"/>
  </si>
  <si>
    <t>北京融和云链科技有限公司
中电投新疆能源化工集团吐鲁番有限公司</t>
    <phoneticPr fontId="6" type="noConversion"/>
  </si>
  <si>
    <t>23070-1</t>
    <phoneticPr fontId="6" type="noConversion"/>
  </si>
  <si>
    <t>23070-2</t>
    <phoneticPr fontId="6" type="noConversion"/>
  </si>
  <si>
    <t>尖山</t>
    <phoneticPr fontId="21" type="noConversion"/>
  </si>
  <si>
    <t>约16.66%</t>
    <phoneticPr fontId="6" type="noConversion"/>
  </si>
  <si>
    <t>2023.10.26</t>
  </si>
  <si>
    <t>协合新能源</t>
    <phoneticPr fontId="21" type="noConversion"/>
  </si>
  <si>
    <t>协合通河</t>
    <phoneticPr fontId="21" type="noConversion"/>
  </si>
  <si>
    <t>绥滨三期</t>
    <phoneticPr fontId="21" type="noConversion"/>
  </si>
  <si>
    <t>场站视频监控</t>
    <phoneticPr fontId="21" type="noConversion"/>
  </si>
  <si>
    <t>风机视频监控系统</t>
    <phoneticPr fontId="21" type="noConversion"/>
  </si>
  <si>
    <t>到货款+部分阶段款</t>
  </si>
  <si>
    <t>约66.67%</t>
    <phoneticPr fontId="6" type="noConversion"/>
  </si>
  <si>
    <t>约23.57%</t>
    <phoneticPr fontId="6" type="noConversion"/>
  </si>
  <si>
    <t>约4.76%</t>
    <phoneticPr fontId="6" type="noConversion"/>
  </si>
  <si>
    <t>部分阶段款</t>
    <phoneticPr fontId="6" type="noConversion"/>
  </si>
  <si>
    <t>剩余阶段款</t>
    <phoneticPr fontId="6" type="noConversion"/>
  </si>
  <si>
    <t>2023年10月27月收到电子银行承兑汇票99万元，汇票出票日期2023.7.27，汇票到期日期2024.1.27。</t>
    <phoneticPr fontId="6" type="noConversion"/>
  </si>
  <si>
    <t>2023年9月1月收到电子银行承兑汇票35万元，汇票出票日期2023.8.30，汇票到期日期2024.2.29。</t>
    <phoneticPr fontId="6" type="noConversion"/>
  </si>
  <si>
    <t>与王星、段洪宇、韩志宇沟通后，韩志宇和业主确认是富裕友谊50MW风电平价上网项目款项</t>
    <phoneticPr fontId="6" type="noConversion"/>
  </si>
  <si>
    <t>约36.22%</t>
    <phoneticPr fontId="6" type="noConversion"/>
  </si>
  <si>
    <t>剩余到货款+进度款+验收款</t>
    <phoneticPr fontId="6" type="noConversion"/>
  </si>
  <si>
    <t>与王星、段洪宇、韩志宇沟通后，韩志宇和业主确认是富裕友谊50MW风电平价上网项目款项。2023年10月27月收到电子银行承兑汇票20万元，汇票出票日期2023.8.15，汇票到期日期2024.2.15。分两个项目22012-1为18.18万元，22012-2为1.82万元</t>
    <phoneticPr fontId="6" type="noConversion"/>
  </si>
  <si>
    <t>与王星、段洪宇、韩志宇沟通后，韩志宇和业主确认是富裕友谊50MW风电平价上网项目款项.2023年10月27月收到电子银行承兑汇票20万元，汇票出票日期2023.8.15，汇票到期日期2024.2.15。分两个项目22012-1为18.18万元，22012-2为1.82万元</t>
    <phoneticPr fontId="6" type="noConversion"/>
  </si>
  <si>
    <t>2023.11.8</t>
    <phoneticPr fontId="6" type="noConversion"/>
  </si>
  <si>
    <r>
      <t>2</t>
    </r>
    <r>
      <rPr>
        <sz val="9"/>
        <color indexed="8"/>
        <rFont val="宋体"/>
        <family val="3"/>
        <charset val="134"/>
      </rPr>
      <t>2131-2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</si>
  <si>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2131-3</t>
    </r>
    <r>
      <rPr>
        <sz val="11"/>
        <color theme="1"/>
        <rFont val="宋体"/>
        <family val="2"/>
        <scheme val="minor"/>
      </rPr>
      <t/>
    </r>
  </si>
  <si>
    <t>约1.01%</t>
    <phoneticPr fontId="6" type="noConversion"/>
  </si>
  <si>
    <t>约28.99%</t>
    <phoneticPr fontId="6" type="noConversion"/>
  </si>
  <si>
    <t>2023年11月8月收到电子银行承兑汇票19.215万元，汇票出票日期2023.9.15，汇票到期日期2024.3.15。分三个项目22131-1为12.435万元，22131-2为3万元，22131-3为3.78万元</t>
    <phoneticPr fontId="6" type="noConversion"/>
  </si>
  <si>
    <t>2023.11.10</t>
    <phoneticPr fontId="6" type="noConversion"/>
  </si>
  <si>
    <r>
      <t>2</t>
    </r>
    <r>
      <rPr>
        <sz val="9"/>
        <color indexed="8"/>
        <rFont val="宋体"/>
        <family val="3"/>
        <charset val="134"/>
      </rPr>
      <t>1150-8</t>
    </r>
    <r>
      <rPr>
        <sz val="11"/>
        <color theme="1"/>
        <rFont val="宋体"/>
        <family val="2"/>
        <scheme val="minor"/>
      </rPr>
      <t/>
    </r>
  </si>
  <si>
    <t>陕投</t>
    <phoneticPr fontId="21" type="noConversion"/>
  </si>
  <si>
    <t>宝鸡麟游</t>
    <phoneticPr fontId="21" type="noConversion"/>
  </si>
  <si>
    <t>2023.11.13</t>
    <phoneticPr fontId="6" type="noConversion"/>
  </si>
  <si>
    <t>中国大唐集团财务有限公司
大唐黑龙江新能源开发有限公司东宁水电开发分公司</t>
    <phoneticPr fontId="6" type="noConversion"/>
  </si>
  <si>
    <r>
      <t>2</t>
    </r>
    <r>
      <rPr>
        <sz val="9"/>
        <color indexed="8"/>
        <rFont val="宋体"/>
        <family val="3"/>
        <charset val="134"/>
      </rPr>
      <t>1151-5</t>
    </r>
    <r>
      <rPr>
        <sz val="11"/>
        <color theme="1"/>
        <rFont val="宋体"/>
        <family val="2"/>
        <scheme val="minor"/>
      </rPr>
      <t/>
    </r>
  </si>
  <si>
    <t>2023.11.13</t>
    <phoneticPr fontId="21" type="noConversion"/>
  </si>
  <si>
    <t>辽宁宏鑫润达商贸有限公司</t>
    <phoneticPr fontId="21" type="noConversion"/>
  </si>
  <si>
    <t>中国电建集团江西省电力建设有限公司</t>
    <phoneticPr fontId="21" type="noConversion"/>
  </si>
  <si>
    <t>2023.11.14</t>
    <phoneticPr fontId="21" type="noConversion"/>
  </si>
  <si>
    <t>梨树</t>
    <phoneticPr fontId="21" type="noConversion"/>
  </si>
  <si>
    <t>约70.63%</t>
    <phoneticPr fontId="21" type="noConversion"/>
  </si>
  <si>
    <t>到货款+部分验收款</t>
    <phoneticPr fontId="21" type="noConversion"/>
  </si>
  <si>
    <t>2023.11.23</t>
    <phoneticPr fontId="21" type="noConversion"/>
  </si>
  <si>
    <t>2023.11.27</t>
    <phoneticPr fontId="21" type="noConversion"/>
  </si>
  <si>
    <t>博耳能源江苏有限公司</t>
    <phoneticPr fontId="21" type="noConversion"/>
  </si>
  <si>
    <t>2023.11.8</t>
    <phoneticPr fontId="21" type="noConversion"/>
  </si>
  <si>
    <t>2023.11.29</t>
    <phoneticPr fontId="21" type="noConversion"/>
  </si>
  <si>
    <t>博耳能源</t>
    <phoneticPr fontId="21" type="noConversion"/>
  </si>
  <si>
    <r>
      <t>2</t>
    </r>
    <r>
      <rPr>
        <sz val="9"/>
        <color indexed="8"/>
        <rFont val="宋体"/>
        <family val="3"/>
        <charset val="134"/>
      </rPr>
      <t>2039-1</t>
    </r>
    <phoneticPr fontId="6" type="noConversion"/>
  </si>
  <si>
    <r>
      <t>2</t>
    </r>
    <r>
      <rPr>
        <sz val="9"/>
        <color indexed="8"/>
        <rFont val="宋体"/>
        <family val="3"/>
        <charset val="134"/>
      </rPr>
      <t>2039-2</t>
    </r>
    <r>
      <rPr>
        <sz val="11"/>
        <color theme="1"/>
        <rFont val="宋体"/>
        <family val="2"/>
        <scheme val="minor"/>
      </rPr>
      <t/>
    </r>
  </si>
  <si>
    <t>22135-1</t>
    <phoneticPr fontId="6" type="noConversion"/>
  </si>
  <si>
    <t>22135-2</t>
    <phoneticPr fontId="6" type="noConversion"/>
  </si>
  <si>
    <t>2023年11月13月收到电子银行承兑汇票19万元，汇票出票日期2023.11.10，汇票到期日期2024.5.10。</t>
    <phoneticPr fontId="21" type="noConversion"/>
  </si>
  <si>
    <t>2023.12.8</t>
    <phoneticPr fontId="21" type="noConversion"/>
  </si>
  <si>
    <t>新疆华电力诺太阳能电力有限公司</t>
    <phoneticPr fontId="21" type="noConversion"/>
  </si>
  <si>
    <t>新疆华电东方民生太阳能源开发有限公司</t>
    <phoneticPr fontId="21" type="noConversion"/>
  </si>
  <si>
    <t>2023.12.12</t>
    <phoneticPr fontId="21" type="noConversion"/>
  </si>
  <si>
    <t>2023.12.13</t>
    <phoneticPr fontId="21" type="noConversion"/>
  </si>
  <si>
    <t>2023.12.14</t>
    <phoneticPr fontId="21" type="noConversion"/>
  </si>
  <si>
    <t>三峡新能源彰武发电有限公司</t>
    <phoneticPr fontId="21" type="noConversion"/>
  </si>
  <si>
    <t>华能林甸县清洁能源有限公司</t>
    <phoneticPr fontId="21" type="noConversion"/>
  </si>
  <si>
    <t>杭州海康威视系统技术有限公司</t>
    <phoneticPr fontId="21" type="noConversion"/>
  </si>
  <si>
    <t>神华宜君新能源有限责任公司</t>
    <phoneticPr fontId="21" type="noConversion"/>
  </si>
  <si>
    <t>2023.12.18</t>
    <phoneticPr fontId="21" type="noConversion"/>
  </si>
  <si>
    <t>2023.12.19</t>
    <phoneticPr fontId="21" type="noConversion"/>
  </si>
  <si>
    <t>龙源哈密新能源有限公司</t>
    <phoneticPr fontId="21" type="noConversion"/>
  </si>
  <si>
    <t>华电吉林大安风力发电有限公司</t>
    <phoneticPr fontId="21" type="noConversion"/>
  </si>
  <si>
    <t>系统硬件；光伏气象站；软件升级（自动巡检）</t>
    <phoneticPr fontId="21" type="noConversion"/>
  </si>
  <si>
    <t>进度款</t>
    <phoneticPr fontId="21" type="noConversion"/>
  </si>
  <si>
    <t>河北风电场理论功率上传软件</t>
    <phoneticPr fontId="21" type="noConversion"/>
  </si>
  <si>
    <t>瑞丰</t>
    <phoneticPr fontId="21" type="noConversion"/>
  </si>
  <si>
    <t>饶河</t>
    <phoneticPr fontId="21" type="noConversion"/>
  </si>
  <si>
    <t>高楞</t>
    <phoneticPr fontId="21" type="noConversion"/>
  </si>
  <si>
    <t>丰岗</t>
    <phoneticPr fontId="21" type="noConversion"/>
  </si>
  <si>
    <t>中核</t>
    <phoneticPr fontId="21" type="noConversion"/>
  </si>
  <si>
    <t>高嵛山</t>
    <phoneticPr fontId="21" type="noConversion"/>
  </si>
  <si>
    <t>测风塔维护；预测服务30个月</t>
    <phoneticPr fontId="21" type="noConversion"/>
  </si>
  <si>
    <t>系统硬件；预测服务1年</t>
    <phoneticPr fontId="21" type="noConversion"/>
  </si>
  <si>
    <t>2023.12.21</t>
    <phoneticPr fontId="21" type="noConversion"/>
  </si>
  <si>
    <t>隆教</t>
    <phoneticPr fontId="21" type="noConversion"/>
  </si>
  <si>
    <t>2023.12.22</t>
    <phoneticPr fontId="21" type="noConversion"/>
  </si>
  <si>
    <t>福建省福能海峡发电有限公司</t>
    <phoneticPr fontId="21" type="noConversion"/>
  </si>
  <si>
    <t>2023.12.25</t>
    <phoneticPr fontId="21" type="noConversion"/>
  </si>
  <si>
    <t>香港风力发电(穆棱)有限公司</t>
    <phoneticPr fontId="21" type="noConversion"/>
  </si>
  <si>
    <r>
      <t>2</t>
    </r>
    <r>
      <rPr>
        <sz val="9"/>
        <color indexed="8"/>
        <rFont val="宋体"/>
        <family val="3"/>
        <charset val="134"/>
      </rPr>
      <t>3060-1</t>
    </r>
    <phoneticPr fontId="6" type="noConversion"/>
  </si>
  <si>
    <r>
      <t>2</t>
    </r>
    <r>
      <rPr>
        <sz val="9"/>
        <color indexed="8"/>
        <rFont val="宋体"/>
        <family val="3"/>
        <charset val="134"/>
      </rPr>
      <t>3060-2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</si>
  <si>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3060-3</t>
    </r>
    <r>
      <rPr>
        <sz val="11"/>
        <color theme="1"/>
        <rFont val="宋体"/>
        <family val="2"/>
        <scheme val="minor"/>
      </rPr>
      <t/>
    </r>
  </si>
  <si>
    <t>福能</t>
    <phoneticPr fontId="21" type="noConversion"/>
  </si>
  <si>
    <t>龙下</t>
    <phoneticPr fontId="21" type="noConversion"/>
  </si>
  <si>
    <t>风资源评估</t>
    <phoneticPr fontId="21" type="noConversion"/>
  </si>
  <si>
    <t>风机运行评估系统</t>
    <phoneticPr fontId="21" type="noConversion"/>
  </si>
  <si>
    <t>福建风电场D5000二区软件；福建风电场理论功率上传软件</t>
    <phoneticPr fontId="21" type="noConversion"/>
  </si>
  <si>
    <t>2023.12.27</t>
    <phoneticPr fontId="21" type="noConversion"/>
  </si>
  <si>
    <t>2023.12.28</t>
    <phoneticPr fontId="21" type="noConversion"/>
  </si>
  <si>
    <t>哈尔滨中瑞伟业科技发展有限公司</t>
    <phoneticPr fontId="21" type="noConversion"/>
  </si>
  <si>
    <t>剩余预付款+部分到货款</t>
    <phoneticPr fontId="21" type="noConversion"/>
  </si>
  <si>
    <t>无人机</t>
    <phoneticPr fontId="21" type="noConversion"/>
  </si>
  <si>
    <t>约9.46%</t>
    <phoneticPr fontId="21" type="noConversion"/>
  </si>
  <si>
    <r>
      <t>2</t>
    </r>
    <r>
      <rPr>
        <sz val="9"/>
        <color indexed="8"/>
        <rFont val="宋体"/>
        <family val="3"/>
        <charset val="134"/>
      </rPr>
      <t>2059-1</t>
    </r>
    <phoneticPr fontId="6" type="noConversion"/>
  </si>
  <si>
    <r>
      <t>2</t>
    </r>
    <r>
      <rPr>
        <sz val="9"/>
        <color indexed="8"/>
        <rFont val="宋体"/>
        <family val="3"/>
        <charset val="134"/>
      </rPr>
      <t>2059-2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</si>
  <si>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3038-1</t>
    </r>
    <phoneticPr fontId="6" type="noConversion"/>
  </si>
  <si>
    <r>
      <t>2</t>
    </r>
    <r>
      <rPr>
        <sz val="9"/>
        <color indexed="8"/>
        <rFont val="宋体"/>
        <family val="3"/>
        <charset val="134"/>
      </rPr>
      <t>3038-2</t>
    </r>
    <r>
      <rPr>
        <sz val="11"/>
        <color theme="1"/>
        <rFont val="宋体"/>
        <family val="2"/>
        <scheme val="minor"/>
      </rPr>
      <t/>
    </r>
  </si>
  <si>
    <t>2024年合计</t>
    <phoneticPr fontId="11" type="noConversion"/>
  </si>
  <si>
    <t>2024年销售合同回款登记台账</t>
    <phoneticPr fontId="11" type="noConversion"/>
  </si>
  <si>
    <t>2024.1.2</t>
    <phoneticPr fontId="11" type="noConversion"/>
  </si>
  <si>
    <t>2024.1.5</t>
    <phoneticPr fontId="11" type="noConversion"/>
  </si>
  <si>
    <t>杭州海康威视系统技术有限公司</t>
    <phoneticPr fontId="11" type="noConversion"/>
  </si>
  <si>
    <t>2024.1.10</t>
    <phoneticPr fontId="11" type="noConversion"/>
  </si>
  <si>
    <t>华电新能（伊吾）东方民生新能源有限公司</t>
    <phoneticPr fontId="11" type="noConversion"/>
  </si>
  <si>
    <t>2024.1.11</t>
    <phoneticPr fontId="11" type="noConversion"/>
  </si>
  <si>
    <t>财务漏发，实际为21年回款，24年1月18日发现漏发</t>
    <phoneticPr fontId="6" type="noConversion"/>
  </si>
  <si>
    <t>2024.1.15</t>
    <phoneticPr fontId="11" type="noConversion"/>
  </si>
  <si>
    <t>2024.1.16</t>
    <phoneticPr fontId="11" type="noConversion"/>
  </si>
  <si>
    <t>新疆风电场D5000二区软件；系统硬件</t>
    <phoneticPr fontId="21" type="noConversion"/>
  </si>
  <si>
    <t>2024年1月2日收到电子银行承兑汇票14.9万元，汇票出票日期2023年12月14日，汇票到期日期2024年1月14日</t>
    <phoneticPr fontId="11" type="noConversion"/>
  </si>
  <si>
    <t>5%预付款+25%到货款</t>
    <phoneticPr fontId="11" type="noConversion"/>
  </si>
  <si>
    <t>新疆华电东方民生太阳能源开发有限公司
哈密市东方民生太阳能源开发有限公司</t>
    <phoneticPr fontId="21" type="noConversion"/>
  </si>
  <si>
    <t>宁德蕉城闽电新能源有限公司</t>
    <phoneticPr fontId="11" type="noConversion"/>
  </si>
  <si>
    <t>博耳能源江苏有限公司</t>
    <phoneticPr fontId="11" type="noConversion"/>
  </si>
  <si>
    <t>宁安镜泊二道岭风力发电有限公司</t>
    <phoneticPr fontId="11" type="noConversion"/>
  </si>
  <si>
    <r>
      <t>2</t>
    </r>
    <r>
      <rPr>
        <sz val="9"/>
        <color indexed="8"/>
        <rFont val="宋体"/>
        <family val="3"/>
        <charset val="134"/>
      </rPr>
      <t>3064-7</t>
    </r>
    <r>
      <rPr>
        <sz val="11"/>
        <color theme="1"/>
        <rFont val="宋体"/>
        <family val="2"/>
        <scheme val="minor"/>
      </rPr>
      <t/>
    </r>
  </si>
  <si>
    <t>系统硬件维护；测风塔维护；预测服务1年</t>
    <phoneticPr fontId="6" type="noConversion"/>
  </si>
  <si>
    <t>约16.67%</t>
    <phoneticPr fontId="11" type="noConversion"/>
  </si>
  <si>
    <t>19131-1</t>
    <phoneticPr fontId="6" type="noConversion"/>
  </si>
  <si>
    <t>19131-2</t>
    <phoneticPr fontId="6" type="noConversion"/>
  </si>
  <si>
    <r>
      <t>2</t>
    </r>
    <r>
      <rPr>
        <sz val="9"/>
        <color indexed="8"/>
        <rFont val="宋体"/>
        <family val="3"/>
        <charset val="134"/>
      </rPr>
      <t>3064-9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</si>
  <si>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3064-8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</si>
  <si>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3063-1</t>
    </r>
    <phoneticPr fontId="6" type="noConversion"/>
  </si>
  <si>
    <t>约33.33%</t>
    <phoneticPr fontId="21" type="noConversion"/>
  </si>
  <si>
    <t>南京国电南自维美德自动化有限公司</t>
    <phoneticPr fontId="11" type="noConversion"/>
  </si>
  <si>
    <t>辽宁宏鑫润达商贸有限公司</t>
    <phoneticPr fontId="11" type="noConversion"/>
  </si>
  <si>
    <r>
      <t>2</t>
    </r>
    <r>
      <rPr>
        <sz val="9"/>
        <color indexed="8"/>
        <rFont val="宋体"/>
        <family val="3"/>
        <charset val="134"/>
      </rPr>
      <t>3064-4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</si>
  <si>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3064-5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</si>
  <si>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3064-6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</si>
  <si>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3064-1</t>
    </r>
    <phoneticPr fontId="6" type="noConversion"/>
  </si>
  <si>
    <r>
      <t>2</t>
    </r>
    <r>
      <rPr>
        <sz val="9"/>
        <color indexed="8"/>
        <rFont val="宋体"/>
        <family val="3"/>
        <charset val="134"/>
      </rPr>
      <t>3064-2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</si>
  <si>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3064-3</t>
    </r>
    <r>
      <rPr>
        <sz val="11"/>
        <color theme="1"/>
        <rFont val="宋体"/>
        <family val="2"/>
        <scheme val="minor"/>
      </rPr>
      <t/>
    </r>
  </si>
  <si>
    <t>24003-23040</t>
    <phoneticPr fontId="6" type="noConversion"/>
  </si>
  <si>
    <t>许继电气股份有限公司</t>
    <phoneticPr fontId="11" type="noConversion"/>
  </si>
  <si>
    <t>通榆中广核风力发电有限公司</t>
    <phoneticPr fontId="11" type="noConversion"/>
  </si>
  <si>
    <t>2024.2.1</t>
    <phoneticPr fontId="11" type="noConversion"/>
  </si>
  <si>
    <t>2024.2.2</t>
    <phoneticPr fontId="11" type="noConversion"/>
  </si>
  <si>
    <t>2024.2.5</t>
    <phoneticPr fontId="11" type="noConversion"/>
  </si>
  <si>
    <t>2024.2.6</t>
    <phoneticPr fontId="11" type="noConversion"/>
  </si>
  <si>
    <t>2024.2.8</t>
    <phoneticPr fontId="11" type="noConversion"/>
  </si>
  <si>
    <t>2024.2.22</t>
    <phoneticPr fontId="11" type="noConversion"/>
  </si>
  <si>
    <t>2024.2.23</t>
    <phoneticPr fontId="11" type="noConversion"/>
  </si>
  <si>
    <t>2024.2.27</t>
    <phoneticPr fontId="11" type="noConversion"/>
  </si>
  <si>
    <t>2024.1.23</t>
    <phoneticPr fontId="11" type="noConversion"/>
  </si>
  <si>
    <t>2024.1.24</t>
    <phoneticPr fontId="11" type="noConversion"/>
  </si>
  <si>
    <t>2024.1.25</t>
    <phoneticPr fontId="11" type="noConversion"/>
  </si>
  <si>
    <t>2024.1.26</t>
    <phoneticPr fontId="11" type="noConversion"/>
  </si>
  <si>
    <t>2024.1.29</t>
    <phoneticPr fontId="11" type="noConversion"/>
  </si>
  <si>
    <t>2024.1.30</t>
    <phoneticPr fontId="11" type="noConversion"/>
  </si>
  <si>
    <t>2024.1.31</t>
    <phoneticPr fontId="11" type="noConversion"/>
  </si>
  <si>
    <t>23121-21140-1</t>
    <phoneticPr fontId="6" type="noConversion"/>
  </si>
  <si>
    <r>
      <t>23121-21140-</t>
    </r>
    <r>
      <rPr>
        <sz val="9"/>
        <color indexed="8"/>
        <rFont val="宋体"/>
        <family val="3"/>
        <charset val="134"/>
      </rPr>
      <t>2</t>
    </r>
    <phoneticPr fontId="6" type="noConversion"/>
  </si>
  <si>
    <r>
      <t>23121-21140-</t>
    </r>
    <r>
      <rPr>
        <sz val="9"/>
        <color indexed="8"/>
        <rFont val="宋体"/>
        <family val="3"/>
        <charset val="134"/>
      </rPr>
      <t>3</t>
    </r>
    <phoneticPr fontId="6" type="noConversion"/>
  </si>
  <si>
    <t>台安桑林</t>
    <phoneticPr fontId="21" type="noConversion"/>
  </si>
  <si>
    <r>
      <t>22159-</t>
    </r>
    <r>
      <rPr>
        <sz val="9"/>
        <color indexed="8"/>
        <rFont val="宋体"/>
        <family val="3"/>
        <charset val="134"/>
      </rPr>
      <t>1</t>
    </r>
    <phoneticPr fontId="6" type="noConversion"/>
  </si>
  <si>
    <r>
      <t>22159-</t>
    </r>
    <r>
      <rPr>
        <sz val="9"/>
        <color indexed="8"/>
        <rFont val="宋体"/>
        <family val="3"/>
        <charset val="134"/>
      </rPr>
      <t>2</t>
    </r>
    <r>
      <rPr>
        <sz val="11"/>
        <color theme="1"/>
        <rFont val="宋体"/>
        <family val="2"/>
        <scheme val="minor"/>
      </rPr>
      <t/>
    </r>
  </si>
  <si>
    <r>
      <t>22159-</t>
    </r>
    <r>
      <rPr>
        <sz val="9"/>
        <color indexed="8"/>
        <rFont val="宋体"/>
        <family val="3"/>
        <charset val="134"/>
      </rPr>
      <t>3</t>
    </r>
    <r>
      <rPr>
        <sz val="11"/>
        <color theme="1"/>
        <rFont val="宋体"/>
        <family val="2"/>
        <scheme val="minor"/>
      </rPr>
      <t/>
    </r>
  </si>
  <si>
    <r>
      <t>22159-</t>
    </r>
    <r>
      <rPr>
        <sz val="9"/>
        <color indexed="8"/>
        <rFont val="宋体"/>
        <family val="3"/>
        <charset val="134"/>
      </rPr>
      <t>4</t>
    </r>
    <r>
      <rPr>
        <sz val="11"/>
        <color theme="1"/>
        <rFont val="宋体"/>
        <family val="2"/>
        <scheme val="minor"/>
      </rPr>
      <t/>
    </r>
  </si>
  <si>
    <r>
      <t>22159-</t>
    </r>
    <r>
      <rPr>
        <sz val="9"/>
        <color indexed="8"/>
        <rFont val="宋体"/>
        <family val="3"/>
        <charset val="134"/>
      </rPr>
      <t>5</t>
    </r>
    <r>
      <rPr>
        <sz val="11"/>
        <color theme="1"/>
        <rFont val="宋体"/>
        <family val="2"/>
        <scheme val="minor"/>
      </rPr>
      <t/>
    </r>
  </si>
  <si>
    <r>
      <t>22159-</t>
    </r>
    <r>
      <rPr>
        <sz val="9"/>
        <color indexed="8"/>
        <rFont val="宋体"/>
        <family val="3"/>
        <charset val="134"/>
      </rPr>
      <t>6</t>
    </r>
    <r>
      <rPr>
        <sz val="11"/>
        <color theme="1"/>
        <rFont val="宋体"/>
        <family val="2"/>
        <scheme val="minor"/>
      </rPr>
      <t/>
    </r>
  </si>
  <si>
    <r>
      <t>22159-</t>
    </r>
    <r>
      <rPr>
        <sz val="9"/>
        <color indexed="8"/>
        <rFont val="宋体"/>
        <family val="3"/>
        <charset val="134"/>
      </rPr>
      <t>7</t>
    </r>
    <r>
      <rPr>
        <sz val="11"/>
        <color theme="1"/>
        <rFont val="宋体"/>
        <family val="2"/>
        <scheme val="minor"/>
      </rPr>
      <t/>
    </r>
  </si>
  <si>
    <r>
      <t>22159-</t>
    </r>
    <r>
      <rPr>
        <sz val="9"/>
        <color indexed="8"/>
        <rFont val="宋体"/>
        <family val="3"/>
        <charset val="134"/>
      </rPr>
      <t>8</t>
    </r>
    <r>
      <rPr>
        <sz val="11"/>
        <color theme="1"/>
        <rFont val="宋体"/>
        <family val="2"/>
        <scheme val="minor"/>
      </rPr>
      <t/>
    </r>
  </si>
  <si>
    <r>
      <t>22159-</t>
    </r>
    <r>
      <rPr>
        <sz val="9"/>
        <color indexed="8"/>
        <rFont val="宋体"/>
        <family val="3"/>
        <charset val="134"/>
      </rPr>
      <t>9</t>
    </r>
    <r>
      <rPr>
        <sz val="11"/>
        <color theme="1"/>
        <rFont val="宋体"/>
        <family val="2"/>
        <scheme val="minor"/>
      </rPr>
      <t/>
    </r>
  </si>
  <si>
    <t>小草湖100MW</t>
    <phoneticPr fontId="21" type="noConversion"/>
  </si>
  <si>
    <r>
      <t>短期软件；超短期软件；系统硬件；测风塔；测风塔设备；预测服务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3"/>
        <charset val="134"/>
        <scheme val="minor"/>
      </rPr>
      <t>年</t>
    </r>
    <phoneticPr fontId="21" type="noConversion"/>
  </si>
  <si>
    <t>白杨沟110KV</t>
    <phoneticPr fontId="21" type="noConversion"/>
  </si>
  <si>
    <t>木垒35KV</t>
    <phoneticPr fontId="21" type="noConversion"/>
  </si>
  <si>
    <r>
      <t>短期软件；超短期软件；系统硬件；测风塔；测风塔设备；预测服务</t>
    </r>
    <r>
      <rPr>
        <sz val="11"/>
        <color theme="1"/>
        <rFont val="宋体"/>
        <family val="3"/>
        <charset val="134"/>
      </rPr>
      <t>2</t>
    </r>
    <r>
      <rPr>
        <sz val="11"/>
        <color theme="1"/>
        <rFont val="宋体"/>
        <family val="3"/>
        <charset val="134"/>
        <scheme val="minor"/>
      </rPr>
      <t>年</t>
    </r>
    <phoneticPr fontId="21" type="noConversion"/>
  </si>
  <si>
    <t>木垒110KV</t>
    <phoneticPr fontId="6" type="noConversion"/>
  </si>
  <si>
    <t>塔城托里</t>
    <phoneticPr fontId="6" type="noConversion"/>
  </si>
  <si>
    <r>
      <t>短期软件；超短期软件；系统硬件；测风塔；测风塔设备；预测服务</t>
    </r>
    <r>
      <rPr>
        <sz val="11"/>
        <color theme="1"/>
        <rFont val="宋体"/>
        <family val="3"/>
        <charset val="134"/>
      </rPr>
      <t>3</t>
    </r>
    <r>
      <rPr>
        <sz val="11"/>
        <color theme="1"/>
        <rFont val="宋体"/>
        <family val="3"/>
        <charset val="134"/>
        <scheme val="minor"/>
      </rPr>
      <t>年</t>
    </r>
    <phoneticPr fontId="21" type="noConversion"/>
  </si>
  <si>
    <t>托里乡110KV</t>
    <phoneticPr fontId="6" type="noConversion"/>
  </si>
  <si>
    <t>西山35KV</t>
    <phoneticPr fontId="6" type="noConversion"/>
  </si>
  <si>
    <t>西山110KV</t>
    <phoneticPr fontId="6" type="noConversion"/>
  </si>
  <si>
    <t>盐湖南110KV</t>
    <phoneticPr fontId="6" type="noConversion"/>
  </si>
  <si>
    <t>约22.08%</t>
    <phoneticPr fontId="21" type="noConversion"/>
  </si>
  <si>
    <t>约22.10%</t>
    <phoneticPr fontId="21" type="noConversion"/>
  </si>
  <si>
    <r>
      <t>2</t>
    </r>
    <r>
      <rPr>
        <sz val="9"/>
        <color indexed="8"/>
        <rFont val="宋体"/>
        <family val="3"/>
        <charset val="134"/>
      </rPr>
      <t>3063-2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</si>
  <si>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3167-1</t>
    </r>
    <phoneticPr fontId="6" type="noConversion"/>
  </si>
  <si>
    <r>
      <t>2</t>
    </r>
    <r>
      <rPr>
        <sz val="9"/>
        <color indexed="8"/>
        <rFont val="宋体"/>
        <family val="3"/>
        <charset val="134"/>
      </rPr>
      <t>3167-2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</si>
  <si>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3167-3</t>
    </r>
    <r>
      <rPr>
        <sz val="11"/>
        <color theme="1"/>
        <rFont val="宋体"/>
        <family val="2"/>
        <scheme val="minor"/>
      </rPr>
      <t/>
    </r>
  </si>
  <si>
    <r>
      <t>2</t>
    </r>
    <r>
      <rPr>
        <sz val="9"/>
        <color indexed="8"/>
        <rFont val="宋体"/>
        <family val="3"/>
        <charset val="134"/>
      </rPr>
      <t>3167-4</t>
    </r>
    <r>
      <rPr>
        <sz val="11"/>
        <color theme="1"/>
        <rFont val="宋体"/>
        <family val="2"/>
        <scheme val="minor"/>
      </rPr>
      <t/>
    </r>
  </si>
  <si>
    <t>白城能投</t>
    <phoneticPr fontId="21" type="noConversion"/>
  </si>
  <si>
    <t>中广核吉西基地鲁固直流白城140万千瓦外送项目大安单元</t>
    <phoneticPr fontId="21" type="noConversion"/>
  </si>
  <si>
    <t>中能建吉西基地鲁固直流白城140万千瓦外送项目大安单元</t>
    <phoneticPr fontId="21" type="noConversion"/>
  </si>
  <si>
    <t>国家电投通榆单元配套220KV升压站</t>
    <phoneticPr fontId="21" type="noConversion"/>
  </si>
  <si>
    <t>中电建通榆单元配套220KV升压站</t>
    <phoneticPr fontId="21" type="noConversion"/>
  </si>
  <si>
    <t>通榆</t>
    <phoneticPr fontId="6" type="noConversion"/>
  </si>
  <si>
    <t>2024.3.4</t>
    <phoneticPr fontId="11" type="noConversion"/>
  </si>
  <si>
    <t>大唐海林威虎山风力发电有限公司</t>
    <phoneticPr fontId="11" type="noConversion"/>
  </si>
  <si>
    <t>十文字</t>
    <phoneticPr fontId="6" type="noConversion"/>
  </si>
  <si>
    <r>
      <t>23063-3</t>
    </r>
    <r>
      <rPr>
        <sz val="11"/>
        <color theme="1"/>
        <rFont val="宋体"/>
        <family val="2"/>
        <scheme val="minor"/>
      </rPr>
      <t/>
    </r>
  </si>
  <si>
    <t>黑龙江龙能电力集团有限公司</t>
    <phoneticPr fontId="11" type="noConversion"/>
  </si>
  <si>
    <t>2024.3.20</t>
    <phoneticPr fontId="11" type="noConversion"/>
  </si>
  <si>
    <t>2024.3.5</t>
    <phoneticPr fontId="11" type="noConversion"/>
  </si>
  <si>
    <t>2024.3.6</t>
    <phoneticPr fontId="11" type="noConversion"/>
  </si>
  <si>
    <t>2024.3.13</t>
    <phoneticPr fontId="11" type="noConversion"/>
  </si>
  <si>
    <t>2024.3.18</t>
    <phoneticPr fontId="11" type="noConversion"/>
  </si>
  <si>
    <t>2024.3.21</t>
    <phoneticPr fontId="11" type="noConversion"/>
  </si>
  <si>
    <t>江苏金风软件技术有限公司</t>
    <phoneticPr fontId="11" type="noConversion"/>
  </si>
  <si>
    <t>古田中电建新能源发电有限公司</t>
    <phoneticPr fontId="11" type="noConversion"/>
  </si>
  <si>
    <t>2024.3.22</t>
    <phoneticPr fontId="11" type="noConversion"/>
  </si>
  <si>
    <t>测风塔维护；预测服务27个月</t>
    <phoneticPr fontId="21" type="noConversion"/>
  </si>
  <si>
    <t>预付款+部分到货款</t>
    <phoneticPr fontId="11" type="noConversion"/>
  </si>
  <si>
    <t>约16.67%</t>
    <phoneticPr fontId="21" type="noConversion"/>
  </si>
  <si>
    <t>国能陕西新能源发电有限公司
国电陕西新能源有限公司</t>
    <phoneticPr fontId="21" type="noConversion"/>
  </si>
  <si>
    <t>70%合同款+50%奖金</t>
    <phoneticPr fontId="21" type="noConversion"/>
  </si>
  <si>
    <t>2024.3.25</t>
    <phoneticPr fontId="11" type="noConversion"/>
  </si>
  <si>
    <t>22159-1</t>
    <phoneticPr fontId="6" type="noConversion"/>
  </si>
  <si>
    <r>
      <t>22159-2</t>
    </r>
    <r>
      <rPr>
        <sz val="11"/>
        <color theme="1"/>
        <rFont val="宋体"/>
        <family val="2"/>
        <scheme val="minor"/>
      </rPr>
      <t/>
    </r>
  </si>
  <si>
    <r>
      <t>22159-3</t>
    </r>
    <r>
      <rPr>
        <sz val="11"/>
        <color theme="1"/>
        <rFont val="宋体"/>
        <family val="2"/>
        <scheme val="minor"/>
      </rPr>
      <t/>
    </r>
  </si>
  <si>
    <r>
      <t>22159-4</t>
    </r>
    <r>
      <rPr>
        <sz val="11"/>
        <color theme="1"/>
        <rFont val="宋体"/>
        <family val="2"/>
        <scheme val="minor"/>
      </rPr>
      <t/>
    </r>
  </si>
  <si>
    <r>
      <t>22159-5</t>
    </r>
    <r>
      <rPr>
        <sz val="11"/>
        <color theme="1"/>
        <rFont val="宋体"/>
        <family val="2"/>
        <scheme val="minor"/>
      </rPr>
      <t/>
    </r>
  </si>
  <si>
    <r>
      <t>22159-6</t>
    </r>
    <r>
      <rPr>
        <sz val="11"/>
        <color theme="1"/>
        <rFont val="宋体"/>
        <family val="2"/>
        <scheme val="minor"/>
      </rPr>
      <t/>
    </r>
  </si>
  <si>
    <r>
      <t>22159-7</t>
    </r>
    <r>
      <rPr>
        <sz val="11"/>
        <color theme="1"/>
        <rFont val="宋体"/>
        <family val="2"/>
        <scheme val="minor"/>
      </rPr>
      <t/>
    </r>
  </si>
  <si>
    <r>
      <t>22159-8</t>
    </r>
    <r>
      <rPr>
        <sz val="11"/>
        <color theme="1"/>
        <rFont val="宋体"/>
        <family val="2"/>
        <scheme val="minor"/>
      </rPr>
      <t/>
    </r>
  </si>
  <si>
    <r>
      <t>22159-9</t>
    </r>
    <r>
      <rPr>
        <sz val="11"/>
        <color theme="1"/>
        <rFont val="宋体"/>
        <family val="2"/>
        <scheme val="minor"/>
      </rPr>
      <t/>
    </r>
  </si>
  <si>
    <t>约20.5%</t>
    <phoneticPr fontId="21" type="noConversion"/>
  </si>
  <si>
    <t>约20.55%</t>
    <phoneticPr fontId="21" type="noConversion"/>
  </si>
  <si>
    <t>托克逊</t>
    <phoneticPr fontId="21" type="noConversion"/>
  </si>
  <si>
    <t>系统硬件；测风塔维护；预测服务3年</t>
    <phoneticPr fontId="21" type="noConversion"/>
  </si>
  <si>
    <t>2024.3.26</t>
    <phoneticPr fontId="11" type="noConversion"/>
  </si>
  <si>
    <t>绥阳</t>
    <phoneticPr fontId="6" type="noConversion"/>
  </si>
  <si>
    <t>2024.3.27</t>
    <phoneticPr fontId="11" type="noConversion"/>
  </si>
  <si>
    <t>2024.3.29</t>
    <phoneticPr fontId="11" type="noConversion"/>
  </si>
  <si>
    <t>河南瑞诚电力有限公司</t>
  </si>
  <si>
    <t>24014-1</t>
    <phoneticPr fontId="6" type="noConversion"/>
  </si>
  <si>
    <t>24014-2</t>
  </si>
  <si>
    <t>白城能投</t>
  </si>
  <si>
    <t>中广核吉西基地鲁固直流白城140万千瓦外送项目大安单元</t>
  </si>
  <si>
    <t>中电建通榆单元配套220KV升压站</t>
  </si>
  <si>
    <t>王星</t>
  </si>
  <si>
    <t>2024年3月27日收到电子银行承兑汇票12.8万元，汇票出票日期2023年10月25日，汇票到期日期2024年4月21日。分两个项目，24014-1为6.4万元，24014-2为6.4万元</t>
    <phoneticPr fontId="11" type="noConversion"/>
  </si>
  <si>
    <t>河南瑞诚电力有限公司</t>
    <phoneticPr fontId="6" type="noConversion"/>
  </si>
  <si>
    <t>2024.4.2</t>
    <phoneticPr fontId="11" type="noConversion"/>
  </si>
  <si>
    <t>2024.4.8</t>
    <phoneticPr fontId="11" type="noConversion"/>
  </si>
  <si>
    <t>中国电建集团山东电力建设第一工程有限公司</t>
    <phoneticPr fontId="11" type="noConversion"/>
  </si>
  <si>
    <t>2024.4.9</t>
    <phoneticPr fontId="11" type="noConversion"/>
  </si>
  <si>
    <t>2024.4.15</t>
    <phoneticPr fontId="11" type="noConversion"/>
  </si>
  <si>
    <t>2024.4.16</t>
    <phoneticPr fontId="11" type="noConversion"/>
  </si>
  <si>
    <t>新疆华电小草湖风力发电有限责任公司</t>
    <phoneticPr fontId="11" type="noConversion"/>
  </si>
  <si>
    <t>新疆华电草湖风电有限公司</t>
    <phoneticPr fontId="11" type="noConversion"/>
  </si>
  <si>
    <t>24009-23059</t>
    <phoneticPr fontId="6" type="noConversion"/>
  </si>
  <si>
    <t>/</t>
    <phoneticPr fontId="21" type="noConversion"/>
  </si>
  <si>
    <t>安白高速新艾里二期</t>
    <phoneticPr fontId="21" type="noConversion"/>
  </si>
  <si>
    <t>西沟二期</t>
    <phoneticPr fontId="21" type="noConversion"/>
  </si>
  <si>
    <t>短期软件；超短期软件；系统硬件；预测服务2年；测风塔改造</t>
    <phoneticPr fontId="21" type="noConversion"/>
  </si>
  <si>
    <t>20%预付款+50%到货款</t>
    <phoneticPr fontId="6" type="noConversion"/>
  </si>
  <si>
    <t>23043-1</t>
    <phoneticPr fontId="6" type="noConversion"/>
  </si>
  <si>
    <r>
      <t>23043-2</t>
    </r>
    <r>
      <rPr>
        <sz val="11"/>
        <color theme="1"/>
        <rFont val="宋体"/>
        <family val="2"/>
        <scheme val="minor"/>
      </rPr>
      <t/>
    </r>
  </si>
  <si>
    <r>
      <t>23043-3</t>
    </r>
    <r>
      <rPr>
        <sz val="11"/>
        <color theme="1"/>
        <rFont val="宋体"/>
        <family val="2"/>
        <scheme val="minor"/>
      </rPr>
      <t/>
    </r>
  </si>
  <si>
    <t>小草湖一期</t>
    <phoneticPr fontId="21" type="noConversion"/>
  </si>
  <si>
    <t>系统硬件；软件升级（自动巡检）</t>
    <phoneticPr fontId="21" type="noConversion"/>
  </si>
  <si>
    <t>小草湖二期</t>
    <phoneticPr fontId="21" type="noConversion"/>
  </si>
  <si>
    <t>草湖三场</t>
    <phoneticPr fontId="21" type="noConversion"/>
  </si>
  <si>
    <t>草湖二场</t>
  </si>
  <si>
    <t>2024.4.18</t>
    <phoneticPr fontId="11" type="noConversion"/>
  </si>
  <si>
    <t>2024.4.19</t>
    <phoneticPr fontId="11" type="noConversion"/>
  </si>
  <si>
    <t>2024.4.22</t>
    <phoneticPr fontId="11" type="noConversion"/>
  </si>
  <si>
    <t>四平中广核风力发电有限公司</t>
    <phoneticPr fontId="11" type="noConversion"/>
  </si>
  <si>
    <t>阳光智维科技股份有限公司
阳光智维科技有限公司</t>
    <phoneticPr fontId="21" type="noConversion"/>
  </si>
  <si>
    <t>22080-1</t>
    <phoneticPr fontId="6" type="noConversion"/>
  </si>
  <si>
    <r>
      <t>22080-2</t>
    </r>
    <r>
      <rPr>
        <sz val="11"/>
        <color theme="1"/>
        <rFont val="宋体"/>
        <family val="2"/>
        <scheme val="minor"/>
      </rPr>
      <t/>
    </r>
  </si>
  <si>
    <r>
      <t>22080-3</t>
    </r>
    <r>
      <rPr>
        <sz val="11"/>
        <color theme="1"/>
        <rFont val="宋体"/>
        <family val="2"/>
        <scheme val="minor"/>
      </rPr>
      <t/>
    </r>
  </si>
  <si>
    <t>约9.5%</t>
    <phoneticPr fontId="6" type="noConversion"/>
  </si>
  <si>
    <t>约9.46%</t>
    <phoneticPr fontId="6" type="noConversion"/>
  </si>
  <si>
    <t>2024.4.24</t>
    <phoneticPr fontId="11" type="noConversion"/>
  </si>
  <si>
    <t>阳光智维科技股份有限公司</t>
    <phoneticPr fontId="11" type="noConversion"/>
  </si>
  <si>
    <t>2024.4.25</t>
    <phoneticPr fontId="11" type="noConversion"/>
  </si>
  <si>
    <t>吉林中电投新能源有限公司</t>
    <phoneticPr fontId="6" type="noConversion"/>
  </si>
  <si>
    <t>23052-1</t>
    <phoneticPr fontId="6" type="noConversion"/>
  </si>
  <si>
    <r>
      <t>23052-2</t>
    </r>
    <r>
      <rPr>
        <sz val="11"/>
        <color theme="1"/>
        <rFont val="宋体"/>
        <family val="2"/>
        <scheme val="minor"/>
      </rPr>
      <t/>
    </r>
  </si>
  <si>
    <r>
      <t>23052-3</t>
    </r>
    <r>
      <rPr>
        <sz val="11"/>
        <color theme="1"/>
        <rFont val="宋体"/>
        <family val="2"/>
        <scheme val="minor"/>
      </rPr>
      <t/>
    </r>
  </si>
  <si>
    <t>北正</t>
    <phoneticPr fontId="21" type="noConversion"/>
  </si>
  <si>
    <t>约99.25%</t>
    <phoneticPr fontId="6" type="noConversion"/>
  </si>
  <si>
    <t>2024.4.29</t>
    <phoneticPr fontId="6" type="noConversion"/>
  </si>
  <si>
    <t>2024.5.8</t>
    <phoneticPr fontId="6" type="noConversion"/>
  </si>
  <si>
    <t>2024.5.9</t>
    <phoneticPr fontId="6" type="noConversion"/>
  </si>
  <si>
    <t>沈阳奥迅科技有限公司</t>
    <phoneticPr fontId="6" type="noConversion"/>
  </si>
  <si>
    <t>预测服务29个月</t>
    <phoneticPr fontId="21" type="noConversion"/>
  </si>
  <si>
    <t>鸡冠山</t>
    <phoneticPr fontId="21" type="noConversion"/>
  </si>
  <si>
    <t>约25.88%</t>
    <phoneticPr fontId="6" type="noConversion"/>
  </si>
  <si>
    <t>锐驰二期</t>
    <phoneticPr fontId="21" type="noConversion"/>
  </si>
  <si>
    <t>到货款+验收款</t>
    <phoneticPr fontId="6" type="noConversion"/>
  </si>
  <si>
    <t>青冈未来</t>
    <phoneticPr fontId="21" type="noConversion"/>
  </si>
  <si>
    <t>海伦冠峰</t>
    <phoneticPr fontId="21" type="noConversion"/>
  </si>
  <si>
    <t>2024.5.14</t>
    <phoneticPr fontId="6" type="noConversion"/>
  </si>
  <si>
    <t>约30.15%</t>
    <phoneticPr fontId="6" type="noConversion"/>
  </si>
  <si>
    <t>华电巴里坤新能源有限公司
巴里坤东方民生新能源有限公司</t>
    <phoneticPr fontId="21" type="noConversion"/>
  </si>
  <si>
    <t>华电新能（伊吾）东方民生新能源有限公司
伊吾东方民生新能源有限公司</t>
    <phoneticPr fontId="21" type="noConversion"/>
  </si>
  <si>
    <t>约31.71%</t>
    <phoneticPr fontId="6" type="noConversion"/>
  </si>
  <si>
    <t>约14.88%</t>
    <phoneticPr fontId="6" type="noConversion"/>
  </si>
  <si>
    <t>2024.5.15</t>
    <phoneticPr fontId="6" type="noConversion"/>
  </si>
  <si>
    <t>新疆华电十三间房风电有限责任公司</t>
    <phoneticPr fontId="6" type="noConversion"/>
  </si>
  <si>
    <t>2024.5.17</t>
    <phoneticPr fontId="6" type="noConversion"/>
  </si>
  <si>
    <t>2024.5.20</t>
    <phoneticPr fontId="11" type="noConversion"/>
  </si>
  <si>
    <t>2024.5.21</t>
    <phoneticPr fontId="11" type="noConversion"/>
  </si>
  <si>
    <t>华电新能新疆木垒新能源有限公司</t>
    <phoneticPr fontId="11" type="noConversion"/>
  </si>
  <si>
    <t>台安桑林风力发电有限公司</t>
    <phoneticPr fontId="11" type="noConversion"/>
  </si>
  <si>
    <t>新疆华电雪湖风力发电有限公司</t>
    <phoneticPr fontId="11" type="noConversion"/>
  </si>
  <si>
    <t>福新木垒老君庙</t>
    <phoneticPr fontId="21" type="noConversion"/>
  </si>
  <si>
    <t>中长期软件；预测服务1年</t>
    <phoneticPr fontId="21" type="noConversion"/>
  </si>
  <si>
    <t>大连湖风电一场</t>
    <phoneticPr fontId="21" type="noConversion"/>
  </si>
  <si>
    <t>2024.5.22</t>
    <phoneticPr fontId="11" type="noConversion"/>
  </si>
  <si>
    <t>2024.5.15</t>
    <phoneticPr fontId="11" type="noConversion"/>
  </si>
  <si>
    <t>2024.5.10</t>
    <phoneticPr fontId="11" type="noConversion"/>
  </si>
  <si>
    <t>2024.5.23</t>
    <phoneticPr fontId="11" type="noConversion"/>
  </si>
  <si>
    <t>通河县聚霆新能源有限公司</t>
    <phoneticPr fontId="11" type="noConversion"/>
  </si>
  <si>
    <t>吉林中广核风力发电有限公司大安两家子分公司</t>
    <phoneticPr fontId="11" type="noConversion"/>
  </si>
  <si>
    <t>2024.5.24</t>
    <phoneticPr fontId="11" type="noConversion"/>
  </si>
  <si>
    <t>2024.5.27</t>
    <phoneticPr fontId="11" type="noConversion"/>
  </si>
  <si>
    <t>香港风力发电(穆棱)有限公司</t>
    <phoneticPr fontId="11" type="noConversion"/>
  </si>
  <si>
    <t>验收款+质保款</t>
  </si>
  <si>
    <t>系统硬件；测风塔设备；软件升级（预测上传10天）</t>
    <phoneticPr fontId="21" type="noConversion"/>
  </si>
  <si>
    <t>2024.5.30</t>
    <phoneticPr fontId="11" type="noConversion"/>
  </si>
  <si>
    <t xml:space="preserve">新疆华电白杨河风力发电有限责任公司	</t>
    <phoneticPr fontId="11" type="noConversion"/>
  </si>
  <si>
    <t xml:space="preserve">新疆华电珍珠泉新能源有限公司	</t>
    <phoneticPr fontId="11" type="noConversion"/>
  </si>
  <si>
    <t xml:space="preserve">新疆华电木垒新能源有限公司	</t>
    <phoneticPr fontId="11" type="noConversion"/>
  </si>
  <si>
    <t xml:space="preserve">焉耆县光润新能源发电有限公司	</t>
    <phoneticPr fontId="11" type="noConversion"/>
  </si>
  <si>
    <t xml:space="preserve">华电五家渠新能源有限公司	</t>
    <phoneticPr fontId="11" type="noConversion"/>
  </si>
  <si>
    <t>22150-1</t>
    <phoneticPr fontId="6" type="noConversion"/>
  </si>
  <si>
    <t>22150-2</t>
  </si>
  <si>
    <t>22150-3</t>
  </si>
  <si>
    <t>华电小草湖北风电一场</t>
    <phoneticPr fontId="21" type="noConversion"/>
  </si>
  <si>
    <t>木垒大石头</t>
    <phoneticPr fontId="21" type="noConversion"/>
  </si>
  <si>
    <t>中长期电量预测</t>
    <phoneticPr fontId="21" type="noConversion"/>
  </si>
  <si>
    <t>华电五家渠新能源有限公司	
五家渠鑫和信能源科技有限公司</t>
    <phoneticPr fontId="21" type="noConversion"/>
  </si>
  <si>
    <t>约47.93%</t>
    <phoneticPr fontId="21" type="noConversion"/>
  </si>
  <si>
    <t>2024.5.31</t>
    <phoneticPr fontId="11" type="noConversion"/>
  </si>
  <si>
    <t>吉林省光华风电投资有限公司</t>
    <phoneticPr fontId="11" type="noConversion"/>
  </si>
  <si>
    <t>2024年5月31日收到电子银行承兑汇票4.7930万元，汇票出票日期2024年3月20日，汇票到期日期2024年9月20日</t>
    <phoneticPr fontId="11" type="noConversion"/>
  </si>
  <si>
    <t>2024年5月31日收到电子银行承兑汇票5万元，汇票出票日期2024年3月20日，汇票到期日期2024年9月20日</t>
    <phoneticPr fontId="11" type="noConversion"/>
  </si>
  <si>
    <t>2024.6.7</t>
    <phoneticPr fontId="11" type="noConversion"/>
  </si>
  <si>
    <t>三峡新能源大连发电有限公司</t>
    <phoneticPr fontId="11" type="noConversion"/>
  </si>
  <si>
    <t>2024.6.11</t>
    <phoneticPr fontId="11" type="noConversion"/>
  </si>
  <si>
    <t>沈阳博来德滋电子科技有限公司</t>
    <phoneticPr fontId="11" type="noConversion"/>
  </si>
  <si>
    <r>
      <t>21197-2</t>
    </r>
    <r>
      <rPr>
        <sz val="11"/>
        <color theme="1"/>
        <rFont val="宋体"/>
        <family val="2"/>
        <scheme val="minor"/>
      </rPr>
      <t/>
    </r>
  </si>
  <si>
    <t>约10.23%</t>
    <phoneticPr fontId="11" type="noConversion"/>
  </si>
  <si>
    <t>安邦河（老平岗+杨木岗+锅盔山）</t>
    <phoneticPr fontId="6" type="noConversion"/>
  </si>
  <si>
    <t>风电AVC软件；系统硬件</t>
    <phoneticPr fontId="21" type="noConversion"/>
  </si>
  <si>
    <t>23139-1</t>
    <phoneticPr fontId="6" type="noConversion"/>
  </si>
  <si>
    <t>青冈永合</t>
    <phoneticPr fontId="21" type="noConversion"/>
  </si>
  <si>
    <t>2024.6.12</t>
    <phoneticPr fontId="11" type="noConversion"/>
  </si>
  <si>
    <t>2024.6.13</t>
    <phoneticPr fontId="11" type="noConversion"/>
  </si>
  <si>
    <t>2024.6.14</t>
    <phoneticPr fontId="11" type="noConversion"/>
  </si>
  <si>
    <t>2024.6.20</t>
    <phoneticPr fontId="11" type="noConversion"/>
  </si>
  <si>
    <t>2024.6.21</t>
    <phoneticPr fontId="11" type="noConversion"/>
  </si>
  <si>
    <t>新疆华电东方民生太阳能源开发有限公司</t>
    <phoneticPr fontId="11" type="noConversion"/>
  </si>
  <si>
    <t>约3.75%</t>
    <phoneticPr fontId="11" type="noConversion"/>
  </si>
  <si>
    <t>约3.79%</t>
    <phoneticPr fontId="11" type="noConversion"/>
  </si>
  <si>
    <t>兴凯湖</t>
    <phoneticPr fontId="6" type="noConversion"/>
  </si>
  <si>
    <t>2024.6.19</t>
    <phoneticPr fontId="11" type="noConversion"/>
  </si>
  <si>
    <t>21140-1</t>
    <phoneticPr fontId="6" type="noConversion"/>
  </si>
  <si>
    <t>2024.6.25</t>
    <phoneticPr fontId="11" type="noConversion"/>
  </si>
  <si>
    <t>2024.6.26</t>
    <phoneticPr fontId="11" type="noConversion"/>
  </si>
  <si>
    <t>2024.6.27</t>
    <phoneticPr fontId="11" type="noConversion"/>
  </si>
  <si>
    <t>2024.6.28</t>
    <phoneticPr fontId="11" type="noConversion"/>
  </si>
  <si>
    <t>梅桥镇</t>
    <phoneticPr fontId="21" type="noConversion"/>
  </si>
  <si>
    <t>软件升级（双平面改造）</t>
    <phoneticPr fontId="21" type="noConversion"/>
  </si>
  <si>
    <t>23136-1</t>
    <phoneticPr fontId="6" type="noConversion"/>
  </si>
  <si>
    <r>
      <t>23136-2</t>
    </r>
    <r>
      <rPr>
        <sz val="11"/>
        <color theme="1"/>
        <rFont val="宋体"/>
        <family val="2"/>
        <scheme val="minor"/>
      </rPr>
      <t/>
    </r>
  </si>
  <si>
    <r>
      <t>23136-3</t>
    </r>
    <r>
      <rPr>
        <sz val="11"/>
        <color theme="1"/>
        <rFont val="宋体"/>
        <family val="2"/>
        <scheme val="minor"/>
      </rPr>
      <t/>
    </r>
  </si>
  <si>
    <t>蒋公岭二期（湖沙咀）</t>
    <phoneticPr fontId="6" type="noConversion"/>
  </si>
  <si>
    <t>新疆华电达坂城新能源有限公司</t>
    <phoneticPr fontId="11" type="noConversion"/>
  </si>
  <si>
    <t>西沟二期</t>
    <phoneticPr fontId="6" type="noConversion"/>
  </si>
  <si>
    <t>2024.6.29</t>
    <phoneticPr fontId="11" type="noConversion"/>
  </si>
  <si>
    <t>23167-1</t>
  </si>
  <si>
    <t>23167-2</t>
  </si>
  <si>
    <t>23167-3</t>
  </si>
  <si>
    <t>23167-4</t>
  </si>
  <si>
    <t>到货款</t>
    <phoneticPr fontId="21" type="noConversion"/>
  </si>
  <si>
    <t>2024年6月29日收到电子银行承兑汇票24万元，汇票出票日期2024年6月25日，汇票到期日期2024年12月22日</t>
    <phoneticPr fontId="11" type="noConversion"/>
  </si>
  <si>
    <t>2024.7.5</t>
    <phoneticPr fontId="11" type="noConversion"/>
  </si>
  <si>
    <t>2024.7.9</t>
    <phoneticPr fontId="11" type="noConversion"/>
  </si>
  <si>
    <t>2024.7.10</t>
    <phoneticPr fontId="11" type="noConversion"/>
  </si>
  <si>
    <t>2024.7.11</t>
    <phoneticPr fontId="11" type="noConversion"/>
  </si>
  <si>
    <t>河南瑞诚电力有限公司</t>
    <phoneticPr fontId="11" type="noConversion"/>
  </si>
  <si>
    <t>2024.7.15</t>
    <phoneticPr fontId="11" type="noConversion"/>
  </si>
  <si>
    <t>2024.7.16</t>
    <phoneticPr fontId="11" type="noConversion"/>
  </si>
  <si>
    <t>2024.7.17</t>
    <phoneticPr fontId="11" type="noConversion"/>
  </si>
  <si>
    <t>国瑞科技（吉林）有限公司</t>
    <phoneticPr fontId="11" type="noConversion"/>
  </si>
  <si>
    <t>大安中广核风力发电有限公司</t>
    <phoneticPr fontId="11" type="noConversion"/>
  </si>
  <si>
    <t>伊通26.1MW风电工程</t>
    <phoneticPr fontId="21" type="noConversion"/>
  </si>
  <si>
    <t>23073-1</t>
    <phoneticPr fontId="21" type="noConversion"/>
  </si>
  <si>
    <t>23073-2</t>
  </si>
  <si>
    <t>淖毛湖风电一场</t>
    <phoneticPr fontId="6" type="noConversion"/>
  </si>
  <si>
    <t>淖毛湖风电一场（二期）</t>
    <phoneticPr fontId="6" type="noConversion"/>
  </si>
  <si>
    <t>测风塔维护</t>
    <phoneticPr fontId="21" type="noConversion"/>
  </si>
  <si>
    <t>2024年7月11日收到电子银行承兑汇票25.6万元，汇票出票日期2024年6月25日，汇票到期日期2024年12月22日</t>
    <phoneticPr fontId="11" type="noConversion"/>
  </si>
  <si>
    <t>2024.7.19</t>
    <phoneticPr fontId="11" type="noConversion"/>
  </si>
  <si>
    <t>五凌鄯善电力有限公司</t>
    <phoneticPr fontId="11" type="noConversion"/>
  </si>
  <si>
    <t>五凌布尔津</t>
    <phoneticPr fontId="21" type="noConversion"/>
  </si>
  <si>
    <t>竣工款</t>
    <phoneticPr fontId="11" type="noConversion"/>
  </si>
  <si>
    <t>中电投新疆能源化工集团吐鲁番有限公司</t>
    <phoneticPr fontId="11" type="noConversion"/>
  </si>
  <si>
    <t>宝鸡国源安华新能源开发有限公司</t>
    <phoneticPr fontId="11" type="noConversion"/>
  </si>
  <si>
    <t>2024.7.22</t>
    <phoneticPr fontId="11" type="noConversion"/>
  </si>
  <si>
    <t>宁波鼎成嘉诚科技有限公司</t>
    <phoneticPr fontId="11" type="noConversion"/>
  </si>
  <si>
    <t>2024.7.23</t>
    <phoneticPr fontId="11" type="noConversion"/>
  </si>
  <si>
    <t>2024.7.24</t>
    <phoneticPr fontId="11" type="noConversion"/>
  </si>
  <si>
    <t>2024.7.26</t>
    <phoneticPr fontId="11" type="noConversion"/>
  </si>
  <si>
    <t>扶余市吉成风能有限公司</t>
    <phoneticPr fontId="11" type="noConversion"/>
  </si>
  <si>
    <t>宁安风水山</t>
    <phoneticPr fontId="21" type="noConversion"/>
  </si>
  <si>
    <t>淖毛湖一期
淖毛湖二期</t>
    <phoneticPr fontId="6" type="noConversion"/>
  </si>
  <si>
    <t>预测服务2年</t>
  </si>
  <si>
    <t>华电新能（伊吾）东方民生新能源有限公司</t>
    <phoneticPr fontId="21" type="noConversion"/>
  </si>
  <si>
    <t>黑龙江省华富电力投资有限公司东宁分公司</t>
    <phoneticPr fontId="21" type="noConversion"/>
  </si>
  <si>
    <t>瑞信</t>
    <phoneticPr fontId="6" type="noConversion"/>
  </si>
  <si>
    <t>2024.7.30</t>
    <phoneticPr fontId="11" type="noConversion"/>
  </si>
  <si>
    <r>
      <t>23064-8</t>
    </r>
    <r>
      <rPr>
        <sz val="11"/>
        <color theme="1"/>
        <rFont val="宋体"/>
        <family val="2"/>
        <scheme val="minor"/>
      </rPr>
      <t/>
    </r>
  </si>
  <si>
    <t>2024.7.31</t>
    <phoneticPr fontId="11" type="noConversion"/>
  </si>
  <si>
    <t>华电新能新疆木垒新能源有限公司
华电福新新疆木垒能源有限公司</t>
    <phoneticPr fontId="21" type="noConversion"/>
  </si>
  <si>
    <t>福新木垒光伏一电站</t>
    <phoneticPr fontId="21" type="noConversion"/>
  </si>
  <si>
    <t>特变电工照壁山</t>
    <phoneticPr fontId="21" type="noConversion"/>
  </si>
  <si>
    <t>22064-1</t>
    <phoneticPr fontId="6" type="noConversion"/>
  </si>
  <si>
    <r>
      <t>22064-2</t>
    </r>
    <r>
      <rPr>
        <sz val="11"/>
        <color theme="1"/>
        <rFont val="宋体"/>
        <family val="2"/>
        <scheme val="minor"/>
      </rPr>
      <t/>
    </r>
  </si>
  <si>
    <t>约26.97%</t>
    <phoneticPr fontId="11" type="noConversion"/>
  </si>
  <si>
    <t>草湖二场</t>
    <phoneticPr fontId="21" type="noConversion"/>
  </si>
  <si>
    <t>短期软件；超短期软件；预测服务1年；中长期电量预测</t>
    <phoneticPr fontId="21" type="noConversion"/>
  </si>
  <si>
    <t>2024.8.5</t>
    <phoneticPr fontId="11" type="noConversion"/>
  </si>
  <si>
    <t>2024.8.7</t>
    <phoneticPr fontId="11" type="noConversion"/>
  </si>
  <si>
    <t>2024.8.8</t>
    <phoneticPr fontId="11" type="noConversion"/>
  </si>
  <si>
    <t>2024.8.9</t>
    <phoneticPr fontId="11" type="noConversion"/>
  </si>
  <si>
    <t>华电巴里坤新能源有限公司</t>
    <phoneticPr fontId="11" type="noConversion"/>
  </si>
  <si>
    <t>2024.8.6</t>
    <phoneticPr fontId="11" type="noConversion"/>
  </si>
  <si>
    <t>2024.8.12</t>
    <phoneticPr fontId="11" type="noConversion"/>
  </si>
  <si>
    <t>2024.8.14</t>
    <phoneticPr fontId="11" type="noConversion"/>
  </si>
  <si>
    <t>2024.8.15</t>
    <phoneticPr fontId="11" type="noConversion"/>
  </si>
  <si>
    <t>山东泰开高压开关有限公司</t>
    <phoneticPr fontId="11" type="noConversion"/>
  </si>
  <si>
    <t>2024.8.16</t>
    <phoneticPr fontId="11" type="noConversion"/>
  </si>
  <si>
    <t>23063-1</t>
    <phoneticPr fontId="6" type="noConversion"/>
  </si>
  <si>
    <t>23064-1</t>
    <phoneticPr fontId="6" type="noConversion"/>
  </si>
  <si>
    <r>
      <t>23064-2</t>
    </r>
    <r>
      <rPr>
        <sz val="11"/>
        <color theme="1"/>
        <rFont val="宋体"/>
        <family val="2"/>
        <scheme val="minor"/>
      </rPr>
      <t/>
    </r>
  </si>
  <si>
    <r>
      <t>23064-3</t>
    </r>
    <r>
      <rPr>
        <sz val="11"/>
        <color theme="1"/>
        <rFont val="宋体"/>
        <family val="2"/>
        <scheme val="minor"/>
      </rPr>
      <t/>
    </r>
  </si>
  <si>
    <r>
      <t>23064-6</t>
    </r>
    <r>
      <rPr>
        <sz val="11"/>
        <color theme="1"/>
        <rFont val="宋体"/>
        <family val="2"/>
        <scheme val="minor"/>
      </rPr>
      <t/>
    </r>
  </si>
  <si>
    <r>
      <t>23064-7</t>
    </r>
    <r>
      <rPr>
        <sz val="11"/>
        <color theme="1"/>
        <rFont val="宋体"/>
        <family val="2"/>
        <scheme val="minor"/>
      </rPr>
      <t/>
    </r>
  </si>
  <si>
    <r>
      <t>23064-9</t>
    </r>
    <r>
      <rPr>
        <sz val="11"/>
        <color theme="1"/>
        <rFont val="宋体"/>
        <family val="2"/>
        <scheme val="minor"/>
      </rPr>
      <t/>
    </r>
  </si>
  <si>
    <t>力诺石城子</t>
  </si>
  <si>
    <t>23071-1</t>
    <phoneticPr fontId="21" type="noConversion"/>
  </si>
  <si>
    <t>23071-2</t>
  </si>
  <si>
    <t>麻黄沟东风电一场</t>
    <phoneticPr fontId="6" type="noConversion"/>
  </si>
  <si>
    <t>麻黄沟东风电一场（二三四期）</t>
    <phoneticPr fontId="6" type="noConversion"/>
  </si>
  <si>
    <t>华电新能（哈密）新特能源有限责任公司
哈密新特能源有限责任公司</t>
    <phoneticPr fontId="21" type="noConversion"/>
  </si>
  <si>
    <t>新特红星</t>
    <phoneticPr fontId="21" type="noConversion"/>
  </si>
  <si>
    <t>系统硬件；软件升级（换linux系统）；预测服务1年</t>
    <phoneticPr fontId="6" type="noConversion"/>
  </si>
  <si>
    <t>约32.29</t>
    <phoneticPr fontId="21" type="noConversion"/>
  </si>
  <si>
    <t>2024.8.19</t>
    <phoneticPr fontId="11" type="noConversion"/>
  </si>
  <si>
    <t>2024.8.20</t>
    <phoneticPr fontId="21" type="noConversion"/>
  </si>
  <si>
    <t>大唐黑龙江新能源开发有限公司华安（齐齐哈尔）风力发电分公司</t>
    <phoneticPr fontId="21" type="noConversion"/>
  </si>
  <si>
    <r>
      <t>23063-2</t>
    </r>
    <r>
      <rPr>
        <sz val="11"/>
        <color theme="1"/>
        <rFont val="宋体"/>
        <family val="2"/>
        <scheme val="minor"/>
      </rPr>
      <t/>
    </r>
  </si>
  <si>
    <t>2024.8.21</t>
    <phoneticPr fontId="21" type="noConversion"/>
  </si>
  <si>
    <t>哈尔滨朗昇电气股份有限公司</t>
    <phoneticPr fontId="21" type="noConversion"/>
  </si>
  <si>
    <t>2024.8.22</t>
    <phoneticPr fontId="21" type="noConversion"/>
  </si>
  <si>
    <r>
      <t>23064-4</t>
    </r>
    <r>
      <rPr>
        <sz val="11"/>
        <color theme="1"/>
        <rFont val="宋体"/>
        <family val="2"/>
        <scheme val="minor"/>
      </rPr>
      <t/>
    </r>
  </si>
  <si>
    <r>
      <t>23064-5</t>
    </r>
    <r>
      <rPr>
        <sz val="11"/>
        <color theme="1"/>
        <rFont val="宋体"/>
        <family val="2"/>
        <scheme val="minor"/>
      </rPr>
      <t/>
    </r>
  </si>
  <si>
    <t>国能投</t>
    <phoneticPr fontId="21" type="noConversion"/>
  </si>
  <si>
    <t>桦川储能装备实证风电项目</t>
    <phoneticPr fontId="21" type="noConversion"/>
  </si>
  <si>
    <t>投料款</t>
    <phoneticPr fontId="21" type="noConversion"/>
  </si>
  <si>
    <t>2024.8.23</t>
    <phoneticPr fontId="21" type="noConversion"/>
  </si>
  <si>
    <t>新疆华电达坂城新能源有限公司</t>
    <phoneticPr fontId="21" type="noConversion"/>
  </si>
  <si>
    <t>预测服务3年</t>
    <phoneticPr fontId="21" type="noConversion"/>
  </si>
  <si>
    <t>2024.8.27</t>
    <phoneticPr fontId="21" type="noConversion"/>
  </si>
  <si>
    <t>黑龙江省火传光信科技有限公司</t>
    <phoneticPr fontId="21" type="noConversion"/>
  </si>
  <si>
    <t>2024.8.28</t>
  </si>
  <si>
    <t>2024.8.29</t>
  </si>
  <si>
    <r>
      <t>23164-4</t>
    </r>
    <r>
      <rPr>
        <sz val="11"/>
        <color theme="1"/>
        <rFont val="宋体"/>
        <family val="2"/>
        <scheme val="minor"/>
      </rPr>
      <t/>
    </r>
  </si>
  <si>
    <r>
      <t>23164-6</t>
    </r>
    <r>
      <rPr>
        <sz val="11"/>
        <color theme="1"/>
        <rFont val="宋体"/>
        <family val="2"/>
        <scheme val="minor"/>
      </rPr>
      <t/>
    </r>
  </si>
  <si>
    <t>23163-1</t>
    <phoneticPr fontId="6" type="noConversion"/>
  </si>
  <si>
    <t>华能安达300兆瓦</t>
    <phoneticPr fontId="21" type="noConversion"/>
  </si>
  <si>
    <t>验收款+质保款</t>
    <phoneticPr fontId="21" type="noConversion"/>
  </si>
  <si>
    <t>新疆华电白杨河风力发电有限责任公司</t>
    <phoneticPr fontId="21" type="noConversion"/>
  </si>
  <si>
    <t>2024.9.1</t>
    <phoneticPr fontId="21" type="noConversion"/>
  </si>
  <si>
    <t>2024.9.4</t>
    <phoneticPr fontId="21" type="noConversion"/>
  </si>
  <si>
    <t>2024.9.5</t>
    <phoneticPr fontId="21" type="noConversion"/>
  </si>
  <si>
    <t>绥滨县中金宝宜新能源有限公司</t>
    <phoneticPr fontId="21" type="noConversion"/>
  </si>
  <si>
    <t>2024.9.9</t>
    <phoneticPr fontId="21" type="noConversion"/>
  </si>
  <si>
    <t>2024.9.10</t>
    <phoneticPr fontId="21" type="noConversion"/>
  </si>
  <si>
    <t>2024.9.11</t>
    <phoneticPr fontId="21" type="noConversion"/>
  </si>
  <si>
    <t>2024.9.12</t>
    <phoneticPr fontId="21" type="noConversion"/>
  </si>
  <si>
    <t>2024.9.13</t>
    <phoneticPr fontId="21" type="noConversion"/>
  </si>
  <si>
    <t>国华新能源（双辽）有限公司</t>
    <phoneticPr fontId="11" type="noConversion"/>
  </si>
  <si>
    <t>2024.9.18</t>
    <phoneticPr fontId="21" type="noConversion"/>
  </si>
  <si>
    <t>溧阳市飞跃风能发电机服务有限公司</t>
    <phoneticPr fontId="11" type="noConversion"/>
  </si>
  <si>
    <t>宝宜</t>
    <phoneticPr fontId="21" type="noConversion"/>
  </si>
  <si>
    <t>23164-1</t>
    <phoneticPr fontId="6" type="noConversion"/>
  </si>
  <si>
    <r>
      <t>23164-2</t>
    </r>
    <r>
      <rPr>
        <sz val="11"/>
        <color theme="1"/>
        <rFont val="宋体"/>
        <family val="2"/>
        <scheme val="minor"/>
      </rPr>
      <t/>
    </r>
  </si>
  <si>
    <t>约20%</t>
    <phoneticPr fontId="21" type="noConversion"/>
  </si>
  <si>
    <t>2024年9月10日收到电子银行承兑汇票5.21万元，汇票出票日期2024年9月5日，汇票到期日期2025年3月5日</t>
    <phoneticPr fontId="11" type="noConversion"/>
  </si>
  <si>
    <t>23075-1</t>
    <phoneticPr fontId="21" type="noConversion"/>
  </si>
  <si>
    <t>23075-2</t>
  </si>
  <si>
    <t>23075-3</t>
  </si>
  <si>
    <t>嘉利风电场</t>
    <phoneticPr fontId="6" type="noConversion"/>
  </si>
  <si>
    <t>嘉利风电二场</t>
    <phoneticPr fontId="6" type="noConversion"/>
  </si>
  <si>
    <t>嘉利风电三场</t>
    <phoneticPr fontId="6" type="noConversion"/>
  </si>
  <si>
    <t>约35.42%</t>
    <phoneticPr fontId="21" type="noConversion"/>
  </si>
  <si>
    <t>硬件款</t>
    <phoneticPr fontId="21" type="noConversion"/>
  </si>
  <si>
    <t>大庆经开区</t>
  </si>
  <si>
    <t>24021-1</t>
    <phoneticPr fontId="6" type="noConversion"/>
  </si>
  <si>
    <t>24021-2</t>
  </si>
  <si>
    <t>讷河东庆</t>
  </si>
  <si>
    <t>黑龙江风电场综合通讯管理系统软件；系统硬件</t>
  </si>
  <si>
    <t>段洪宇</t>
  </si>
  <si>
    <t>2024.9.23</t>
    <phoneticPr fontId="21" type="noConversion"/>
  </si>
  <si>
    <t>2024.9.24</t>
    <phoneticPr fontId="21" type="noConversion"/>
  </si>
  <si>
    <t>2024.9.26</t>
    <phoneticPr fontId="21" type="noConversion"/>
  </si>
  <si>
    <t>2024.9.27</t>
    <phoneticPr fontId="21" type="noConversion"/>
  </si>
  <si>
    <t>2024.9.29</t>
    <phoneticPr fontId="21" type="noConversion"/>
  </si>
  <si>
    <t>华能湖南江口风电有限责任公司</t>
    <phoneticPr fontId="11" type="noConversion"/>
  </si>
  <si>
    <r>
      <t>23164-5</t>
    </r>
    <r>
      <rPr>
        <sz val="11"/>
        <color theme="1"/>
        <rFont val="宋体"/>
        <family val="2"/>
        <scheme val="minor"/>
      </rPr>
      <t/>
    </r>
  </si>
  <si>
    <t>2024.9.19</t>
    <phoneticPr fontId="21" type="noConversion"/>
  </si>
  <si>
    <t>2024.10.17</t>
    <phoneticPr fontId="21" type="noConversion"/>
  </si>
  <si>
    <t>木垒县乾慧能源开发有限公司</t>
    <phoneticPr fontId="21" type="noConversion"/>
  </si>
  <si>
    <t>2024.10.22</t>
    <phoneticPr fontId="21" type="noConversion"/>
  </si>
  <si>
    <t>合同额</t>
    <phoneticPr fontId="21" type="noConversion"/>
  </si>
  <si>
    <t>2024.10.28</t>
    <phoneticPr fontId="21" type="noConversion"/>
  </si>
  <si>
    <t>2024.10.31</t>
    <phoneticPr fontId="21" type="noConversion"/>
  </si>
  <si>
    <t>中广核（赣州）新能源有限公司</t>
    <phoneticPr fontId="21" type="noConversion"/>
  </si>
  <si>
    <t>国瑞科技（吉林）有限公司</t>
    <phoneticPr fontId="21" type="noConversion"/>
  </si>
  <si>
    <t>沈阳奥迅科技有限公司</t>
    <phoneticPr fontId="21" type="noConversion"/>
  </si>
  <si>
    <t>明阳智慧能源集团股份公司</t>
    <phoneticPr fontId="21" type="noConversion"/>
  </si>
  <si>
    <t>宾县二期</t>
    <phoneticPr fontId="21" type="noConversion"/>
  </si>
  <si>
    <t>约59.87%</t>
    <phoneticPr fontId="21" type="noConversion"/>
  </si>
  <si>
    <t>郭文明
韩志宇</t>
    <phoneticPr fontId="6" type="noConversion"/>
  </si>
  <si>
    <t>24133-1</t>
    <phoneticPr fontId="21" type="noConversion"/>
  </si>
  <si>
    <t>24133-2</t>
    <phoneticPr fontId="21" type="noConversion"/>
  </si>
  <si>
    <t>北兴150MW风电项目</t>
    <phoneticPr fontId="21" type="noConversion"/>
  </si>
  <si>
    <t>系统硬件；技术服务</t>
    <phoneticPr fontId="21" type="noConversion"/>
  </si>
  <si>
    <t>依兰达连河100MW风电项目</t>
    <phoneticPr fontId="21" type="noConversion"/>
  </si>
  <si>
    <t>一汽弗迪</t>
  </si>
  <si>
    <t>白山市重点边防乡村振兴</t>
    <phoneticPr fontId="21" type="noConversion"/>
  </si>
  <si>
    <t>剩余预付款+发货款</t>
    <phoneticPr fontId="21" type="noConversion"/>
  </si>
  <si>
    <t>2024年10月31日收到电子银行承兑汇票50万元，汇票出票日期2024年10月21日，汇票到期日期2025年4月21日</t>
    <phoneticPr fontId="11" type="noConversion"/>
  </si>
  <si>
    <t>2024年10月31日收到电子银行承兑汇票0.15万元，汇票出票日期2024年8月28日，汇票到期日期2025年2月27日</t>
    <phoneticPr fontId="11" type="noConversion"/>
  </si>
  <si>
    <t>2024年10月31日收到电子银行承兑汇票5.85万元，汇票出票日期2024年10月8日，汇票到期日期2025年4月8日</t>
    <phoneticPr fontId="11" type="noConversion"/>
  </si>
  <si>
    <t>2024.11.1</t>
    <phoneticPr fontId="21" type="noConversion"/>
  </si>
  <si>
    <t>2024.11.5</t>
    <phoneticPr fontId="21" type="noConversion"/>
  </si>
  <si>
    <t>2024.11.6</t>
    <phoneticPr fontId="21" type="noConversion"/>
  </si>
  <si>
    <t>2024.11.7</t>
    <phoneticPr fontId="21" type="noConversion"/>
  </si>
  <si>
    <r>
      <t>23163-2</t>
    </r>
    <r>
      <rPr>
        <sz val="11"/>
        <color theme="1"/>
        <rFont val="宋体"/>
        <family val="2"/>
        <scheme val="minor"/>
      </rPr>
      <t/>
    </r>
  </si>
  <si>
    <t>2024.11.12</t>
    <phoneticPr fontId="21" type="noConversion"/>
  </si>
  <si>
    <t>2024.11.14</t>
    <phoneticPr fontId="21" type="noConversion"/>
  </si>
  <si>
    <t>2024.11.18</t>
    <phoneticPr fontId="21" type="noConversion"/>
  </si>
  <si>
    <t>2024.11.19</t>
    <phoneticPr fontId="21" type="noConversion"/>
  </si>
  <si>
    <t>华电五家渠新能源有限公司</t>
    <phoneticPr fontId="21" type="noConversion"/>
  </si>
  <si>
    <t>2024.11.20</t>
    <phoneticPr fontId="21" type="noConversion"/>
  </si>
  <si>
    <t>2024.11.21</t>
    <phoneticPr fontId="21" type="noConversion"/>
  </si>
  <si>
    <t>福建惠安风力发电有限责任公司</t>
    <phoneticPr fontId="21" type="noConversion"/>
  </si>
  <si>
    <t>2024.11.22</t>
    <phoneticPr fontId="21" type="noConversion"/>
  </si>
  <si>
    <t>2024.11.26</t>
    <phoneticPr fontId="21" type="noConversion"/>
  </si>
  <si>
    <t>2024.11.27</t>
    <phoneticPr fontId="21" type="noConversion"/>
  </si>
  <si>
    <t>中国电建集团西北勘测设计研究院有限公司</t>
    <phoneticPr fontId="21" type="noConversion"/>
  </si>
  <si>
    <t>福能埭头（莆田）风力发电有限公司</t>
    <phoneticPr fontId="21" type="noConversion"/>
  </si>
  <si>
    <t>约28.81%</t>
    <phoneticPr fontId="21" type="noConversion"/>
  </si>
  <si>
    <t>变更后的剩余验收款</t>
    <phoneticPr fontId="21" type="noConversion"/>
  </si>
  <si>
    <t>约18.23%</t>
    <phoneticPr fontId="21" type="noConversion"/>
  </si>
  <si>
    <t>变更后的部分验收款</t>
    <phoneticPr fontId="21" type="noConversion"/>
  </si>
  <si>
    <t>约11.62%</t>
    <phoneticPr fontId="21" type="noConversion"/>
  </si>
  <si>
    <t>特殊销售合同回款</t>
    <phoneticPr fontId="21" type="noConversion"/>
  </si>
  <si>
    <t>福建风电场D5000二区软件；系统硬件</t>
    <phoneticPr fontId="21" type="noConversion"/>
  </si>
  <si>
    <t>顶岩山</t>
    <phoneticPr fontId="21" type="noConversion"/>
  </si>
  <si>
    <t>小岞</t>
    <phoneticPr fontId="21" type="noConversion"/>
  </si>
  <si>
    <t>当年服务费</t>
    <phoneticPr fontId="21" type="noConversion"/>
  </si>
  <si>
    <t>中长期软件</t>
    <phoneticPr fontId="21" type="noConversion"/>
  </si>
  <si>
    <t>前郭县成瑞风能有限公司</t>
    <phoneticPr fontId="21" type="noConversion"/>
  </si>
  <si>
    <t>查干湖青山头</t>
    <phoneticPr fontId="21" type="noConversion"/>
  </si>
  <si>
    <t>短期软件；超短期软件；系统硬件</t>
    <phoneticPr fontId="21" type="noConversion"/>
  </si>
  <si>
    <t>约23.95%</t>
    <phoneticPr fontId="21" type="noConversion"/>
  </si>
  <si>
    <t>2024年11月27日收到商业电子银行承兑汇票20万元，汇票出票日期2024年11月26日，汇票到期日期2025年5月26日</t>
    <phoneticPr fontId="11" type="noConversion"/>
  </si>
  <si>
    <t>宁德时代新能源科技股份有限公司
阳光智维科技股份有限公司</t>
    <phoneticPr fontId="21" type="noConversion"/>
  </si>
  <si>
    <t>招银金融租赁有限公司
阳光智维科技股份有限公司</t>
    <phoneticPr fontId="21" type="noConversion"/>
  </si>
  <si>
    <t>约64.56%</t>
    <phoneticPr fontId="21" type="noConversion"/>
  </si>
  <si>
    <t>约5.44%</t>
    <phoneticPr fontId="21" type="noConversion"/>
  </si>
  <si>
    <t>2024年11月27日收到电子银行承兑汇票0.511665万元，汇票出票日期2024年9月12日，汇票到期日期2025年3月12日</t>
    <phoneticPr fontId="11" type="noConversion"/>
  </si>
  <si>
    <t>2024年11月27日收到电子银行承兑汇票6.068335万元，汇票出票日期2024年9月29日，汇票到期日期2025年3月29日</t>
    <phoneticPr fontId="11" type="noConversion"/>
  </si>
  <si>
    <t>2024.11.28</t>
    <phoneticPr fontId="21" type="noConversion"/>
  </si>
  <si>
    <t>2024.11.29</t>
    <phoneticPr fontId="21" type="noConversion"/>
  </si>
  <si>
    <t>约4.51%</t>
    <phoneticPr fontId="21" type="noConversion"/>
  </si>
  <si>
    <t>约51.09%</t>
    <phoneticPr fontId="21" type="noConversion"/>
  </si>
  <si>
    <t>2024.12.6</t>
    <phoneticPr fontId="21" type="noConversion"/>
  </si>
  <si>
    <t>2024.12.10</t>
    <phoneticPr fontId="21" type="noConversion"/>
  </si>
  <si>
    <t>四平中广核风力发电有限公司梨树分公司</t>
    <phoneticPr fontId="21" type="noConversion"/>
  </si>
  <si>
    <t>24032-1</t>
    <phoneticPr fontId="6" type="noConversion"/>
  </si>
  <si>
    <t>24032-2</t>
  </si>
  <si>
    <t>辽宁风电场D5000一区软件；辽宁风电场D5000二区软件；系统硬件</t>
    <phoneticPr fontId="21" type="noConversion"/>
  </si>
  <si>
    <t>24032-3</t>
  </si>
  <si>
    <t>技术服务（电力交易系统转发）</t>
  </si>
  <si>
    <t>2024.12.16</t>
    <phoneticPr fontId="21" type="noConversion"/>
  </si>
  <si>
    <t>2024.12.17</t>
    <phoneticPr fontId="21" type="noConversion"/>
  </si>
  <si>
    <t>新疆华电雪湖风力发电有限公司</t>
    <phoneticPr fontId="21" type="noConversion"/>
  </si>
  <si>
    <t>南京国电南自维美德自动化有限公司</t>
    <phoneticPr fontId="21" type="noConversion"/>
  </si>
  <si>
    <t>2024.12.18</t>
    <phoneticPr fontId="21" type="noConversion"/>
  </si>
  <si>
    <t>远景能源有限公司</t>
    <phoneticPr fontId="21" type="noConversion"/>
  </si>
  <si>
    <t>阜新鸿日光伏发电有限公司</t>
    <phoneticPr fontId="21" type="noConversion"/>
  </si>
  <si>
    <t>2024.12.19</t>
    <phoneticPr fontId="21" type="noConversion"/>
  </si>
  <si>
    <t>2024.12.20</t>
    <phoneticPr fontId="21" type="noConversion"/>
  </si>
  <si>
    <t>2024.12.23</t>
    <phoneticPr fontId="21" type="noConversion"/>
  </si>
  <si>
    <t>华电新能新疆木垒新能源有限公司</t>
    <phoneticPr fontId="21" type="noConversion"/>
  </si>
  <si>
    <t>2024.12.24</t>
    <phoneticPr fontId="21" type="noConversion"/>
  </si>
  <si>
    <t>2024.12.25</t>
    <phoneticPr fontId="21" type="noConversion"/>
  </si>
  <si>
    <t>榆林国远风电有限公司</t>
    <phoneticPr fontId="21" type="noConversion"/>
  </si>
  <si>
    <t>阜新鸿日</t>
    <phoneticPr fontId="21" type="noConversion"/>
  </si>
  <si>
    <t>21013-20081</t>
  </si>
  <si>
    <t>孙吴</t>
    <phoneticPr fontId="6" type="noConversion"/>
  </si>
  <si>
    <t>中国大唐集团财务有限公司
大唐孙吴新能源有限公司</t>
    <phoneticPr fontId="21" type="noConversion"/>
  </si>
  <si>
    <t>测风塔设备；预测服务3年</t>
    <phoneticPr fontId="21" type="noConversion"/>
  </si>
  <si>
    <t>约11.18</t>
    <phoneticPr fontId="21" type="noConversion"/>
  </si>
  <si>
    <t>华能安达300兆瓦</t>
  </si>
  <si>
    <t>约49.07%</t>
    <phoneticPr fontId="21" type="noConversion"/>
  </si>
  <si>
    <t>2024年12月24日收到商业电子银行承兑汇票80万元，汇票出票日期2024年12月23日，汇票到期日期2025年6月23日。分两个项目23179为9.344万元。24020为70.656万元</t>
    <phoneticPr fontId="11" type="noConversion"/>
  </si>
  <si>
    <t>22131-1</t>
    <phoneticPr fontId="6" type="noConversion"/>
  </si>
  <si>
    <r>
      <t>22131-2</t>
    </r>
    <r>
      <rPr>
        <sz val="11"/>
        <color theme="1"/>
        <rFont val="宋体"/>
        <family val="2"/>
        <scheme val="minor"/>
      </rPr>
      <t/>
    </r>
  </si>
  <si>
    <r>
      <t>22131-3</t>
    </r>
    <r>
      <rPr>
        <sz val="11"/>
        <color theme="1"/>
        <rFont val="宋体"/>
        <family val="2"/>
        <scheme val="minor"/>
      </rPr>
      <t/>
    </r>
  </si>
  <si>
    <t>2024.12.27</t>
    <phoneticPr fontId="21" type="noConversion"/>
  </si>
  <si>
    <t>哈尔滨华芯兴业电子技术有限公司</t>
    <phoneticPr fontId="21" type="noConversion"/>
  </si>
  <si>
    <t>2024.12.30</t>
    <phoneticPr fontId="21" type="noConversion"/>
  </si>
  <si>
    <t>2024.12.31</t>
    <phoneticPr fontId="21" type="noConversion"/>
  </si>
  <si>
    <t>阳光智维科技股份有限公司</t>
    <phoneticPr fontId="21" type="noConversion"/>
  </si>
  <si>
    <t>沈阳博来德滋电子科技有限公司</t>
    <phoneticPr fontId="21" type="noConversion"/>
  </si>
  <si>
    <t>预付款+验收款+合同款</t>
    <phoneticPr fontId="21" type="noConversion"/>
  </si>
  <si>
    <t>石城子</t>
    <phoneticPr fontId="6" type="noConversion"/>
  </si>
  <si>
    <r>
      <t>23139-2</t>
    </r>
    <r>
      <rPr>
        <sz val="11"/>
        <color theme="1"/>
        <rFont val="宋体"/>
        <family val="2"/>
        <scheme val="minor"/>
      </rPr>
      <t/>
    </r>
  </si>
  <si>
    <t>五大连池和平</t>
    <phoneticPr fontId="21" type="noConversion"/>
  </si>
  <si>
    <t>约42.44%</t>
    <phoneticPr fontId="21" type="noConversion"/>
  </si>
  <si>
    <t>变更后的验收款</t>
    <phoneticPr fontId="21" type="noConversion"/>
  </si>
  <si>
    <t>约35.4%</t>
    <phoneticPr fontId="21" type="noConversion"/>
  </si>
  <si>
    <t>24049-1</t>
    <phoneticPr fontId="6" type="noConversion"/>
  </si>
  <si>
    <t>智慧工地项目场区视频监控系统</t>
    <phoneticPr fontId="21" type="noConversion"/>
  </si>
  <si>
    <t>24049-2</t>
    <phoneticPr fontId="21" type="noConversion"/>
  </si>
  <si>
    <t>约2.8%</t>
    <phoneticPr fontId="21" type="noConversion"/>
  </si>
  <si>
    <t>约87.2%</t>
    <phoneticPr fontId="21" type="noConversion"/>
  </si>
  <si>
    <t>胜利</t>
    <phoneticPr fontId="21" type="noConversion"/>
  </si>
  <si>
    <t>约6.94%</t>
    <phoneticPr fontId="21" type="noConversion"/>
  </si>
  <si>
    <t>2025年销售合同回款登记台账</t>
    <phoneticPr fontId="11" type="noConversion"/>
  </si>
  <si>
    <t>2025年合计</t>
    <phoneticPr fontId="11" type="noConversion"/>
  </si>
  <si>
    <t>2025.1.2</t>
    <phoneticPr fontId="11" type="noConversion"/>
  </si>
  <si>
    <t>北京东润环能科技股份有限公司</t>
    <phoneticPr fontId="11" type="noConversion"/>
  </si>
  <si>
    <t>青岛特锐德电气股份有限公司
沈阳博来德滋电子科技有限公司</t>
    <phoneticPr fontId="21" type="noConversion"/>
  </si>
  <si>
    <t>2025.1.3</t>
    <phoneticPr fontId="11" type="noConversion"/>
  </si>
  <si>
    <t>2025.1.8</t>
    <phoneticPr fontId="11" type="noConversion"/>
  </si>
  <si>
    <t>2025.1.9</t>
    <phoneticPr fontId="11" type="noConversion"/>
  </si>
  <si>
    <t>2025.1.13</t>
    <phoneticPr fontId="11" type="noConversion"/>
  </si>
  <si>
    <t>河北新天科创新能源技术有限公司</t>
    <phoneticPr fontId="11" type="noConversion"/>
  </si>
  <si>
    <t>24083-1</t>
    <phoneticPr fontId="6" type="noConversion"/>
  </si>
  <si>
    <t>24083-2</t>
  </si>
  <si>
    <t>约47.56%</t>
    <phoneticPr fontId="11" type="noConversion"/>
  </si>
  <si>
    <t>变更前5%到货</t>
    <phoneticPr fontId="11" type="noConversion"/>
  </si>
  <si>
    <t>2025.1.17</t>
    <phoneticPr fontId="11" type="noConversion"/>
  </si>
  <si>
    <t>约16.66%</t>
    <phoneticPr fontId="11" type="noConversion"/>
  </si>
  <si>
    <t>2025.1.20</t>
    <phoneticPr fontId="11" type="noConversion"/>
  </si>
  <si>
    <t>长春华信电力成套设备有限公司</t>
    <phoneticPr fontId="11" type="noConversion"/>
  </si>
  <si>
    <t>2025.1.22</t>
    <phoneticPr fontId="11" type="noConversion"/>
  </si>
  <si>
    <t>2025.1.23</t>
    <phoneticPr fontId="11" type="noConversion"/>
  </si>
  <si>
    <t>国能日新科技股份有限公司</t>
    <phoneticPr fontId="11" type="noConversion"/>
  </si>
  <si>
    <t>2025.1.24</t>
    <phoneticPr fontId="11" type="noConversion"/>
  </si>
  <si>
    <t>远景能源有限公司</t>
    <phoneticPr fontId="11" type="noConversion"/>
  </si>
  <si>
    <t>河北建投</t>
  </si>
  <si>
    <t>战海（二期）</t>
  </si>
  <si>
    <t>24072-1</t>
    <phoneticPr fontId="6" type="noConversion"/>
  </si>
  <si>
    <t>24072-2</t>
  </si>
  <si>
    <t>24072-3</t>
  </si>
  <si>
    <t>24072-4</t>
  </si>
  <si>
    <t>24072-5</t>
  </si>
  <si>
    <t>系统硬件维护；光伏气象站维护；预测服务1年</t>
    <phoneticPr fontId="21" type="noConversion"/>
  </si>
  <si>
    <t>系统硬件维护；测风塔维护；预测服务1年</t>
    <phoneticPr fontId="21" type="noConversion"/>
  </si>
  <si>
    <t>长丰</t>
    <phoneticPr fontId="21" type="noConversion"/>
  </si>
  <si>
    <t>长荣</t>
    <phoneticPr fontId="21" type="noConversion"/>
  </si>
  <si>
    <t>约26.67%</t>
    <phoneticPr fontId="11" type="noConversion"/>
  </si>
  <si>
    <t>2025.2.5</t>
    <phoneticPr fontId="11" type="noConversion"/>
  </si>
  <si>
    <t>2025.2.7</t>
    <phoneticPr fontId="11" type="noConversion"/>
  </si>
  <si>
    <t>2025.2.10</t>
    <phoneticPr fontId="11" type="noConversion"/>
  </si>
  <si>
    <t>2025.2.11</t>
    <phoneticPr fontId="11" type="noConversion"/>
  </si>
  <si>
    <t>2025.2.12</t>
    <phoneticPr fontId="11" type="noConversion"/>
  </si>
  <si>
    <t>白城市天禹新能源智慧运维有限公司</t>
    <phoneticPr fontId="11" type="noConversion"/>
  </si>
  <si>
    <t>泰来宏浩风力发电有限公司</t>
    <phoneticPr fontId="11" type="noConversion"/>
  </si>
  <si>
    <t>新疆华电木垒新能源有限公司</t>
    <phoneticPr fontId="11" type="noConversion"/>
  </si>
  <si>
    <t>广投新能源白城有限公司</t>
    <phoneticPr fontId="11" type="noConversion"/>
  </si>
  <si>
    <t>25003-1</t>
    <phoneticPr fontId="6" type="noConversion"/>
  </si>
  <si>
    <t>25003-2</t>
  </si>
  <si>
    <t>25003-3</t>
  </si>
  <si>
    <t>25003-4</t>
  </si>
  <si>
    <t>齐齐哈尔宏浩</t>
    <phoneticPr fontId="21" type="noConversion"/>
  </si>
  <si>
    <t>合同款+验收款</t>
    <phoneticPr fontId="6" type="noConversion"/>
  </si>
  <si>
    <t>木垒</t>
    <phoneticPr fontId="21" type="noConversion"/>
  </si>
  <si>
    <t>2025.2.17</t>
    <phoneticPr fontId="11" type="noConversion"/>
  </si>
  <si>
    <t>2025.2.18</t>
    <phoneticPr fontId="11" type="noConversion"/>
  </si>
  <si>
    <t>2025.2.19</t>
    <phoneticPr fontId="11" type="noConversion"/>
  </si>
  <si>
    <t>华电新疆天润托里新能源有限公司</t>
    <phoneticPr fontId="11" type="noConversion"/>
  </si>
  <si>
    <t>大唐巴里坤风电开发有限公司</t>
    <phoneticPr fontId="11" type="noConversion"/>
  </si>
  <si>
    <t>2025.2.20</t>
    <phoneticPr fontId="11" type="noConversion"/>
  </si>
  <si>
    <t>2025.2.21</t>
    <phoneticPr fontId="11" type="noConversion"/>
  </si>
  <si>
    <t>约45.93%</t>
    <phoneticPr fontId="6" type="noConversion"/>
  </si>
  <si>
    <t>2025年2月17收到商业电子银行承兑汇票67.968万元，汇票出票日期2025年1月21日，汇票到期日期2025年7月21日。分两个项目24020为66.144万元。24051为1.824万元</t>
    <phoneticPr fontId="11" type="noConversion"/>
  </si>
  <si>
    <t>黑龙江辰能清洁能源有限公司
黑龙江省新产业投资集团龙江清洁能源有限公司</t>
    <phoneticPr fontId="21" type="noConversion"/>
  </si>
  <si>
    <t>24076-1</t>
    <phoneticPr fontId="6" type="noConversion"/>
  </si>
  <si>
    <t>24076-2</t>
  </si>
  <si>
    <t>系统硬件；软件升级（自动巡检）；中长期电量预测</t>
    <phoneticPr fontId="21" type="noConversion"/>
  </si>
  <si>
    <t>木垒110KV</t>
  </si>
  <si>
    <t>2025.2.24</t>
    <phoneticPr fontId="11" type="noConversion"/>
  </si>
  <si>
    <t>24047-1</t>
    <phoneticPr fontId="6" type="noConversion"/>
  </si>
  <si>
    <t>24048-9</t>
  </si>
  <si>
    <t>系统硬件维护；测风塔维护；预测服务3年</t>
    <phoneticPr fontId="6" type="noConversion"/>
  </si>
  <si>
    <t>双岭</t>
    <phoneticPr fontId="6" type="noConversion"/>
  </si>
  <si>
    <t xml:space="preserve">广投新能源白城有限公司风电分公司	</t>
    <phoneticPr fontId="11" type="noConversion"/>
  </si>
  <si>
    <t xml:space="preserve">吉林中电投新能源有限公司	</t>
    <phoneticPr fontId="11" type="noConversion"/>
  </si>
  <si>
    <t xml:space="preserve">长岭中电投第一风力发电有限公司	</t>
    <phoneticPr fontId="11" type="noConversion"/>
  </si>
  <si>
    <t xml:space="preserve">长岭中电投第二风力发电有限公司	</t>
    <phoneticPr fontId="11" type="noConversion"/>
  </si>
  <si>
    <t xml:space="preserve">吉林泰合风力发电有限公司	</t>
    <phoneticPr fontId="11" type="noConversion"/>
  </si>
  <si>
    <t xml:space="preserve">吉林里程协合风力发电有限公司	</t>
    <phoneticPr fontId="11" type="noConversion"/>
  </si>
  <si>
    <t xml:space="preserve">蒙东协合镇赉第二风力发电有限公司	</t>
    <phoneticPr fontId="11" type="noConversion"/>
  </si>
  <si>
    <t xml:space="preserve">扶余市吉瑞风能有限公司	</t>
    <phoneticPr fontId="11" type="noConversion"/>
  </si>
  <si>
    <t xml:space="preserve">扶余市吉成风能有限公司	</t>
    <phoneticPr fontId="11" type="noConversion"/>
  </si>
  <si>
    <t xml:space="preserve">扶余市富汇风能有限公司	</t>
    <phoneticPr fontId="11" type="noConversion"/>
  </si>
  <si>
    <t xml:space="preserve">前郭富汇风能有限公司	</t>
    <phoneticPr fontId="11" type="noConversion"/>
  </si>
  <si>
    <t xml:space="preserve">镇赉华兴风力发电有限公司	</t>
    <phoneticPr fontId="11" type="noConversion"/>
  </si>
  <si>
    <t xml:space="preserve">扶余吉电新能源有限公司	</t>
    <phoneticPr fontId="11" type="noConversion"/>
  </si>
  <si>
    <t xml:space="preserve">通榆中广核风力发电有限公司	</t>
    <phoneticPr fontId="11" type="noConversion"/>
  </si>
  <si>
    <t xml:space="preserve">国能陕西新能源发电有限公司靖边分公司	</t>
    <phoneticPr fontId="11" type="noConversion"/>
  </si>
  <si>
    <t xml:space="preserve">深圳市嘉铭新科技有限公司	</t>
    <phoneticPr fontId="11" type="noConversion"/>
  </si>
  <si>
    <t>2025.2.26</t>
    <phoneticPr fontId="21" type="noConversion"/>
  </si>
  <si>
    <t>2025.2.25</t>
    <phoneticPr fontId="21" type="noConversion"/>
  </si>
  <si>
    <t>2025.2.27</t>
    <phoneticPr fontId="21" type="noConversion"/>
  </si>
  <si>
    <t>汪清县振发投资有限公司</t>
    <phoneticPr fontId="21" type="noConversion"/>
  </si>
  <si>
    <t>24047-3</t>
  </si>
  <si>
    <t>孙吴200MW项目</t>
    <phoneticPr fontId="21" type="noConversion"/>
  </si>
  <si>
    <t>短期预测；超短期预测；系统硬件；预测服务1年</t>
  </si>
  <si>
    <t>黑鱼泡</t>
    <phoneticPr fontId="21" type="noConversion"/>
  </si>
  <si>
    <t>三骏</t>
    <phoneticPr fontId="21" type="noConversion"/>
  </si>
  <si>
    <t>王府</t>
    <phoneticPr fontId="21" type="noConversion"/>
  </si>
  <si>
    <t>汪清</t>
    <phoneticPr fontId="6" type="noConversion"/>
  </si>
  <si>
    <t>镇赉</t>
  </si>
  <si>
    <t>2025.3.4</t>
    <phoneticPr fontId="21" type="noConversion"/>
  </si>
  <si>
    <t>2025.3.10</t>
    <phoneticPr fontId="21" type="noConversion"/>
  </si>
  <si>
    <t>大唐中电(吉林)新能源发电有限公司双辽分公司</t>
    <phoneticPr fontId="21" type="noConversion"/>
  </si>
  <si>
    <t>约39.76%</t>
    <phoneticPr fontId="21" type="noConversion"/>
  </si>
  <si>
    <t>24047-2</t>
  </si>
  <si>
    <t>2025.3.12</t>
    <phoneticPr fontId="21" type="noConversion"/>
  </si>
  <si>
    <t>24048-4</t>
  </si>
  <si>
    <t>2025.3.17</t>
    <phoneticPr fontId="21" type="noConversion"/>
  </si>
  <si>
    <t>山东睿源电力科技有限公司</t>
    <phoneticPr fontId="21" type="noConversion"/>
  </si>
  <si>
    <t>2025.3.18</t>
    <phoneticPr fontId="21" type="noConversion"/>
  </si>
  <si>
    <t>25064-1</t>
    <phoneticPr fontId="21" type="noConversion"/>
  </si>
  <si>
    <t>25064-2</t>
  </si>
  <si>
    <t>25064-3</t>
  </si>
  <si>
    <t>25064-4</t>
  </si>
  <si>
    <t>25064-5</t>
  </si>
  <si>
    <t>25064-6</t>
  </si>
  <si>
    <t>24048-3</t>
  </si>
  <si>
    <t>24048-11</t>
  </si>
  <si>
    <t>24048-5</t>
  </si>
  <si>
    <t>2025.3.19</t>
    <phoneticPr fontId="21" type="noConversion"/>
  </si>
  <si>
    <t>2025.3.22</t>
    <phoneticPr fontId="21" type="noConversion"/>
  </si>
  <si>
    <t>2025.3.25</t>
    <phoneticPr fontId="21" type="noConversion"/>
  </si>
  <si>
    <t>新疆华电珍珠泉新能源有限公司</t>
    <phoneticPr fontId="21" type="noConversion"/>
  </si>
  <si>
    <t>2025.3.27</t>
    <phoneticPr fontId="21" type="noConversion"/>
  </si>
  <si>
    <t>云霄汇海风电有限公司</t>
    <phoneticPr fontId="21" type="noConversion"/>
  </si>
  <si>
    <t>2025.3.28</t>
    <phoneticPr fontId="21" type="noConversion"/>
  </si>
  <si>
    <t>吉林通榆新唐发电有限公司</t>
    <phoneticPr fontId="11" type="noConversion"/>
  </si>
  <si>
    <t>2025.3.31</t>
    <phoneticPr fontId="21" type="noConversion"/>
  </si>
  <si>
    <t>大唐中电(吉林)新能源发电有限公司双辽分公司</t>
    <phoneticPr fontId="11" type="noConversion"/>
  </si>
  <si>
    <t>2025.4.2</t>
    <phoneticPr fontId="21" type="noConversion"/>
  </si>
  <si>
    <t>24133-1</t>
    <phoneticPr fontId="6" type="noConversion"/>
  </si>
  <si>
    <t>24133-2</t>
  </si>
  <si>
    <t>大庆分布式一光伏电站</t>
    <phoneticPr fontId="6" type="noConversion"/>
  </si>
  <si>
    <t>大庆分布式二光伏电站</t>
    <phoneticPr fontId="6" type="noConversion"/>
  </si>
  <si>
    <t>大庆分布式三光伏电站</t>
    <phoneticPr fontId="6" type="noConversion"/>
  </si>
  <si>
    <t>大庆分布式四光伏电站</t>
    <phoneticPr fontId="6" type="noConversion"/>
  </si>
  <si>
    <t>临江</t>
    <phoneticPr fontId="21" type="noConversion"/>
  </si>
  <si>
    <t>2025.4.7</t>
    <phoneticPr fontId="21" type="noConversion"/>
  </si>
  <si>
    <t>2025.4.10</t>
    <phoneticPr fontId="21" type="noConversion"/>
  </si>
  <si>
    <t>到货款+验收款+技术服务费</t>
    <phoneticPr fontId="21" type="noConversion"/>
  </si>
  <si>
    <t>大庆采油六厂</t>
    <phoneticPr fontId="21" type="noConversion"/>
  </si>
  <si>
    <t>短期软件；超短期软件；测风塔；测风塔设备；预测服务2年</t>
    <phoneticPr fontId="21" type="noConversion"/>
  </si>
  <si>
    <t>约60.24%</t>
    <phoneticPr fontId="21" type="noConversion"/>
  </si>
  <si>
    <t>24048-7</t>
  </si>
  <si>
    <t>2025.4.17</t>
    <phoneticPr fontId="21" type="noConversion"/>
  </si>
  <si>
    <t>2025.4.18</t>
    <phoneticPr fontId="21" type="noConversion"/>
  </si>
  <si>
    <t>山东睿源电力科技有限公司</t>
    <phoneticPr fontId="11" type="noConversion"/>
  </si>
  <si>
    <t>大庆宝升分布式光伏电站</t>
    <phoneticPr fontId="6" type="noConversion"/>
  </si>
  <si>
    <t>25071-1</t>
    <phoneticPr fontId="6" type="noConversion"/>
  </si>
  <si>
    <t>25071-2</t>
  </si>
  <si>
    <t>2025.4.22</t>
    <phoneticPr fontId="21" type="noConversion"/>
  </si>
  <si>
    <t>大唐大庆东岗新能源有限公司</t>
    <phoneticPr fontId="11" type="noConversion"/>
  </si>
  <si>
    <t>2025.4.23</t>
    <phoneticPr fontId="21" type="noConversion"/>
  </si>
  <si>
    <t>2025.4.24</t>
    <phoneticPr fontId="21" type="noConversion"/>
  </si>
  <si>
    <t>扶余市富汇风能有限公司</t>
    <phoneticPr fontId="11" type="noConversion"/>
  </si>
  <si>
    <t>扶余市吉瑞风能有限公司</t>
    <phoneticPr fontId="11" type="noConversion"/>
  </si>
  <si>
    <t>吉林泰合风力发电有限公司</t>
    <phoneticPr fontId="11" type="noConversion"/>
  </si>
  <si>
    <t>扶余吉电新能源有限公司</t>
    <phoneticPr fontId="11" type="noConversion"/>
  </si>
  <si>
    <t>长岭中电投第一风力发电有限公司</t>
    <phoneticPr fontId="11" type="noConversion"/>
  </si>
  <si>
    <t>长岭中电投第二风力发电有限公司</t>
    <phoneticPr fontId="11" type="noConversion"/>
  </si>
  <si>
    <t>2025.4.27</t>
    <phoneticPr fontId="21" type="noConversion"/>
  </si>
  <si>
    <t>北京四方继保工程技术有限公司保定分公司</t>
    <phoneticPr fontId="11" type="noConversion"/>
  </si>
  <si>
    <t>2025.4.25</t>
    <phoneticPr fontId="21" type="noConversion"/>
  </si>
  <si>
    <t>北京华软恒信科技发展有限公司</t>
    <phoneticPr fontId="11" type="noConversion"/>
  </si>
  <si>
    <t>吉林里程协合风力发电有限公司</t>
    <phoneticPr fontId="11" type="noConversion"/>
  </si>
  <si>
    <t>吉林中电投新能源有限公司</t>
    <phoneticPr fontId="11" type="noConversion"/>
  </si>
  <si>
    <t>2025.4.28</t>
    <phoneticPr fontId="21" type="noConversion"/>
  </si>
  <si>
    <t>镇赉华兴风力发电有限公司</t>
    <phoneticPr fontId="21" type="noConversion"/>
  </si>
  <si>
    <t>2025.4.29</t>
    <phoneticPr fontId="21" type="noConversion"/>
  </si>
  <si>
    <t>新疆华电苇湖梁新能源有限公司</t>
    <phoneticPr fontId="21" type="noConversion"/>
  </si>
  <si>
    <t>2025.4.30</t>
    <phoneticPr fontId="21" type="noConversion"/>
  </si>
  <si>
    <t>蒙东协合镇赉第二风力发电有限公司</t>
    <phoneticPr fontId="21" type="noConversion"/>
  </si>
  <si>
    <t>汪清县振发投资有限公司</t>
    <phoneticPr fontId="11" type="noConversion"/>
  </si>
  <si>
    <t>24048-10</t>
  </si>
  <si>
    <t>23130-1</t>
    <phoneticPr fontId="6" type="noConversion"/>
  </si>
  <si>
    <r>
      <t>23130-2</t>
    </r>
    <r>
      <rPr>
        <sz val="11"/>
        <color theme="1"/>
        <rFont val="宋体"/>
        <family val="2"/>
        <scheme val="minor"/>
      </rPr>
      <t/>
    </r>
  </si>
  <si>
    <r>
      <t>23130-3</t>
    </r>
    <r>
      <rPr>
        <sz val="11"/>
        <color theme="1"/>
        <rFont val="宋体"/>
        <family val="2"/>
        <scheme val="minor"/>
      </rPr>
      <t/>
    </r>
  </si>
  <si>
    <t>预测服务3个月</t>
    <phoneticPr fontId="21" type="noConversion"/>
  </si>
  <si>
    <t>21125-1</t>
    <phoneticPr fontId="21" type="noConversion"/>
  </si>
  <si>
    <t>21125-2</t>
    <phoneticPr fontId="21" type="noConversion"/>
  </si>
  <si>
    <t>2022.3.11</t>
    <phoneticPr fontId="6" type="noConversion"/>
  </si>
  <si>
    <t>2022.4.6</t>
    <phoneticPr fontId="6" type="noConversion"/>
  </si>
  <si>
    <t>2025.5.16刘婧补发漏掉的回款信息。特殊销售合同回款</t>
    <phoneticPr fontId="6" type="noConversion"/>
  </si>
  <si>
    <t>哈尔滨新华控制工程有限公司</t>
    <phoneticPr fontId="21" type="noConversion"/>
  </si>
  <si>
    <t>2025.5.6</t>
    <phoneticPr fontId="21" type="noConversion"/>
  </si>
  <si>
    <t>2025.5.7</t>
    <phoneticPr fontId="21" type="noConversion"/>
  </si>
  <si>
    <t>2025.5.13</t>
    <phoneticPr fontId="21" type="noConversion"/>
  </si>
  <si>
    <t>2025.5.15</t>
    <phoneticPr fontId="21" type="noConversion"/>
  </si>
  <si>
    <t>2025.5.16</t>
    <phoneticPr fontId="21" type="noConversion"/>
  </si>
  <si>
    <t>2025.5.19</t>
    <phoneticPr fontId="21" type="noConversion"/>
  </si>
  <si>
    <t>台安桑林风力发电有限公司</t>
    <phoneticPr fontId="21" type="noConversion"/>
  </si>
  <si>
    <t>新疆华电木垒新能源有限公司</t>
    <phoneticPr fontId="21" type="noConversion"/>
  </si>
  <si>
    <t>中广核新能源（遂川）有限公司
遂川大唐汉业新能源有限公司</t>
    <phoneticPr fontId="21" type="noConversion"/>
  </si>
  <si>
    <t>最终验收款</t>
    <phoneticPr fontId="21" type="noConversion"/>
  </si>
  <si>
    <t>哈密一通道40万千瓦风电+10万千瓦光伏多能互补项目</t>
    <phoneticPr fontId="21" type="noConversion"/>
  </si>
  <si>
    <t>焉耆</t>
    <phoneticPr fontId="21" type="noConversion"/>
  </si>
  <si>
    <t>短期软件；超短期软件；系统硬件；光伏气象站；光伏气象站设备；预测服务3年</t>
    <phoneticPr fontId="21" type="noConversion"/>
  </si>
  <si>
    <t>呼图壁</t>
    <phoneticPr fontId="21" type="noConversion"/>
  </si>
  <si>
    <t>预付款+到货款</t>
    <phoneticPr fontId="21" type="noConversion"/>
  </si>
  <si>
    <t>预付款+到货款+验收款</t>
    <phoneticPr fontId="21" type="noConversion"/>
  </si>
  <si>
    <t>山门</t>
  </si>
  <si>
    <t>约13.33%</t>
    <phoneticPr fontId="21" type="noConversion"/>
  </si>
  <si>
    <t>2025.5.22</t>
    <phoneticPr fontId="21" type="noConversion"/>
  </si>
  <si>
    <t>新疆华电小草湖风力发电有限责任公司</t>
    <phoneticPr fontId="21" type="noConversion"/>
  </si>
  <si>
    <t>22100-1</t>
    <phoneticPr fontId="6" type="noConversion"/>
  </si>
  <si>
    <t>22100-2</t>
    <phoneticPr fontId="6" type="noConversion"/>
  </si>
  <si>
    <t>22100-3</t>
  </si>
  <si>
    <t>2025.5.27</t>
    <phoneticPr fontId="21" type="noConversion"/>
  </si>
  <si>
    <t>24048-1</t>
    <phoneticPr fontId="6" type="noConversion"/>
  </si>
  <si>
    <t>24048-2</t>
  </si>
  <si>
    <t>2025.5.30</t>
    <phoneticPr fontId="21" type="noConversion"/>
  </si>
  <si>
    <t>前郭富汇风能有限公司</t>
    <phoneticPr fontId="21" type="noConversion"/>
  </si>
  <si>
    <t>哈密海新能源有限公司</t>
    <phoneticPr fontId="21" type="noConversion"/>
  </si>
  <si>
    <t>第十三师三塘湖</t>
    <phoneticPr fontId="6" type="noConversion"/>
  </si>
  <si>
    <t>2025.6.3</t>
    <phoneticPr fontId="21" type="noConversion"/>
  </si>
  <si>
    <t>2025.6.5</t>
    <phoneticPr fontId="21" type="noConversion"/>
  </si>
  <si>
    <t>2025.6.9</t>
    <phoneticPr fontId="21" type="noConversion"/>
  </si>
  <si>
    <t>2025.6.10</t>
    <phoneticPr fontId="21" type="noConversion"/>
  </si>
  <si>
    <t>2025.6.11</t>
    <phoneticPr fontId="21" type="noConversion"/>
  </si>
  <si>
    <t>2025.6.12</t>
    <phoneticPr fontId="21" type="noConversion"/>
  </si>
  <si>
    <t>2025.6.13</t>
    <phoneticPr fontId="21" type="noConversion"/>
  </si>
  <si>
    <t>2025.6.16</t>
    <phoneticPr fontId="21" type="noConversion"/>
  </si>
  <si>
    <t>北京科东电力控制系统有限责任公司</t>
    <phoneticPr fontId="21" type="noConversion"/>
  </si>
  <si>
    <t>24048-6</t>
  </si>
  <si>
    <t>韩志宇</t>
  </si>
  <si>
    <t>2025.6.20</t>
    <phoneticPr fontId="21" type="noConversion"/>
  </si>
  <si>
    <t>2025.6.23</t>
    <phoneticPr fontId="21" type="noConversion"/>
  </si>
  <si>
    <t>2025.6.24</t>
    <phoneticPr fontId="21" type="noConversion"/>
  </si>
  <si>
    <t>2025.6.25</t>
    <phoneticPr fontId="21" type="noConversion"/>
  </si>
  <si>
    <t>2025.6.26</t>
    <phoneticPr fontId="21" type="noConversion"/>
  </si>
  <si>
    <t>吉林中广核风力发电有限公司大安两家子分公司</t>
    <phoneticPr fontId="21" type="noConversion"/>
  </si>
  <si>
    <t>依兰县协合风力发电有限公司</t>
    <phoneticPr fontId="21" type="noConversion"/>
  </si>
  <si>
    <t>泰来宏浩风力发电有限公司</t>
    <phoneticPr fontId="21" type="noConversion"/>
  </si>
  <si>
    <t>国华（哈密）新能源有限公司三塘湖分公司</t>
    <phoneticPr fontId="21" type="noConversion"/>
  </si>
  <si>
    <t>国华（哈密）新能源有限公司</t>
    <phoneticPr fontId="21" type="noConversion"/>
  </si>
  <si>
    <t>国华（莫合台）新能源有限公司</t>
    <phoneticPr fontId="21" type="noConversion"/>
  </si>
  <si>
    <t>国华（哈密红星二场）新能源有限公司</t>
    <phoneticPr fontId="21" type="noConversion"/>
  </si>
  <si>
    <t>2025.6.27</t>
    <phoneticPr fontId="21" type="noConversion"/>
  </si>
  <si>
    <t>国能国华（和硕）新能源有限公司</t>
    <phoneticPr fontId="21" type="noConversion"/>
  </si>
  <si>
    <t>2025.6.30</t>
    <phoneticPr fontId="21" type="noConversion"/>
  </si>
  <si>
    <t>白城市天禹新能源智慧运维有限公司</t>
    <phoneticPr fontId="21" type="noConversion"/>
  </si>
  <si>
    <t>新疆华电草湖风电有限公司</t>
    <phoneticPr fontId="21" type="noConversion"/>
  </si>
  <si>
    <t>中铁十五局集团上海新能源发展有限公司龙江二期风电项目部
中铁十五局集团上海新能源发展有限公司</t>
    <phoneticPr fontId="21" type="noConversion"/>
  </si>
  <si>
    <t>齐齐哈尔永安</t>
  </si>
  <si>
    <t>软件升级（上传数据时间修改）</t>
  </si>
  <si>
    <t>亚洲电力</t>
  </si>
  <si>
    <t>24048-8</t>
  </si>
  <si>
    <t>安达1号、2号、安达3号、4号</t>
    <phoneticPr fontId="21" type="noConversion"/>
  </si>
  <si>
    <t>约48.33%</t>
    <phoneticPr fontId="21" type="noConversion"/>
  </si>
  <si>
    <t>协合新能源</t>
  </si>
  <si>
    <t>依兰东升E、F区</t>
  </si>
  <si>
    <t>23117-1</t>
    <phoneticPr fontId="6" type="noConversion"/>
  </si>
  <si>
    <r>
      <t>23117-2</t>
    </r>
    <r>
      <rPr>
        <sz val="11"/>
        <color theme="1"/>
        <rFont val="宋体"/>
        <family val="2"/>
        <scheme val="minor"/>
      </rPr>
      <t/>
    </r>
  </si>
  <si>
    <r>
      <t>23117-3</t>
    </r>
    <r>
      <rPr>
        <sz val="11"/>
        <color theme="1"/>
        <rFont val="宋体"/>
        <family val="2"/>
        <scheme val="minor"/>
      </rPr>
      <t/>
    </r>
  </si>
  <si>
    <t>富兴</t>
  </si>
  <si>
    <t>24157-1</t>
    <phoneticPr fontId="6" type="noConversion"/>
  </si>
  <si>
    <t>24157-2</t>
  </si>
  <si>
    <t>24157-3</t>
  </si>
  <si>
    <t>24157-4</t>
  </si>
  <si>
    <t>24157-5</t>
  </si>
  <si>
    <t>24157-6</t>
  </si>
  <si>
    <t>24161-1</t>
    <phoneticPr fontId="6" type="noConversion"/>
  </si>
  <si>
    <t>24161-2</t>
    <phoneticPr fontId="6" type="noConversion"/>
  </si>
  <si>
    <t>景峡南风电一场</t>
    <phoneticPr fontId="21" type="noConversion"/>
  </si>
  <si>
    <t>景峡南风电二场</t>
    <phoneticPr fontId="21" type="noConversion"/>
  </si>
  <si>
    <t>景峡北风电一场</t>
    <phoneticPr fontId="21" type="noConversion"/>
  </si>
  <si>
    <t>景峡西风电一场</t>
    <phoneticPr fontId="21" type="noConversion"/>
  </si>
  <si>
    <t>景峡西光伏一电站</t>
    <phoneticPr fontId="21" type="noConversion"/>
  </si>
  <si>
    <t>石城子光伏一电站</t>
    <phoneticPr fontId="21" type="noConversion"/>
  </si>
  <si>
    <t>望洋台风电一场</t>
    <phoneticPr fontId="21" type="noConversion"/>
  </si>
  <si>
    <t>兴民光伏一电站</t>
    <phoneticPr fontId="21" type="noConversion"/>
  </si>
  <si>
    <t>莫合台光伏一电站</t>
    <phoneticPr fontId="21" type="noConversion"/>
  </si>
  <si>
    <t>和硕光伏一电站</t>
    <phoneticPr fontId="21" type="noConversion"/>
  </si>
  <si>
    <t>和硕光伏二电站</t>
    <phoneticPr fontId="21" type="noConversion"/>
  </si>
  <si>
    <t>20123-1</t>
    <phoneticPr fontId="21" type="noConversion"/>
  </si>
  <si>
    <t>20123-2</t>
    <phoneticPr fontId="21" type="noConversion"/>
  </si>
  <si>
    <t>网络安全监测装置</t>
    <phoneticPr fontId="6" type="noConversion"/>
  </si>
  <si>
    <t>22159-1</t>
  </si>
  <si>
    <t>22159-2</t>
  </si>
  <si>
    <t>22159-3</t>
  </si>
  <si>
    <t>22159-4</t>
  </si>
  <si>
    <t>22159-5</t>
  </si>
  <si>
    <t>22159-6</t>
  </si>
  <si>
    <t>22159-7</t>
  </si>
  <si>
    <t>22159-8</t>
  </si>
  <si>
    <t>22159-9</t>
  </si>
  <si>
    <t>轮台100MW光伏项目</t>
    <phoneticPr fontId="21" type="noConversion"/>
  </si>
  <si>
    <t>约31.82</t>
    <phoneticPr fontId="21" type="noConversion"/>
  </si>
  <si>
    <t>2025.7.7</t>
    <phoneticPr fontId="21" type="noConversion"/>
  </si>
  <si>
    <t>2025.7.9</t>
    <phoneticPr fontId="21" type="noConversion"/>
  </si>
  <si>
    <t>2025.7.11</t>
    <phoneticPr fontId="21" type="noConversion"/>
  </si>
  <si>
    <t>2025.7.14</t>
    <phoneticPr fontId="21" type="noConversion"/>
  </si>
  <si>
    <t>2025.7.15</t>
    <phoneticPr fontId="21" type="noConversion"/>
  </si>
  <si>
    <t>2025.7.16</t>
    <phoneticPr fontId="21" type="noConversion"/>
  </si>
  <si>
    <t>2025.7.18</t>
    <phoneticPr fontId="21" type="noConversion"/>
  </si>
  <si>
    <t>华能江西清洁能源有限责任公司</t>
    <phoneticPr fontId="21" type="noConversion"/>
  </si>
  <si>
    <t>讷河市东庆新能源有限公司</t>
    <phoneticPr fontId="21" type="noConversion"/>
  </si>
  <si>
    <t>约10.03%</t>
    <phoneticPr fontId="21" type="noConversion"/>
  </si>
  <si>
    <t>剩余投运款+质保款</t>
    <phoneticPr fontId="21" type="noConversion"/>
  </si>
  <si>
    <t>约32.29%</t>
    <phoneticPr fontId="21" type="noConversion"/>
  </si>
  <si>
    <t>约0.22%</t>
    <phoneticPr fontId="21" type="noConversion"/>
  </si>
  <si>
    <t>讷河东庆</t>
    <phoneticPr fontId="21" type="noConversion"/>
  </si>
  <si>
    <t>预测服务14个月</t>
    <phoneticPr fontId="6" type="noConversion"/>
  </si>
  <si>
    <t>24048-9</t>
    <phoneticPr fontId="6" type="noConversion"/>
  </si>
  <si>
    <t>约27.84%</t>
    <phoneticPr fontId="21" type="noConversion"/>
  </si>
  <si>
    <t>22154-1</t>
    <phoneticPr fontId="6" type="noConversion"/>
  </si>
  <si>
    <t>海林威虎山一期</t>
    <phoneticPr fontId="21" type="noConversion"/>
  </si>
  <si>
    <t>2025年7月18收到商业电子银行承兑汇票40万元，汇票出票日期2025年7月17日，汇票到期日期2026年1月17日。</t>
  </si>
  <si>
    <t>2025.7.21</t>
    <phoneticPr fontId="21" type="noConversion"/>
  </si>
  <si>
    <t>约68.18%</t>
    <phoneticPr fontId="6" type="noConversion"/>
  </si>
  <si>
    <t>2025.7.22</t>
    <phoneticPr fontId="21" type="noConversion"/>
  </si>
  <si>
    <t>系统硬件；测风塔设备；测风塔维护</t>
    <phoneticPr fontId="6" type="noConversion"/>
  </si>
  <si>
    <t>2025.7.23</t>
    <phoneticPr fontId="21" type="noConversion"/>
  </si>
  <si>
    <t>2025.7.25</t>
    <phoneticPr fontId="21" type="noConversion"/>
  </si>
  <si>
    <t>2025.7.28</t>
    <phoneticPr fontId="21" type="noConversion"/>
  </si>
  <si>
    <t>2025.7.29</t>
    <phoneticPr fontId="21" type="noConversion"/>
  </si>
  <si>
    <t>大唐黑龙江新能源开发有限公司集贤太平风力发电分公司</t>
    <phoneticPr fontId="21" type="noConversion"/>
  </si>
  <si>
    <t>2025.7.30</t>
    <phoneticPr fontId="21" type="noConversion"/>
  </si>
  <si>
    <t>2025.7.31</t>
    <phoneticPr fontId="21" type="noConversion"/>
  </si>
  <si>
    <t>国投吐鲁番风电有限公司</t>
    <phoneticPr fontId="21" type="noConversion"/>
  </si>
  <si>
    <t>24144-1</t>
    <phoneticPr fontId="6" type="noConversion"/>
  </si>
  <si>
    <t>24144-2</t>
  </si>
  <si>
    <t>24144-3</t>
  </si>
  <si>
    <t>25067-2</t>
    <phoneticPr fontId="6" type="noConversion"/>
  </si>
  <si>
    <t>25116-1</t>
    <phoneticPr fontId="6" type="noConversion"/>
  </si>
  <si>
    <t>25116-2</t>
  </si>
  <si>
    <t>北京天地和兴科技有限公司</t>
    <phoneticPr fontId="21" type="noConversion"/>
  </si>
  <si>
    <t>25088-1</t>
    <phoneticPr fontId="6" type="noConversion"/>
  </si>
  <si>
    <t>25088-2</t>
  </si>
  <si>
    <t>宾县协合</t>
  </si>
  <si>
    <t>华电达坂城大连湖风电一场</t>
    <phoneticPr fontId="21" type="noConversion"/>
  </si>
  <si>
    <t>华电达坂城西沟风电一场</t>
    <phoneticPr fontId="21" type="noConversion"/>
  </si>
  <si>
    <t>华电达坂城白杨沟风电一场</t>
    <phoneticPr fontId="21" type="noConversion"/>
  </si>
  <si>
    <t>到货款+验收款</t>
    <phoneticPr fontId="21" type="noConversion"/>
  </si>
  <si>
    <t>正泰光荣</t>
    <phoneticPr fontId="21" type="noConversion"/>
  </si>
  <si>
    <t>四海</t>
    <phoneticPr fontId="21" type="noConversion"/>
  </si>
  <si>
    <t>国投</t>
    <phoneticPr fontId="6" type="noConversion"/>
  </si>
  <si>
    <t>吐鲁番小草湖风电项目</t>
    <phoneticPr fontId="6" type="noConversion"/>
  </si>
  <si>
    <t>齐齐哈尔一重</t>
    <phoneticPr fontId="21" type="noConversion"/>
  </si>
  <si>
    <t>预付款+验收款+调试款</t>
    <phoneticPr fontId="21" type="noConversion"/>
  </si>
  <si>
    <t>国能</t>
    <phoneticPr fontId="6" type="noConversion"/>
  </si>
  <si>
    <t>通榆新发10万千瓦风电项目</t>
    <phoneticPr fontId="6" type="noConversion"/>
  </si>
  <si>
    <t>通榆新兴20万千瓦风电项目</t>
    <phoneticPr fontId="6" type="noConversion"/>
  </si>
  <si>
    <t>23143-1</t>
    <phoneticPr fontId="21" type="noConversion"/>
  </si>
  <si>
    <t>23143-2</t>
    <phoneticPr fontId="21" type="noConversion"/>
  </si>
  <si>
    <t>雪湖二期</t>
    <phoneticPr fontId="21" type="noConversion"/>
  </si>
  <si>
    <t>大连湖风电一场</t>
  </si>
  <si>
    <t>2025.8.3</t>
    <phoneticPr fontId="21" type="noConversion"/>
  </si>
  <si>
    <t>2025.8.4</t>
    <phoneticPr fontId="21" type="noConversion"/>
  </si>
  <si>
    <t>2025.8.5</t>
    <phoneticPr fontId="21" type="noConversion"/>
  </si>
  <si>
    <t>2025.8.6</t>
    <phoneticPr fontId="21" type="noConversion"/>
  </si>
  <si>
    <t>2025.8.8</t>
    <phoneticPr fontId="21" type="noConversion"/>
  </si>
  <si>
    <t>2025.8.11</t>
    <phoneticPr fontId="21" type="noConversion"/>
  </si>
  <si>
    <t>2025.8.12</t>
    <phoneticPr fontId="21" type="noConversion"/>
  </si>
  <si>
    <t>2025.8.13</t>
    <phoneticPr fontId="21" type="noConversion"/>
  </si>
  <si>
    <t>2025.8.14</t>
    <phoneticPr fontId="21" type="noConversion"/>
  </si>
  <si>
    <t>2025.8.15</t>
    <phoneticPr fontId="21" type="noConversion"/>
  </si>
  <si>
    <t>双鸭山杨木岗风力发电有限公司</t>
    <phoneticPr fontId="21" type="noConversion"/>
  </si>
  <si>
    <t>黑龙江东方风力发电有限公司</t>
    <phoneticPr fontId="21" type="noConversion"/>
  </si>
  <si>
    <t>国投哈密风电有限公司</t>
    <phoneticPr fontId="21" type="noConversion"/>
  </si>
  <si>
    <t>五凌鄯善电力有限公司</t>
    <phoneticPr fontId="21" type="noConversion"/>
  </si>
  <si>
    <t>黑龙江阿一电气有限责任公司</t>
    <phoneticPr fontId="21" type="noConversion"/>
  </si>
  <si>
    <t>华电巴里坤新能源有限公司</t>
    <phoneticPr fontId="21" type="noConversion"/>
  </si>
  <si>
    <t>宝宜</t>
  </si>
  <si>
    <t>预测服务3年</t>
  </si>
  <si>
    <t>孙昭</t>
    <phoneticPr fontId="21" type="noConversion"/>
  </si>
  <si>
    <t>考核验收款</t>
    <phoneticPr fontId="21" type="noConversion"/>
  </si>
  <si>
    <t>25067-1</t>
    <phoneticPr fontId="6" type="noConversion"/>
  </si>
  <si>
    <t>哈密烟墩八A风电项目</t>
    <phoneticPr fontId="6" type="noConversion"/>
  </si>
  <si>
    <t>约28.80%</t>
    <phoneticPr fontId="21" type="noConversion"/>
  </si>
  <si>
    <t>海林威虎山一期</t>
    <phoneticPr fontId="6" type="noConversion"/>
  </si>
  <si>
    <t>质保金</t>
    <phoneticPr fontId="21" type="noConversion"/>
  </si>
  <si>
    <t>约62.06%</t>
    <phoneticPr fontId="21" type="noConversion"/>
  </si>
  <si>
    <t>约37.94%</t>
    <phoneticPr fontId="21" type="noConversion"/>
  </si>
  <si>
    <t>剩余验收款+质保款</t>
    <phoneticPr fontId="21" type="noConversion"/>
  </si>
  <si>
    <t>23121-21140-2</t>
    <phoneticPr fontId="6" type="noConversion"/>
  </si>
  <si>
    <t>23121-21140-3</t>
    <phoneticPr fontId="6" type="noConversion"/>
  </si>
  <si>
    <t>系统硬件维护；预测服务3年</t>
    <phoneticPr fontId="21" type="noConversion"/>
  </si>
  <si>
    <t>2025.8.18</t>
    <phoneticPr fontId="21" type="noConversion"/>
  </si>
  <si>
    <t>23143-1</t>
    <phoneticPr fontId="6" type="noConversion"/>
  </si>
  <si>
    <r>
      <t>23143-2</t>
    </r>
    <r>
      <rPr>
        <sz val="11"/>
        <color theme="1"/>
        <rFont val="宋体"/>
        <family val="2"/>
        <scheme val="minor"/>
      </rPr>
      <t/>
    </r>
  </si>
  <si>
    <t>2025.8.20</t>
    <phoneticPr fontId="21" type="noConversion"/>
  </si>
  <si>
    <t>2025.8.21</t>
    <phoneticPr fontId="21" type="noConversion"/>
  </si>
  <si>
    <t>王子</t>
  </si>
  <si>
    <r>
      <t>21127-2</t>
    </r>
    <r>
      <rPr>
        <sz val="11"/>
        <color theme="1"/>
        <rFont val="宋体"/>
        <family val="2"/>
        <scheme val="minor"/>
      </rPr>
      <t/>
    </r>
  </si>
  <si>
    <t>约9.33%</t>
    <phoneticPr fontId="21" type="noConversion"/>
  </si>
  <si>
    <t>约0.67%</t>
    <phoneticPr fontId="21" type="noConversion"/>
  </si>
  <si>
    <t>约47.50%</t>
    <phoneticPr fontId="21" type="noConversion"/>
  </si>
  <si>
    <t>2025.8.22</t>
    <phoneticPr fontId="21" type="noConversion"/>
  </si>
  <si>
    <t>五凌布尔津电力有限公司</t>
    <phoneticPr fontId="21" type="noConversion"/>
  </si>
  <si>
    <t>布尔津</t>
    <phoneticPr fontId="21" type="noConversion"/>
  </si>
  <si>
    <t>竣工款</t>
    <phoneticPr fontId="21" type="noConversion"/>
  </si>
  <si>
    <t>投运款</t>
    <phoneticPr fontId="21" type="noConversion"/>
  </si>
  <si>
    <t>2025.8.25</t>
    <phoneticPr fontId="21" type="noConversion"/>
  </si>
  <si>
    <t>2025.8.27</t>
    <phoneticPr fontId="21" type="noConversion"/>
  </si>
  <si>
    <t>2025.8.29</t>
    <phoneticPr fontId="21" type="noConversion"/>
  </si>
  <si>
    <t>赤峰晶澳光伏发电有限公司</t>
    <phoneticPr fontId="21" type="noConversion"/>
  </si>
  <si>
    <t>深圳市嘉铭新科技有限公司</t>
    <phoneticPr fontId="21" type="noConversion"/>
  </si>
  <si>
    <t>中车山东风电有限公司</t>
    <phoneticPr fontId="21" type="noConversion"/>
  </si>
  <si>
    <t>调试款</t>
    <phoneticPr fontId="6" type="noConversion"/>
  </si>
  <si>
    <t>中石油</t>
    <phoneticPr fontId="21" type="noConversion"/>
  </si>
  <si>
    <t>昂格</t>
    <phoneticPr fontId="21" type="noConversion"/>
  </si>
  <si>
    <r>
      <t>22154-2</t>
    </r>
    <r>
      <rPr>
        <sz val="11"/>
        <color theme="1"/>
        <rFont val="宋体"/>
        <family val="2"/>
        <scheme val="minor"/>
      </rPr>
      <t/>
    </r>
    <phoneticPr fontId="6" type="noConversion"/>
  </si>
  <si>
    <t>22154-2</t>
    <phoneticPr fontId="6" type="noConversion"/>
  </si>
  <si>
    <t>2025年7月18收到商业电子银行承兑汇票40万元，汇票出票日期2025年7月17日，汇票到期日期2026年1月17日。</t>
    <phoneticPr fontId="6" type="noConversion"/>
  </si>
  <si>
    <t>2025/8/29收到商业电子银行承兑汇票40万元，汇票出票日期2025年8月29日，汇票到期日期2026年2月28日。</t>
    <phoneticPr fontId="6" type="noConversion"/>
  </si>
  <si>
    <t>2025.9.1</t>
    <phoneticPr fontId="6" type="noConversion"/>
  </si>
  <si>
    <t>山东泰开高压开关有限公司</t>
    <phoneticPr fontId="6" type="noConversion"/>
  </si>
  <si>
    <t>2025.9.2</t>
    <phoneticPr fontId="6" type="noConversion"/>
  </si>
  <si>
    <t>无锡博耳光伏科技有限公司</t>
    <phoneticPr fontId="6" type="noConversion"/>
  </si>
  <si>
    <t>2025.9.3</t>
    <phoneticPr fontId="6" type="noConversion"/>
  </si>
  <si>
    <t>七台河丰润风力发电有限公司</t>
    <phoneticPr fontId="6" type="noConversion"/>
  </si>
  <si>
    <t>2025.9.4</t>
    <phoneticPr fontId="6" type="noConversion"/>
  </si>
  <si>
    <t>2025.9.8</t>
    <phoneticPr fontId="6" type="noConversion"/>
  </si>
  <si>
    <t>2025.9.9</t>
    <phoneticPr fontId="6" type="noConversion"/>
  </si>
  <si>
    <t>2025.9.10</t>
    <phoneticPr fontId="6" type="noConversion"/>
  </si>
  <si>
    <t>台安桑林风力发电有限公司</t>
    <phoneticPr fontId="6" type="noConversion"/>
  </si>
  <si>
    <t>新疆华电雪湖风力发电有限公司</t>
    <phoneticPr fontId="6" type="noConversion"/>
  </si>
  <si>
    <t>大唐海林风力发电有限公司</t>
    <phoneticPr fontId="6" type="noConversion"/>
  </si>
  <si>
    <t>泰来宏浩风力发电有限公司</t>
    <phoneticPr fontId="6" type="noConversion"/>
  </si>
  <si>
    <t>新疆华电东方民生太阳能源开发有限公司</t>
    <phoneticPr fontId="6" type="noConversion"/>
  </si>
  <si>
    <t>黑龙江光伏电站理论功率上传软件；系统硬件</t>
    <phoneticPr fontId="6" type="noConversion"/>
  </si>
  <si>
    <t>安邦河（锅盔山)</t>
    <phoneticPr fontId="6" type="noConversion"/>
  </si>
  <si>
    <t>海林威虎山</t>
    <phoneticPr fontId="6" type="noConversion"/>
  </si>
  <si>
    <t>2025.9.12</t>
    <phoneticPr fontId="6" type="noConversion"/>
  </si>
  <si>
    <t>2025.9.15</t>
    <phoneticPr fontId="6" type="noConversion"/>
  </si>
  <si>
    <t>华电新能新疆木垒新能源有限公司</t>
    <phoneticPr fontId="6" type="noConversion"/>
  </si>
  <si>
    <t>2025.9.16</t>
    <phoneticPr fontId="6" type="noConversion"/>
  </si>
  <si>
    <t>2025.9.17</t>
    <phoneticPr fontId="6" type="noConversion"/>
  </si>
  <si>
    <t>新疆华电白杨河风力发电有限责任公司</t>
    <phoneticPr fontId="6" type="noConversion"/>
  </si>
  <si>
    <t>2025.9.18</t>
    <phoneticPr fontId="6" type="noConversion"/>
  </si>
  <si>
    <t>哈尔滨中瑞伟业科技发展有限公司</t>
    <phoneticPr fontId="6" type="noConversion"/>
  </si>
  <si>
    <t>南京国电南自维美德自动化有限公司</t>
    <phoneticPr fontId="6" type="noConversion"/>
  </si>
  <si>
    <t>2025.9.19</t>
    <phoneticPr fontId="6" type="noConversion"/>
  </si>
  <si>
    <t>宁波鼎成嘉诚科技有限公司</t>
    <phoneticPr fontId="6" type="noConversion"/>
  </si>
  <si>
    <t>软件升级（102协议上传改造）</t>
    <phoneticPr fontId="6" type="noConversion"/>
  </si>
  <si>
    <t>24030-1</t>
    <phoneticPr fontId="6" type="noConversion"/>
  </si>
  <si>
    <t>24030-2</t>
  </si>
  <si>
    <t>技术服务（数据转发集控；电力交易系统转发）</t>
    <phoneticPr fontId="6" type="noConversion"/>
  </si>
  <si>
    <t>约62.31%</t>
    <phoneticPr fontId="21" type="noConversion"/>
  </si>
  <si>
    <t>凯升木垒800MW风力发电项目（200MW风电部分）</t>
    <phoneticPr fontId="6" type="noConversion"/>
  </si>
  <si>
    <t>短期软件；超短期软件；中长期软件；系统硬件；测风塔；测风塔设备；预测服务3年，软件升级（自动巡检）</t>
    <phoneticPr fontId="21" type="noConversion"/>
  </si>
  <si>
    <t>24163-1</t>
    <phoneticPr fontId="6" type="noConversion"/>
  </si>
  <si>
    <t>24163-2</t>
  </si>
  <si>
    <t>24163-3</t>
  </si>
  <si>
    <t>24163-4</t>
  </si>
  <si>
    <t>24163-5</t>
  </si>
  <si>
    <t>24163-6</t>
  </si>
  <si>
    <t>24163-7</t>
  </si>
  <si>
    <t>24163-8</t>
  </si>
  <si>
    <t>华电木垒100万千瓦二氧化碳压缩空气储能综合能源示范项目二次设备及预制舱(40万千瓦光伏部分)</t>
    <phoneticPr fontId="21" type="noConversion"/>
  </si>
  <si>
    <t>短期软件；超短期软件；系统硬件；光伏气象站；光伏气象站设备；预测服务3年；软件升级（自动巡检）</t>
    <phoneticPr fontId="21" type="noConversion"/>
  </si>
  <si>
    <t>华电木垒100万千瓦二氧化碳压缩空气储能综合能源示范项目二次设备及预制舱(60万千瓦风电部分)</t>
    <phoneticPr fontId="21" type="noConversion"/>
  </si>
  <si>
    <t>短期软件；超短期软件；系统硬件；测风塔；测风塔设备；预测服务3年；软件升级（自动巡检）</t>
    <phoneticPr fontId="21" type="noConversion"/>
  </si>
  <si>
    <t>凯升木垒四十个井子1050MW 风光发电目项(250MW光伏)电气二次部分设备及预制舱</t>
    <phoneticPr fontId="21" type="noConversion"/>
  </si>
  <si>
    <t>凯升木垒四十个井子1050MW 风光发电项目(600MW风电)电气二次部分设备及预制舱</t>
    <phoneticPr fontId="21" type="noConversion"/>
  </si>
  <si>
    <t>短期软件；超短期软件；中长期软件；系统硬件；测风塔；测风塔设备；预测服务3年；软件升级（自动巡检）</t>
    <phoneticPr fontId="21" type="noConversion"/>
  </si>
  <si>
    <t>古尔班通古特沙漠基地华电135万千瓦新能源项目(木垒80万千瓦风电项目)电气二次设备</t>
    <phoneticPr fontId="21" type="noConversion"/>
  </si>
  <si>
    <t>古尔班通古特沙漠基地华电135万千瓦新能源项目(奇台30万千瓦光伏项目)电气二次设备大井北</t>
    <phoneticPr fontId="21" type="noConversion"/>
  </si>
  <si>
    <t>古尔班通古特沙漠基地华电135万千瓦新能源项目(奇台30万千瓦光伏项目)电气二次设备国投汇集站</t>
    <phoneticPr fontId="21" type="noConversion"/>
  </si>
  <si>
    <t>古尔班通古特沙漠基地华电135万千瓦新能源项(木垒25万千瓦光伏项目)电气二次设备</t>
    <phoneticPr fontId="21" type="noConversion"/>
  </si>
  <si>
    <t>约15.70%</t>
    <phoneticPr fontId="21" type="noConversion"/>
  </si>
  <si>
    <t>约15.78%</t>
    <phoneticPr fontId="21" type="noConversion"/>
  </si>
  <si>
    <t>预付款+部分到货款</t>
    <phoneticPr fontId="21" type="noConversion"/>
  </si>
  <si>
    <t>2025.9.22</t>
    <phoneticPr fontId="6" type="noConversion"/>
  </si>
  <si>
    <t>2025.9.24</t>
    <phoneticPr fontId="6" type="noConversion"/>
  </si>
  <si>
    <t>新疆华电达坂城新能源有限公司</t>
    <phoneticPr fontId="6" type="noConversion"/>
  </si>
  <si>
    <t>华电新疆乌鲁木齐县能源发展有限公司</t>
    <phoneticPr fontId="6" type="noConversion"/>
  </si>
  <si>
    <t>结算款</t>
    <phoneticPr fontId="21" type="noConversion"/>
  </si>
  <si>
    <t>短期预测；超短期预测；系统硬件；预测服务1年</t>
    <phoneticPr fontId="6" type="noConversion"/>
  </si>
  <si>
    <t>2025.9.25</t>
    <phoneticPr fontId="6" type="noConversion"/>
  </si>
  <si>
    <t>2025.9.26</t>
    <phoneticPr fontId="6" type="noConversion"/>
  </si>
  <si>
    <t>福建省福能海峡发电有限公司</t>
    <phoneticPr fontId="6" type="noConversion"/>
  </si>
  <si>
    <t>2025.9.27</t>
    <phoneticPr fontId="6" type="noConversion"/>
  </si>
  <si>
    <t>华能新能源湘乡风力发电有限公司</t>
    <phoneticPr fontId="6" type="noConversion"/>
  </si>
  <si>
    <t>2025.9.28</t>
    <phoneticPr fontId="6" type="noConversion"/>
  </si>
  <si>
    <t>齐齐哈尔汇能新能源有限公司</t>
    <phoneticPr fontId="6" type="noConversion"/>
  </si>
  <si>
    <t>2025.9.29</t>
    <phoneticPr fontId="6" type="noConversion"/>
  </si>
  <si>
    <t>焉耆县光润新能源发电有限公司</t>
    <phoneticPr fontId="6" type="noConversion"/>
  </si>
  <si>
    <t>2025.9.30</t>
    <phoneticPr fontId="6" type="noConversion"/>
  </si>
  <si>
    <t>北京东润环能科技股份有限公司</t>
    <phoneticPr fontId="6" type="noConversion"/>
  </si>
  <si>
    <t>华能新疆三塘湖风力发电有限责任公司</t>
    <phoneticPr fontId="6" type="noConversion"/>
  </si>
  <si>
    <t>系统硬件；软件升级（自动巡检；双击热备；修改超超期预测数据）</t>
    <phoneticPr fontId="21" type="noConversion"/>
  </si>
  <si>
    <t>24029-1</t>
    <phoneticPr fontId="6" type="noConversion"/>
  </si>
  <si>
    <t>24029-2</t>
  </si>
  <si>
    <t>24029-3</t>
  </si>
  <si>
    <t>辽宁光伏电站D5000二区软件；系统硬件</t>
    <phoneticPr fontId="21" type="noConversion"/>
  </si>
  <si>
    <t>光伏AGC/AVC</t>
    <phoneticPr fontId="21" type="noConversion"/>
  </si>
  <si>
    <t>光伏AGC软件；光伏AVC软件；系统硬件</t>
    <phoneticPr fontId="21" type="noConversion"/>
  </si>
  <si>
    <t>梅桥镇</t>
  </si>
  <si>
    <t>约54.80%</t>
    <phoneticPr fontId="21" type="noConversion"/>
  </si>
  <si>
    <t>约45.20%</t>
    <phoneticPr fontId="21" type="noConversion"/>
  </si>
  <si>
    <t>光润焉耆光伏一电站</t>
    <phoneticPr fontId="21" type="noConversion"/>
  </si>
  <si>
    <t>24143-1</t>
    <phoneticPr fontId="6" type="noConversion"/>
  </si>
  <si>
    <t>24143-2</t>
  </si>
  <si>
    <t>24143-3</t>
  </si>
  <si>
    <t>24143-4</t>
  </si>
  <si>
    <t>24143-5</t>
  </si>
  <si>
    <t>24143-6</t>
  </si>
  <si>
    <t>西沟三期</t>
    <phoneticPr fontId="21" type="noConversion"/>
  </si>
  <si>
    <t>西山35KV</t>
    <phoneticPr fontId="21" type="noConversion"/>
  </si>
  <si>
    <t>西山100KV</t>
    <phoneticPr fontId="21" type="noConversion"/>
  </si>
  <si>
    <t>白杨沟二期</t>
    <phoneticPr fontId="21" type="noConversion"/>
  </si>
  <si>
    <t>大个岭</t>
  </si>
  <si>
    <t>22045-1</t>
    <phoneticPr fontId="6" type="noConversion"/>
  </si>
  <si>
    <r>
      <t>22045-2</t>
    </r>
    <r>
      <rPr>
        <sz val="11"/>
        <color theme="1"/>
        <rFont val="宋体"/>
        <family val="2"/>
        <scheme val="minor"/>
      </rPr>
      <t/>
    </r>
  </si>
  <si>
    <t>2025.10.10</t>
    <phoneticPr fontId="6" type="noConversion"/>
  </si>
  <si>
    <t>北京天地和兴科技有限公司</t>
    <phoneticPr fontId="6" type="noConversion"/>
  </si>
  <si>
    <t>2025.10.11</t>
    <phoneticPr fontId="6" type="noConversion"/>
  </si>
  <si>
    <t>沈阳嘉越电力科技有限公司</t>
    <phoneticPr fontId="6" type="noConversion"/>
  </si>
  <si>
    <t>2025.10.15</t>
    <phoneticPr fontId="6" type="noConversion"/>
  </si>
  <si>
    <t>2025.10.17</t>
    <phoneticPr fontId="6" type="noConversion"/>
  </si>
  <si>
    <t>短期预测；超短期预测；系统硬件</t>
    <phoneticPr fontId="21" type="noConversion"/>
  </si>
  <si>
    <r>
      <t>23070-2</t>
    </r>
    <r>
      <rPr>
        <sz val="11"/>
        <color theme="1"/>
        <rFont val="宋体"/>
        <family val="2"/>
        <scheme val="minor"/>
      </rPr>
      <t/>
    </r>
  </si>
  <si>
    <t>软件升级（极端天气）；预测服务1年</t>
    <phoneticPr fontId="21" type="noConversion"/>
  </si>
  <si>
    <t>2025.10.20</t>
    <phoneticPr fontId="6" type="noConversion"/>
  </si>
  <si>
    <t>23038-1</t>
    <phoneticPr fontId="6" type="noConversion"/>
  </si>
  <si>
    <r>
      <t>23038-2</t>
    </r>
    <r>
      <rPr>
        <sz val="11"/>
        <color theme="1"/>
        <rFont val="宋体"/>
        <family val="2"/>
        <scheme val="minor"/>
      </rPr>
      <t/>
    </r>
  </si>
  <si>
    <t>25141-1</t>
    <phoneticPr fontId="6" type="noConversion"/>
  </si>
  <si>
    <t>25141-2</t>
  </si>
  <si>
    <t>2025.10.21</t>
    <phoneticPr fontId="6" type="noConversion"/>
  </si>
  <si>
    <t>国华新能源（双辽）有限公司</t>
    <phoneticPr fontId="6" type="noConversion"/>
  </si>
  <si>
    <t>软件升级（102协议上传改造）</t>
  </si>
  <si>
    <t>约37.28%</t>
    <phoneticPr fontId="6" type="noConversion"/>
  </si>
  <si>
    <t>2025.10.24</t>
    <phoneticPr fontId="6" type="noConversion"/>
  </si>
  <si>
    <t>通榆中广核风力发电有限公司</t>
    <phoneticPr fontId="6" type="noConversion"/>
  </si>
  <si>
    <t>吉林泰合风力发电有限公司</t>
    <phoneticPr fontId="6" type="noConversion"/>
  </si>
  <si>
    <t>蒙东协合镇赉第二风力发电有限公司</t>
    <phoneticPr fontId="6" type="noConversion"/>
  </si>
  <si>
    <t>前郭富汇风能有限公司</t>
    <phoneticPr fontId="6" type="noConversion"/>
  </si>
  <si>
    <t>22082-1</t>
    <phoneticPr fontId="6" type="noConversion"/>
  </si>
  <si>
    <r>
      <t>22082-2</t>
    </r>
    <r>
      <rPr>
        <sz val="11"/>
        <color theme="1"/>
        <rFont val="宋体"/>
        <family val="2"/>
        <scheme val="minor"/>
      </rPr>
      <t/>
    </r>
  </si>
  <si>
    <t>2025.10.27</t>
    <phoneticPr fontId="6" type="noConversion"/>
  </si>
  <si>
    <t>2025.10.28</t>
    <phoneticPr fontId="6" type="noConversion"/>
  </si>
  <si>
    <t>2025.10.29</t>
    <phoneticPr fontId="6" type="noConversion"/>
  </si>
  <si>
    <t>巴里坤甬坤能源有限公司</t>
    <phoneticPr fontId="6" type="noConversion"/>
  </si>
  <si>
    <t>阜新鸿日光伏发电有限公司</t>
    <phoneticPr fontId="6" type="noConversion"/>
  </si>
  <si>
    <t>24131-1</t>
    <phoneticPr fontId="6" type="noConversion"/>
  </si>
  <si>
    <t>24131-2</t>
  </si>
  <si>
    <t>24131-3</t>
  </si>
  <si>
    <t>达坂城A区</t>
    <phoneticPr fontId="21" type="noConversion"/>
  </si>
  <si>
    <t>短期软件；超短期软件；系统硬件；预测服务5年；软件升级（自动巡检）</t>
    <phoneticPr fontId="21" type="noConversion"/>
  </si>
  <si>
    <t>达坂城B区</t>
    <phoneticPr fontId="21" type="noConversion"/>
  </si>
  <si>
    <t>达坂城C区</t>
    <phoneticPr fontId="21" type="noConversion"/>
  </si>
  <si>
    <t>约87.40%</t>
    <phoneticPr fontId="6" type="noConversion"/>
  </si>
  <si>
    <t>到货款+部分阶段款</t>
    <phoneticPr fontId="6" type="noConversion"/>
  </si>
  <si>
    <t>2025.10.30</t>
    <phoneticPr fontId="6" type="noConversion"/>
  </si>
  <si>
    <t>华锐风电科技（甘肃）有限公司</t>
    <phoneticPr fontId="6" type="noConversion"/>
  </si>
  <si>
    <t>约11.15%</t>
    <phoneticPr fontId="6" type="noConversion"/>
  </si>
  <si>
    <t>约16.69%</t>
    <phoneticPr fontId="6" type="noConversion"/>
  </si>
  <si>
    <t>2025/10/30收到商业电子银行承兑汇票7.17777万元，汇票出票日期2025年9月28日，汇票到期日期2026年3月28日。</t>
    <phoneticPr fontId="6" type="noConversion"/>
  </si>
  <si>
    <t>2025/10/30收到商业电子银行承兑汇票32.82223万元，汇票出票日期2025年10月29日，汇票到期日期2026年4月29日。</t>
    <phoneticPr fontId="6" type="noConversion"/>
  </si>
  <si>
    <t>剩余到货款+进度款</t>
    <phoneticPr fontId="6" type="noConversion"/>
  </si>
  <si>
    <t>2025.10.22</t>
    <phoneticPr fontId="6" type="noConversion"/>
  </si>
  <si>
    <t>深圳市嘉铭新科技有限公司</t>
    <phoneticPr fontId="6" type="noConversion"/>
  </si>
  <si>
    <t>2025.11.3</t>
    <phoneticPr fontId="6" type="noConversion"/>
  </si>
  <si>
    <t>2025.11.4</t>
    <phoneticPr fontId="6" type="noConversion"/>
  </si>
  <si>
    <t>黑龙江德幂先创科技有限公司</t>
    <phoneticPr fontId="6" type="noConversion"/>
  </si>
  <si>
    <t>2025.11.5</t>
    <phoneticPr fontId="6" type="noConversion"/>
  </si>
  <si>
    <t>葫芦岛全方新能源风电有限公司</t>
    <phoneticPr fontId="6" type="noConversion"/>
  </si>
  <si>
    <t>2025.11.6</t>
    <phoneticPr fontId="6" type="noConversion"/>
  </si>
  <si>
    <t>2025.11.7</t>
    <phoneticPr fontId="6" type="noConversion"/>
  </si>
  <si>
    <t>四平中广核风力发电有限公司梨树分公司</t>
    <phoneticPr fontId="6" type="noConversion"/>
  </si>
  <si>
    <t>2025.11.10</t>
    <phoneticPr fontId="6" type="noConversion"/>
  </si>
  <si>
    <t>2025.11.11</t>
    <phoneticPr fontId="6" type="noConversion"/>
  </si>
  <si>
    <t>华电新能（伊吾）东方民生新能源有限公司</t>
    <phoneticPr fontId="6" type="noConversion"/>
  </si>
  <si>
    <t>新疆华电力诺太阳能电力有限公司</t>
    <phoneticPr fontId="6" type="noConversion"/>
  </si>
  <si>
    <t>软件升级（双机热备）</t>
    <phoneticPr fontId="6" type="noConversion"/>
  </si>
  <si>
    <t>2025.11.17</t>
    <phoneticPr fontId="6" type="noConversion"/>
  </si>
  <si>
    <t>华电五家渠新能源有限公司</t>
    <phoneticPr fontId="6" type="noConversion"/>
  </si>
  <si>
    <t>2025.11.18</t>
    <phoneticPr fontId="6" type="noConversion"/>
  </si>
  <si>
    <t>华电阜康发电有限公司</t>
    <phoneticPr fontId="6" type="noConversion"/>
  </si>
  <si>
    <t>白城市天禹新能源智慧运维有限公司</t>
    <phoneticPr fontId="6" type="noConversion"/>
  </si>
  <si>
    <t>2025.11.19</t>
    <phoneticPr fontId="6" type="noConversion"/>
  </si>
  <si>
    <t>哈尔滨朗昇电气股份有限公司</t>
    <phoneticPr fontId="6" type="noConversion"/>
  </si>
  <si>
    <t>宝鸡国源安华新能源开发有限公司</t>
    <phoneticPr fontId="6" type="noConversion"/>
  </si>
  <si>
    <t>2025.11.20</t>
    <phoneticPr fontId="6" type="noConversion"/>
  </si>
  <si>
    <t>新疆华电木垒新能源有限公司</t>
    <phoneticPr fontId="6" type="noConversion"/>
  </si>
  <si>
    <t>鹤岗萝北</t>
  </si>
  <si>
    <t>约22.33%</t>
    <phoneticPr fontId="6" type="noConversion"/>
  </si>
  <si>
    <r>
      <t>23164-3</t>
    </r>
    <r>
      <rPr>
        <sz val="11"/>
        <color theme="1"/>
        <rFont val="宋体"/>
        <family val="2"/>
        <scheme val="minor"/>
      </rPr>
      <t/>
    </r>
  </si>
  <si>
    <t>克州乌恰200MW风电项目</t>
    <phoneticPr fontId="21" type="noConversion"/>
  </si>
  <si>
    <t>2025.11.21</t>
    <phoneticPr fontId="6" type="noConversion"/>
  </si>
  <si>
    <t>23113-1</t>
    <phoneticPr fontId="6" type="noConversion"/>
  </si>
  <si>
    <r>
      <t>23113-2</t>
    </r>
    <r>
      <rPr>
        <sz val="11"/>
        <color theme="1"/>
        <rFont val="宋体"/>
        <family val="2"/>
        <scheme val="minor"/>
      </rPr>
      <t/>
    </r>
  </si>
  <si>
    <t>约93.51%</t>
    <phoneticPr fontId="6" type="noConversion"/>
  </si>
  <si>
    <t>2025.11.23</t>
    <phoneticPr fontId="6" type="noConversion"/>
  </si>
  <si>
    <t>2025.11.24</t>
    <phoneticPr fontId="6" type="noConversion"/>
  </si>
  <si>
    <t>青岛木成林物资有限公司</t>
    <phoneticPr fontId="6" type="noConversion"/>
  </si>
  <si>
    <t>圣境山</t>
    <phoneticPr fontId="6" type="noConversion"/>
  </si>
  <si>
    <t>华电哈密新能源有限公司</t>
    <phoneticPr fontId="21" type="noConversion"/>
  </si>
  <si>
    <t>2025.11.25</t>
    <phoneticPr fontId="6" type="noConversion"/>
  </si>
  <si>
    <t>龙源巴里坤风力发电有限公司</t>
    <phoneticPr fontId="6" type="noConversion"/>
  </si>
  <si>
    <t>25108-1</t>
    <phoneticPr fontId="6" type="noConversion"/>
  </si>
  <si>
    <t>25108-2</t>
  </si>
  <si>
    <t>25108-3</t>
  </si>
  <si>
    <t>三塘湖一二期</t>
    <phoneticPr fontId="6" type="noConversion"/>
  </si>
  <si>
    <t>三塘湖三四期</t>
    <phoneticPr fontId="6" type="noConversion"/>
  </si>
  <si>
    <t>望洋台</t>
    <phoneticPr fontId="6" type="noConversion"/>
  </si>
  <si>
    <t>2025.11.26</t>
    <phoneticPr fontId="6" type="noConversion"/>
  </si>
  <si>
    <t>长岭中电投第二风力发电有限公司</t>
    <phoneticPr fontId="6" type="noConversion"/>
  </si>
  <si>
    <t>长岭中电投第一风力发电有限公司</t>
    <phoneticPr fontId="6" type="noConversion"/>
  </si>
  <si>
    <t>2025.11.27</t>
    <phoneticPr fontId="6" type="noConversion"/>
  </si>
  <si>
    <t>2025.11.28</t>
    <phoneticPr fontId="6" type="noConversion"/>
  </si>
  <si>
    <t>古田中电建新能源发电有限公司</t>
    <phoneticPr fontId="6" type="noConversion"/>
  </si>
  <si>
    <t>天山北麓基地610万千瓦新能源项目</t>
    <phoneticPr fontId="21" type="noConversion"/>
  </si>
  <si>
    <t>短期软件；超短期软件；系统硬件；预测服务5年</t>
    <phoneticPr fontId="21" type="noConversion"/>
  </si>
  <si>
    <t>约67.22%</t>
    <phoneticPr fontId="6" type="noConversion"/>
  </si>
  <si>
    <t>2025.12.2</t>
    <phoneticPr fontId="6" type="noConversion"/>
  </si>
  <si>
    <t>2025.12.3</t>
    <phoneticPr fontId="6" type="noConversion"/>
  </si>
  <si>
    <t>中广核龙江风力发电有限公司</t>
    <phoneticPr fontId="6" type="noConversion"/>
  </si>
  <si>
    <t>2025.12.4</t>
    <phoneticPr fontId="6" type="noConversion"/>
  </si>
  <si>
    <t>宁安老爷岭风力发电有限公司</t>
    <phoneticPr fontId="6" type="noConversion"/>
  </si>
  <si>
    <t>双鸭山杨木岗风力发电有限公司</t>
    <phoneticPr fontId="6" type="noConversion"/>
  </si>
  <si>
    <t>肇东中广核新能源科技开发有限公司</t>
    <phoneticPr fontId="6" type="noConversion"/>
  </si>
  <si>
    <t>大庆红骥风力发电有限公司</t>
    <phoneticPr fontId="6" type="noConversion"/>
  </si>
  <si>
    <t>2025.12.5</t>
    <phoneticPr fontId="6" type="noConversion"/>
  </si>
  <si>
    <t>阳光智维科技股份有限公司</t>
    <phoneticPr fontId="6" type="noConversion"/>
  </si>
  <si>
    <t>2025.12.8</t>
    <phoneticPr fontId="6" type="noConversion"/>
  </si>
  <si>
    <t>2025.12.9</t>
    <phoneticPr fontId="6" type="noConversion"/>
  </si>
  <si>
    <t>大唐巴里坤风电开发有限公司</t>
    <phoneticPr fontId="6" type="noConversion"/>
  </si>
  <si>
    <t>新疆龙源新能源有限公司</t>
    <phoneticPr fontId="6" type="noConversion"/>
  </si>
  <si>
    <r>
      <t>22154-2</t>
    </r>
    <r>
      <rPr>
        <sz val="11"/>
        <color theme="1"/>
        <rFont val="宋体"/>
        <family val="2"/>
        <scheme val="minor"/>
      </rPr>
      <t/>
    </r>
  </si>
  <si>
    <t>剩余进度款</t>
    <phoneticPr fontId="6" type="noConversion"/>
  </si>
  <si>
    <t>约6.48%</t>
    <phoneticPr fontId="6" type="noConversion"/>
  </si>
  <si>
    <t>24115-3</t>
  </si>
  <si>
    <t>24115-4</t>
  </si>
  <si>
    <t>24115-5</t>
  </si>
  <si>
    <t>大庆银浪（大庆银浪+大庆宏伟）</t>
  </si>
  <si>
    <t>24115-1</t>
    <phoneticPr fontId="6" type="noConversion"/>
  </si>
  <si>
    <t>24115-2</t>
  </si>
  <si>
    <t>丹江</t>
  </si>
  <si>
    <t>24115-10</t>
  </si>
  <si>
    <t>富荣</t>
  </si>
  <si>
    <t>24115-8</t>
  </si>
  <si>
    <t>24115-13</t>
  </si>
  <si>
    <t>五莲湖</t>
  </si>
  <si>
    <t>25129-1</t>
    <phoneticPr fontId="6" type="noConversion"/>
  </si>
  <si>
    <t>25129-2</t>
  </si>
  <si>
    <t>25129-3</t>
  </si>
  <si>
    <t>25129-4</t>
  </si>
  <si>
    <t>25129-5</t>
  </si>
  <si>
    <t>25129-6</t>
  </si>
  <si>
    <t>25129-7</t>
  </si>
  <si>
    <t>中能建吉西基地鲁固直流白城140万千瓦外送项目大安单元</t>
  </si>
  <si>
    <t>国家电投通榆单元配套220KV升压站</t>
  </si>
  <si>
    <t>24115-14</t>
  </si>
  <si>
    <t>24115-15</t>
  </si>
  <si>
    <t>通宝</t>
  </si>
  <si>
    <t>25130-1</t>
    <phoneticPr fontId="6" type="noConversion"/>
  </si>
  <si>
    <t>25130-2</t>
  </si>
  <si>
    <t>25130-3</t>
  </si>
  <si>
    <t>25130-4</t>
  </si>
  <si>
    <t>辽宁</t>
  </si>
  <si>
    <t>铁岭调兵山华仪+三峡能源泉眼沟</t>
  </si>
  <si>
    <t>三峡威远</t>
  </si>
  <si>
    <t>庄河</t>
  </si>
  <si>
    <t>17个风光电场</t>
    <phoneticPr fontId="6" type="noConversion"/>
  </si>
  <si>
    <t>风电功率预测
光伏功率预测</t>
    <phoneticPr fontId="21" type="noConversion"/>
  </si>
  <si>
    <t>短期软件；超短期软件；系统硬件；集控高级应用；预测服务1年；其他现代服务</t>
    <phoneticPr fontId="6" type="noConversion"/>
  </si>
  <si>
    <t>2025.12.11</t>
    <phoneticPr fontId="6" type="noConversion"/>
  </si>
  <si>
    <t>江口</t>
    <phoneticPr fontId="21" type="noConversion"/>
  </si>
  <si>
    <t>2025.12.15</t>
    <phoneticPr fontId="6" type="noConversion"/>
  </si>
  <si>
    <t>2025.12.17</t>
    <phoneticPr fontId="6" type="noConversion"/>
  </si>
  <si>
    <t>三峡新能源富裕风电有限公司</t>
    <phoneticPr fontId="6" type="noConversion"/>
  </si>
  <si>
    <t>国电投（兴安）风电有限公司</t>
    <phoneticPr fontId="6" type="noConversion"/>
  </si>
  <si>
    <t>2025.12.22</t>
    <phoneticPr fontId="6" type="noConversion"/>
  </si>
  <si>
    <t>塔城托里</t>
    <phoneticPr fontId="21" type="noConversion"/>
  </si>
  <si>
    <t>结算款</t>
    <phoneticPr fontId="6" type="noConversion"/>
  </si>
  <si>
    <t>五凌小草湖南风电一场</t>
    <phoneticPr fontId="21" type="noConversion"/>
  </si>
  <si>
    <t>系统硬件；测风塔；测风塔设备</t>
    <phoneticPr fontId="21" type="noConversion"/>
  </si>
  <si>
    <t>竣工款</t>
    <phoneticPr fontId="6" type="noConversion"/>
  </si>
  <si>
    <t>2025.12.23</t>
    <phoneticPr fontId="6" type="noConversion"/>
  </si>
  <si>
    <t>福能埭头（莆田）风力发电有限公司</t>
    <phoneticPr fontId="6" type="noConversion"/>
  </si>
  <si>
    <t>华能湖南桂东风电有限责任公司</t>
    <phoneticPr fontId="6" type="noConversion"/>
  </si>
  <si>
    <t>新疆达坂城新能风力发电有限责任公司</t>
    <phoneticPr fontId="6" type="noConversion"/>
  </si>
  <si>
    <t>2025.12.24</t>
    <phoneticPr fontId="6" type="noConversion"/>
  </si>
  <si>
    <t>国家电投集团广西灵川风电有限公司</t>
    <phoneticPr fontId="6" type="noConversion"/>
  </si>
  <si>
    <t>2025.12.26</t>
    <phoneticPr fontId="6" type="noConversion"/>
  </si>
  <si>
    <t>福建惠安风力发电有限责任公司</t>
    <phoneticPr fontId="6" type="noConversion"/>
  </si>
  <si>
    <t>吉林里程协合风力发电有限公司</t>
    <phoneticPr fontId="6" type="noConversion"/>
  </si>
  <si>
    <t>扶余市吉瑞风能有限公司</t>
    <phoneticPr fontId="6" type="noConversion"/>
  </si>
  <si>
    <t>国家电投</t>
    <phoneticPr fontId="21" type="noConversion"/>
  </si>
  <si>
    <t>预付款+验收款</t>
    <phoneticPr fontId="6" type="noConversion"/>
  </si>
  <si>
    <t>国电投（兴安）风电有限公司
国家电投集团广西兴安风电有限公司</t>
    <phoneticPr fontId="21" type="noConversion"/>
  </si>
  <si>
    <t>25121-1</t>
    <phoneticPr fontId="6" type="noConversion"/>
  </si>
  <si>
    <t>25121-2</t>
  </si>
  <si>
    <t>马家</t>
    <phoneticPr fontId="21" type="noConversion"/>
  </si>
  <si>
    <t>古田</t>
    <phoneticPr fontId="21" type="noConversion"/>
  </si>
  <si>
    <t>特殊销售合同回款</t>
    <phoneticPr fontId="6" type="noConversion"/>
  </si>
  <si>
    <t>华能清洁能源有限公司</t>
    <phoneticPr fontId="21" type="noConversion"/>
  </si>
  <si>
    <t>短期软件；超短期软件；系统硬件；集控高级应用；预测服务1年</t>
    <phoneticPr fontId="21" type="noConversion"/>
  </si>
  <si>
    <t>约97.01%</t>
    <phoneticPr fontId="6" type="noConversion"/>
  </si>
  <si>
    <t>2025.12.29</t>
    <phoneticPr fontId="6" type="noConversion"/>
  </si>
  <si>
    <t>大唐孙吴新能源有限公司</t>
    <phoneticPr fontId="6" type="noConversion"/>
  </si>
  <si>
    <t>大唐黑龙江新能源开发有限公司集贤太平风力发电分公司</t>
    <phoneticPr fontId="6" type="noConversion"/>
  </si>
  <si>
    <t>2025.12.30</t>
    <phoneticPr fontId="6" type="noConversion"/>
  </si>
  <si>
    <t>2025.12.31</t>
    <phoneticPr fontId="6" type="noConversion"/>
  </si>
  <si>
    <t>约66.66%</t>
    <phoneticPr fontId="6" type="noConversion"/>
  </si>
  <si>
    <t>新能发展达坂城</t>
    <phoneticPr fontId="6" type="noConversion"/>
  </si>
  <si>
    <t>约0.85%</t>
    <phoneticPr fontId="6" type="noConversion"/>
  </si>
  <si>
    <t>福家田</t>
    <phoneticPr fontId="21" type="noConversion"/>
  </si>
  <si>
    <t>大唐辽宁铁岭昌图金山二期15万项目</t>
    <phoneticPr fontId="21" type="noConversion"/>
  </si>
  <si>
    <t>约94.12%</t>
    <phoneticPr fontId="6" type="noConversion"/>
  </si>
  <si>
    <t>25002-1</t>
    <phoneticPr fontId="6" type="noConversion"/>
  </si>
  <si>
    <t>25002-2</t>
  </si>
  <si>
    <t>约75.57%</t>
    <phoneticPr fontId="6" type="noConversion"/>
  </si>
  <si>
    <t>李妍
郭文明</t>
    <phoneticPr fontId="6" type="noConversion"/>
  </si>
  <si>
    <t>现金回款15.44万元，拆成两个项目，24043为质保款3.86万元，剩余11.58万元为24163回款</t>
    <phoneticPr fontId="6" type="noConversion"/>
  </si>
  <si>
    <t>现金回款15.44万元，拆成两个项目,24043为质保款3.86万元，剩余11.58万元为24163回款
2025.12.31现金回款190.173万元，和剩余的11.58万元合并处理。11.58+190.173=201.753万元</t>
    <phoneticPr fontId="6" type="noConversion"/>
  </si>
  <si>
    <t>约31.78%</t>
    <phoneticPr fontId="6" type="noConversion"/>
  </si>
  <si>
    <t>约31.83%</t>
    <phoneticPr fontId="6" type="noConversion"/>
  </si>
  <si>
    <t>2026年销售合同回款登记台账</t>
    <phoneticPr fontId="11" type="noConversion"/>
  </si>
  <si>
    <t>2026年合计</t>
    <phoneticPr fontId="11" type="noConversion"/>
  </si>
  <si>
    <t>黑龙江祥鹤新能源有限公司</t>
    <phoneticPr fontId="11" type="noConversion"/>
  </si>
  <si>
    <t>24115-9</t>
  </si>
  <si>
    <t>24115-11</t>
  </si>
  <si>
    <t>24115-12</t>
  </si>
  <si>
    <t>鹤鸣湖</t>
  </si>
  <si>
    <t>金海</t>
  </si>
  <si>
    <t>齐齐哈尔祥鹤</t>
  </si>
  <si>
    <t>2026.1.7</t>
    <phoneticPr fontId="11" type="noConversion"/>
  </si>
  <si>
    <t>2026.1.8</t>
    <phoneticPr fontId="11" type="noConversion"/>
  </si>
  <si>
    <t>2026.1.9</t>
    <phoneticPr fontId="11" type="noConversion"/>
  </si>
  <si>
    <t>众联能源科技（大连）有限公司</t>
    <phoneticPr fontId="11" type="noConversion"/>
  </si>
  <si>
    <t>到货款+部分质保款</t>
    <phoneticPr fontId="11" type="noConversion"/>
  </si>
  <si>
    <t>2026.1.12</t>
    <phoneticPr fontId="11" type="noConversion"/>
  </si>
  <si>
    <t>中广核新能源明水有限公司</t>
    <phoneticPr fontId="11" type="noConversion"/>
  </si>
  <si>
    <t>2026.1.14</t>
    <phoneticPr fontId="11" type="noConversion"/>
  </si>
  <si>
    <t>2026.1.15</t>
    <phoneticPr fontId="11" type="noConversion"/>
  </si>
  <si>
    <t>讷河市东庆新能源有限公司</t>
    <phoneticPr fontId="11" type="noConversion"/>
  </si>
  <si>
    <t>2026.1.16</t>
    <phoneticPr fontId="11" type="noConversion"/>
  </si>
  <si>
    <t>24115-7</t>
  </si>
  <si>
    <t>通肯河</t>
  </si>
  <si>
    <t>2026.1.19</t>
    <phoneticPr fontId="11" type="noConversion"/>
  </si>
  <si>
    <t>向阳</t>
  </si>
  <si>
    <t>系统硬件维护；测风塔维护；预测服务1年</t>
  </si>
  <si>
    <t>2026.1.20</t>
    <phoneticPr fontId="11" type="noConversion"/>
  </si>
  <si>
    <t>中广核新能源乾安有限公司光伏分公司</t>
    <phoneticPr fontId="11" type="noConversion"/>
  </si>
  <si>
    <t>2026.1.21</t>
    <phoneticPr fontId="11" type="noConversion"/>
  </si>
  <si>
    <t>中广核新能源乾安有限公司乾南分公司</t>
    <phoneticPr fontId="11" type="noConversion"/>
  </si>
  <si>
    <t>白山市重点边防乡村振兴</t>
  </si>
  <si>
    <t>中铁二十一局集团酒泉鑫能工程有限公司克东广通风电项目部
中铁二十一局集团酒泉鑫能工程有限公司</t>
    <phoneticPr fontId="21" type="noConversion"/>
  </si>
  <si>
    <t>克东广通200MW风电项目</t>
  </si>
  <si>
    <t>约62.02%</t>
    <phoneticPr fontId="11" type="noConversion"/>
  </si>
  <si>
    <t>2026.1.23</t>
    <phoneticPr fontId="11" type="noConversion"/>
  </si>
  <si>
    <t>新疆天风发电股份有限公司</t>
    <phoneticPr fontId="11" type="noConversion"/>
  </si>
  <si>
    <t>新疆龙源新能源有限公司乌鲁木齐分公司</t>
    <phoneticPr fontId="11" type="noConversion"/>
  </si>
  <si>
    <t>大唐中电(吉林)发电有限公司洮南大通风电场</t>
    <phoneticPr fontId="11" type="noConversion"/>
  </si>
  <si>
    <t>龙源</t>
  </si>
  <si>
    <t>达坂城二场</t>
  </si>
  <si>
    <t>达坂城三场五期</t>
  </si>
  <si>
    <t>中电投新疆能源化工集团博州有限责任公司</t>
    <phoneticPr fontId="11" type="noConversion"/>
  </si>
  <si>
    <t>博州公司伊犁特克斯县风电项目</t>
  </si>
  <si>
    <t>系统硬件；软件升级</t>
    <phoneticPr fontId="6" type="noConversion"/>
  </si>
  <si>
    <t>2026.1.26</t>
    <phoneticPr fontId="11" type="noConversion"/>
  </si>
  <si>
    <t>沈阳能投</t>
  </si>
  <si>
    <t>红旗</t>
  </si>
  <si>
    <t>约19.59%</t>
    <phoneticPr fontId="11" type="noConversion"/>
  </si>
  <si>
    <t>三骏</t>
    <phoneticPr fontId="6" type="noConversion"/>
  </si>
  <si>
    <t>技术服务（电力交易系统转发）</t>
    <phoneticPr fontId="6" type="noConversion"/>
  </si>
  <si>
    <t>特殊销售合同回款</t>
    <phoneticPr fontId="11" type="noConversion"/>
  </si>
  <si>
    <t>24061-1</t>
    <phoneticPr fontId="6" type="noConversion"/>
  </si>
  <si>
    <t>24061-2</t>
    <phoneticPr fontId="6" type="noConversion"/>
  </si>
  <si>
    <t>2026.1.27</t>
    <phoneticPr fontId="11" type="noConversion"/>
  </si>
  <si>
    <t>长岭县世景新能源有限公司</t>
    <phoneticPr fontId="11" type="noConversion"/>
  </si>
  <si>
    <t>前郭县成瑞风能有限公司</t>
    <phoneticPr fontId="11" type="noConversion"/>
  </si>
  <si>
    <t>蒙东协合镇赉第二风力发电有限公司</t>
    <phoneticPr fontId="11" type="noConversion"/>
  </si>
  <si>
    <t>松原市上元新能源有限公司</t>
    <phoneticPr fontId="11" type="noConversion"/>
  </si>
  <si>
    <t>大兴</t>
    <phoneticPr fontId="6" type="noConversion"/>
  </si>
  <si>
    <t>富邦</t>
    <phoneticPr fontId="6" type="noConversion"/>
  </si>
  <si>
    <t>海浪</t>
  </si>
  <si>
    <t>通榆边昭风力发电有限公司</t>
    <phoneticPr fontId="11" type="noConversion"/>
  </si>
  <si>
    <t>宝龙</t>
    <phoneticPr fontId="6" type="noConversion"/>
  </si>
  <si>
    <t>2025.5.26</t>
    <phoneticPr fontId="6" type="noConversion"/>
  </si>
  <si>
    <t>2026.1.28</t>
    <phoneticPr fontId="11" type="noConversion"/>
  </si>
  <si>
    <t>前郭富汇风能有限公司</t>
    <phoneticPr fontId="11" type="noConversion"/>
  </si>
  <si>
    <t>通榆开通风力发电有限公司</t>
    <phoneticPr fontId="11" type="noConversion"/>
  </si>
  <si>
    <t>大唐黑龙江新能源开发有限公司华安（齐齐哈尔）风力发电分公司</t>
    <phoneticPr fontId="11" type="noConversion"/>
  </si>
  <si>
    <t>2026.1.29</t>
    <phoneticPr fontId="11" type="noConversion"/>
  </si>
  <si>
    <t>2026.1.30</t>
    <phoneticPr fontId="11" type="noConversion"/>
  </si>
  <si>
    <t>陕西上润自动化工程有限公司</t>
    <phoneticPr fontId="11" type="noConversion"/>
  </si>
  <si>
    <t>2026.1.31</t>
    <phoneticPr fontId="11" type="noConversion"/>
  </si>
  <si>
    <t>王府</t>
    <phoneticPr fontId="6" type="noConversion"/>
  </si>
  <si>
    <t>新胜</t>
    <phoneticPr fontId="6" type="noConversion"/>
  </si>
  <si>
    <t>广东能源</t>
  </si>
  <si>
    <t>克拉玛依30万千瓦</t>
  </si>
  <si>
    <r>
      <t>21125-2</t>
    </r>
    <r>
      <rPr>
        <sz val="11"/>
        <color theme="1"/>
        <rFont val="宋体"/>
        <family val="2"/>
        <scheme val="minor"/>
      </rPr>
      <t/>
    </r>
    <phoneticPr fontId="6" type="noConversion"/>
  </si>
  <si>
    <t>约7.7%</t>
    <phoneticPr fontId="11" type="noConversion"/>
  </si>
  <si>
    <t>剩余阶段款</t>
    <phoneticPr fontId="11" type="noConversion"/>
  </si>
  <si>
    <t>约15.08</t>
    <phoneticPr fontId="11" type="noConversion"/>
  </si>
  <si>
    <t>约14.43%</t>
    <phoneticPr fontId="11" type="noConversion"/>
  </si>
  <si>
    <t>约4.24</t>
    <phoneticPr fontId="11" type="noConversion"/>
  </si>
  <si>
    <t>2026.2.5</t>
    <phoneticPr fontId="11" type="noConversion"/>
  </si>
  <si>
    <t>2026.2.9</t>
    <phoneticPr fontId="11" type="noConversion"/>
  </si>
  <si>
    <t>2026.2.10</t>
    <phoneticPr fontId="11" type="noConversion"/>
  </si>
  <si>
    <t>巴里坤甬坤能源有限公司</t>
    <phoneticPr fontId="11" type="noConversion"/>
  </si>
  <si>
    <t>2026.2.11</t>
    <phoneticPr fontId="11" type="noConversion"/>
  </si>
  <si>
    <t>2026.2.12</t>
    <phoneticPr fontId="11" type="noConversion"/>
  </si>
  <si>
    <t>新疆天风发电股份有限公司托里风电厂</t>
    <phoneticPr fontId="11" type="noConversion"/>
  </si>
  <si>
    <t>质保金</t>
    <phoneticPr fontId="11" type="noConversion"/>
  </si>
  <si>
    <t>达坂城三场一二期</t>
  </si>
  <si>
    <t>约39.39%</t>
    <phoneticPr fontId="11" type="noConversion"/>
  </si>
  <si>
    <t>2026.2.14</t>
    <phoneticPr fontId="11" type="noConversion"/>
  </si>
  <si>
    <t>草山</t>
  </si>
  <si>
    <t>2026.3.4</t>
    <phoneticPr fontId="11" type="noConversion"/>
  </si>
  <si>
    <t>新疆大兴恒业电子科技有限公司</t>
    <phoneticPr fontId="11" type="noConversion"/>
  </si>
  <si>
    <t>2026.3.9</t>
    <phoneticPr fontId="11" type="noConversion"/>
  </si>
  <si>
    <t>国网黑龙江省电力有限公司</t>
    <phoneticPr fontId="11" type="noConversion"/>
  </si>
  <si>
    <t>2026.3.10</t>
    <phoneticPr fontId="11" type="noConversion"/>
  </si>
  <si>
    <t>2026.3.11</t>
    <phoneticPr fontId="11" type="noConversion"/>
  </si>
  <si>
    <t>2026.3.16</t>
    <phoneticPr fontId="11" type="noConversion"/>
  </si>
  <si>
    <t>预测服务1年；技术服务</t>
    <phoneticPr fontId="6" type="noConversion"/>
  </si>
  <si>
    <t>2026.3.18</t>
    <phoneticPr fontId="11" type="noConversion"/>
  </si>
  <si>
    <t>2026.3.19</t>
    <phoneticPr fontId="11" type="noConversion"/>
  </si>
  <si>
    <t>七台河万龙风力发电有限公司</t>
    <phoneticPr fontId="11" type="noConversion"/>
  </si>
  <si>
    <t>七里嘎山（七里嘎山+前锋）</t>
    <phoneticPr fontId="21" type="noConversion"/>
  </si>
  <si>
    <t>万龙</t>
    <phoneticPr fontId="21" type="noConversion"/>
  </si>
  <si>
    <t>轮台100MW光伏项目</t>
  </si>
  <si>
    <t>预测服务15个月</t>
  </si>
  <si>
    <t>2026.3.20</t>
    <phoneticPr fontId="6" type="noConversion"/>
  </si>
  <si>
    <t>2026.3.23</t>
    <phoneticPr fontId="6" type="noConversion"/>
  </si>
  <si>
    <t>大唐中电(吉林)新能源发电有限公司双辽分公司</t>
    <phoneticPr fontId="6" type="noConversion"/>
  </si>
  <si>
    <t>新疆丝路泰元能源有限责任公司</t>
    <phoneticPr fontId="6" type="noConversion"/>
  </si>
  <si>
    <t>吉林通榆新唐发电有限公司</t>
    <phoneticPr fontId="6" type="noConversion"/>
  </si>
  <si>
    <t>2026.3.24</t>
    <phoneticPr fontId="6" type="noConversion"/>
  </si>
  <si>
    <t>约60.61%</t>
    <phoneticPr fontId="6" type="noConversion"/>
  </si>
  <si>
    <t>约42.42%</t>
    <phoneticPr fontId="6" type="noConversion"/>
  </si>
  <si>
    <t>2026.3.26</t>
    <phoneticPr fontId="6" type="noConversion"/>
  </si>
  <si>
    <t>华电宁安市新能源有限公司</t>
    <phoneticPr fontId="6" type="noConversion"/>
  </si>
  <si>
    <t>吉林省鼎辰机械设备有限公司</t>
    <phoneticPr fontId="6" type="noConversion"/>
  </si>
  <si>
    <t>国家能源</t>
  </si>
  <si>
    <t>新安</t>
  </si>
  <si>
    <t>短期软件；超短期软件；系统硬件；预测服务2年</t>
    <phoneticPr fontId="21" type="noConversion"/>
  </si>
  <si>
    <t>2026.3.31</t>
    <phoneticPr fontId="6" type="noConversion"/>
  </si>
  <si>
    <t>明阳智慧能源集团股份公司</t>
    <phoneticPr fontId="6" type="noConversion"/>
  </si>
  <si>
    <t>约0.0001%</t>
    <phoneticPr fontId="6" type="noConversion"/>
  </si>
  <si>
    <t>大唐辽宁铁岭宋家街15万项目</t>
    <phoneticPr fontId="21" type="noConversion"/>
  </si>
  <si>
    <t>约46.18%</t>
    <phoneticPr fontId="6" type="noConversion"/>
  </si>
  <si>
    <t>约0.88%</t>
    <phoneticPr fontId="6" type="noConversion"/>
  </si>
  <si>
    <t>2026.4.2</t>
    <phoneticPr fontId="6" type="noConversion"/>
  </si>
  <si>
    <t>2026.4.8</t>
    <phoneticPr fontId="6" type="noConversion"/>
  </si>
  <si>
    <t>2026.4.9</t>
    <phoneticPr fontId="6" type="noConversion"/>
  </si>
  <si>
    <t>2026.4.10</t>
    <phoneticPr fontId="6" type="noConversion"/>
  </si>
  <si>
    <t>战海（二期）</t>
    <phoneticPr fontId="21" type="noConversion"/>
  </si>
  <si>
    <t>曹碾沟</t>
    <phoneticPr fontId="21" type="noConversion"/>
  </si>
  <si>
    <t>2026.4.14</t>
    <phoneticPr fontId="6" type="noConversion"/>
  </si>
  <si>
    <t>2026.4.15</t>
    <phoneticPr fontId="6" type="noConversion"/>
  </si>
  <si>
    <t>新疆龙源新能源有限公司哈巴河分公司</t>
    <phoneticPr fontId="6" type="noConversion"/>
  </si>
  <si>
    <t>陕西上润自动化工程有限公司</t>
    <phoneticPr fontId="6" type="noConversion"/>
  </si>
  <si>
    <t>2026.4.17</t>
    <phoneticPr fontId="6" type="noConversion"/>
  </si>
  <si>
    <t>江苏金风软件技术有限公司</t>
    <phoneticPr fontId="6" type="noConversion"/>
  </si>
  <si>
    <t>萨尔塔木</t>
    <phoneticPr fontId="6" type="noConversion"/>
  </si>
  <si>
    <t>2026.4.20</t>
    <phoneticPr fontId="6" type="noConversion"/>
  </si>
  <si>
    <t>软件升级</t>
  </si>
  <si>
    <t>约22.58%</t>
    <phoneticPr fontId="6" type="noConversion"/>
  </si>
  <si>
    <t>约1.58%</t>
    <phoneticPr fontId="6" type="noConversion"/>
  </si>
  <si>
    <t>约1.52%</t>
    <phoneticPr fontId="6" type="noConversion"/>
  </si>
  <si>
    <t>2026.4.27</t>
    <phoneticPr fontId="6" type="noConversion"/>
  </si>
  <si>
    <t>2026.4.28</t>
    <phoneticPr fontId="6" type="noConversion"/>
  </si>
  <si>
    <t>2026.4.29</t>
    <phoneticPr fontId="6" type="noConversion"/>
  </si>
  <si>
    <t>2026.4.30</t>
    <phoneticPr fontId="6" type="noConversion"/>
  </si>
  <si>
    <t>绥滨县中金宝宜新能源有限公司</t>
    <phoneticPr fontId="6" type="noConversion"/>
  </si>
  <si>
    <t>大唐中电(吉林)发电有限公司洮南大通风电场</t>
    <phoneticPr fontId="6" type="noConversion"/>
  </si>
  <si>
    <t>约15.15%</t>
    <phoneticPr fontId="6" type="noConversion"/>
  </si>
  <si>
    <t>约66.12%</t>
    <phoneticPr fontId="6" type="noConversion"/>
  </si>
  <si>
    <t>阶段款</t>
    <phoneticPr fontId="6" type="noConversion"/>
  </si>
  <si>
    <t>北正（一期）</t>
    <phoneticPr fontId="21" type="noConversion"/>
  </si>
  <si>
    <t>黑鱼泡（四期）</t>
    <phoneticPr fontId="21" type="noConversion"/>
  </si>
  <si>
    <t>三井子（一期）</t>
    <phoneticPr fontId="21" type="noConversion"/>
  </si>
  <si>
    <t>镇赉（一期）</t>
    <phoneticPr fontId="21" type="noConversion"/>
  </si>
  <si>
    <t>孙昭</t>
  </si>
  <si>
    <t>约18.18%</t>
    <phoneticPr fontId="6" type="noConversion"/>
  </si>
  <si>
    <t>剩余服务费</t>
    <phoneticPr fontId="6" type="noConversion"/>
  </si>
  <si>
    <t>2026.4.21</t>
    <phoneticPr fontId="6" type="noConversion"/>
  </si>
  <si>
    <t>约16.47%</t>
    <phoneticPr fontId="6" type="noConversion"/>
  </si>
  <si>
    <t>2026.5.6</t>
    <phoneticPr fontId="6" type="noConversion"/>
  </si>
  <si>
    <t>2026.5.8</t>
    <phoneticPr fontId="6" type="noConversion"/>
  </si>
  <si>
    <t>海伦市冠峰新能源科技有限公司</t>
    <phoneticPr fontId="6" type="noConversion"/>
  </si>
  <si>
    <t>2026.5.9</t>
    <phoneticPr fontId="6" type="noConversion"/>
  </si>
  <si>
    <t>2026.5.11</t>
    <phoneticPr fontId="6" type="noConversion"/>
  </si>
  <si>
    <t>巴彦双鸭山风力发电有限公司</t>
    <phoneticPr fontId="6" type="noConversion"/>
  </si>
  <si>
    <t>约56.66%</t>
    <phoneticPr fontId="6" type="noConversion"/>
  </si>
  <si>
    <t>建模扩容</t>
    <phoneticPr fontId="21" type="noConversion"/>
  </si>
  <si>
    <t>湘能楚天电力装备股份有限公司</t>
    <phoneticPr fontId="6" type="noConversion"/>
  </si>
  <si>
    <t>24115-6</t>
  </si>
  <si>
    <t>双津河</t>
  </si>
  <si>
    <t>2026.5.12</t>
    <phoneticPr fontId="6" type="noConversion"/>
  </si>
  <si>
    <t>2026.5.13</t>
    <phoneticPr fontId="6" type="noConversion"/>
  </si>
  <si>
    <t>国华（铜川）新能源有限公司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</si>
</sst>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0.0_);[Red]\(0.0\)"/>
    <numFmt numFmtId="177" formatCode="0.00_);[Red]\(0.00\)"/>
    <numFmt numFmtId="178" formatCode="0.0000_);[Red]\(0.0000\)"/>
    <numFmt numFmtId="179" formatCode="#,##0.00_ ;[Red]\-#,##0.00\ "/>
    <numFmt numFmtId="180" formatCode="#,##0.0_ ;[Red]\-#,##0.0\ "/>
    <numFmt numFmtId="181" formatCode="#,##0_ ;[Red]\-#,##0\ "/>
    <numFmt numFmtId="182" formatCode="#,##0.00_);[Red]\(#,##0.00\)"/>
    <numFmt numFmtId="183" formatCode="0.000%"/>
    <numFmt numFmtId="184" formatCode="0.0%"/>
    <numFmt numFmtId="185" formatCode="0_);[Red]\(0\)"/>
  </numFmts>
  <fonts count="81" x14ac:knownFonts="1">
    <font>
      <sz val="11"/>
      <color indexed="8"/>
      <name val="宋体"/>
      <family val="2"/>
      <charset val="134"/>
    </font>
    <font>
      <sz val="11"/>
      <color theme="1"/>
      <name val="宋体"/>
      <family val="2"/>
      <scheme val="minor"/>
    </font>
    <font>
      <sz val="11"/>
      <color indexed="8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4"/>
      <name val="宋体"/>
      <family val="3"/>
      <charset val="134"/>
    </font>
    <font>
      <sz val="10"/>
      <color indexed="8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name val="宋体"/>
      <family val="2"/>
      <charset val="134"/>
    </font>
    <font>
      <b/>
      <sz val="9"/>
      <color indexed="81"/>
      <name val="宋体"/>
      <family val="3"/>
      <charset val="134"/>
    </font>
    <font>
      <sz val="9"/>
      <color indexed="81"/>
      <name val="Tahoma"/>
      <family val="2"/>
    </font>
    <font>
      <sz val="9"/>
      <color rgb="FFFF0000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4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b/>
      <sz val="10"/>
      <name val="宋体"/>
      <family val="3"/>
      <charset val="134"/>
      <scheme val="major"/>
    </font>
    <font>
      <sz val="9"/>
      <name val="宋体"/>
      <family val="2"/>
      <charset val="134"/>
      <scheme val="minor"/>
    </font>
    <font>
      <sz val="10"/>
      <name val="宋体"/>
      <family val="3"/>
      <charset val="134"/>
      <scheme val="major"/>
    </font>
    <font>
      <sz val="10"/>
      <color indexed="8"/>
      <name val="宋体"/>
      <family val="3"/>
      <charset val="134"/>
      <scheme val="major"/>
    </font>
    <font>
      <b/>
      <sz val="9"/>
      <color indexed="81"/>
      <name val="Tahoma"/>
      <family val="2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color indexed="8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color indexed="8"/>
      <name val="宋体"/>
      <family val="3"/>
      <charset val="134"/>
    </font>
    <font>
      <sz val="9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color indexed="8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color rgb="FFFF0000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theme="1"/>
      <name val="宋体"/>
      <family val="3"/>
      <charset val="134"/>
    </font>
    <font>
      <sz val="9"/>
      <color theme="1"/>
      <name val="宋体"/>
      <family val="3"/>
      <charset val="134"/>
    </font>
    <font>
      <sz val="11"/>
      <color theme="1"/>
      <name val="Calibri"/>
      <family val="2"/>
    </font>
    <font>
      <sz val="11"/>
      <color theme="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</cellStyleXfs>
  <cellXfs count="1197">
    <xf numFmtId="0" fontId="0" fillId="0" borderId="0" xfId="0">
      <alignment vertical="center"/>
    </xf>
    <xf numFmtId="176" fontId="6" fillId="2" borderId="3" xfId="1" applyNumberFormat="1" applyFont="1" applyFill="1" applyBorder="1" applyAlignment="1">
      <alignment horizontal="left" vertical="center" shrinkToFit="1"/>
    </xf>
    <xf numFmtId="0" fontId="6" fillId="2" borderId="3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176" fontId="7" fillId="2" borderId="3" xfId="1" applyNumberFormat="1" applyFont="1" applyFill="1" applyBorder="1" applyAlignment="1">
      <alignment horizontal="left" vertical="center" shrinkToFit="1"/>
    </xf>
    <xf numFmtId="176" fontId="6" fillId="2" borderId="3" xfId="1" applyNumberFormat="1" applyFont="1" applyFill="1" applyBorder="1" applyAlignment="1">
      <alignment horizontal="left" vertical="center" wrapText="1" shrinkToFit="1"/>
    </xf>
    <xf numFmtId="176" fontId="7" fillId="2" borderId="3" xfId="1" applyNumberFormat="1" applyFont="1" applyFill="1" applyBorder="1" applyAlignment="1">
      <alignment vertical="center" wrapText="1" shrinkToFit="1"/>
    </xf>
    <xf numFmtId="0" fontId="4" fillId="2" borderId="3" xfId="0" applyFont="1" applyFill="1" applyBorder="1" applyAlignment="1">
      <alignment horizontal="left" vertical="center" wrapText="1"/>
    </xf>
    <xf numFmtId="176" fontId="7" fillId="2" borderId="2" xfId="1" applyNumberFormat="1" applyFont="1" applyFill="1" applyBorder="1" applyAlignment="1">
      <alignment horizontal="left" vertical="center" wrapText="1" shrinkToFit="1"/>
    </xf>
    <xf numFmtId="177" fontId="7" fillId="2" borderId="3" xfId="1" applyNumberFormat="1" applyFont="1" applyFill="1" applyBorder="1" applyAlignment="1">
      <alignment horizontal="left" vertical="center" wrapText="1"/>
    </xf>
    <xf numFmtId="177" fontId="7" fillId="2" borderId="2" xfId="1" applyNumberFormat="1" applyFont="1" applyFill="1" applyBorder="1" applyAlignment="1">
      <alignment horizontal="left" vertical="center" wrapText="1"/>
    </xf>
    <xf numFmtId="0" fontId="6" fillId="0" borderId="2" xfId="0" applyFont="1" applyBorder="1" applyAlignment="1">
      <alignment vertical="center" wrapText="1"/>
    </xf>
    <xf numFmtId="177" fontId="2" fillId="2" borderId="3" xfId="1" applyNumberForma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181" fontId="4" fillId="2" borderId="0" xfId="0" applyNumberFormat="1" applyFont="1" applyFill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181" fontId="5" fillId="2" borderId="3" xfId="0" applyNumberFormat="1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181" fontId="4" fillId="2" borderId="3" xfId="0" applyNumberFormat="1" applyFont="1" applyFill="1" applyBorder="1" applyAlignment="1">
      <alignment horizontal="right" vertical="center" wrapText="1"/>
    </xf>
    <xf numFmtId="0" fontId="6" fillId="0" borderId="3" xfId="0" applyFont="1" applyBorder="1" applyAlignment="1">
      <alignment vertical="center" wrapText="1"/>
    </xf>
    <xf numFmtId="176" fontId="6" fillId="0" borderId="3" xfId="1" applyNumberFormat="1" applyFont="1" applyBorder="1" applyAlignment="1">
      <alignment horizontal="left" vertical="center" shrinkToFit="1"/>
    </xf>
    <xf numFmtId="9" fontId="4" fillId="2" borderId="3" xfId="0" applyNumberFormat="1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/>
    </xf>
    <xf numFmtId="176" fontId="6" fillId="2" borderId="2" xfId="1" applyNumberFormat="1" applyFont="1" applyFill="1" applyBorder="1" applyAlignment="1">
      <alignment horizontal="left" vertical="center" shrinkToFit="1"/>
    </xf>
    <xf numFmtId="176" fontId="7" fillId="0" borderId="3" xfId="1" applyNumberFormat="1" applyFont="1" applyBorder="1" applyAlignment="1">
      <alignment vertical="center" wrapText="1" shrinkToFit="1"/>
    </xf>
    <xf numFmtId="176" fontId="6" fillId="0" borderId="3" xfId="1" applyNumberFormat="1" applyFont="1" applyBorder="1" applyAlignment="1">
      <alignment horizontal="left" vertical="center" wrapText="1" shrinkToFit="1"/>
    </xf>
    <xf numFmtId="176" fontId="7" fillId="0" borderId="2" xfId="1" applyNumberFormat="1" applyFont="1" applyBorder="1" applyAlignment="1">
      <alignment vertical="center" wrapText="1" shrinkToFit="1"/>
    </xf>
    <xf numFmtId="176" fontId="7" fillId="3" borderId="3" xfId="1" applyNumberFormat="1" applyFont="1" applyFill="1" applyBorder="1" applyAlignment="1">
      <alignment horizontal="center" vertical="center"/>
    </xf>
    <xf numFmtId="176" fontId="6" fillId="0" borderId="3" xfId="1" applyNumberFormat="1" applyFont="1" applyBorder="1" applyAlignment="1">
      <alignment vertical="center" wrapText="1" shrinkToFit="1"/>
    </xf>
    <xf numFmtId="176" fontId="6" fillId="0" borderId="3" xfId="1" applyNumberFormat="1" applyFont="1" applyBorder="1" applyAlignment="1">
      <alignment horizontal="center" vertical="center" shrinkToFit="1"/>
    </xf>
    <xf numFmtId="176" fontId="6" fillId="0" borderId="3" xfId="1" applyNumberFormat="1" applyFont="1" applyBorder="1" applyAlignment="1">
      <alignment horizontal="left" vertical="center" wrapText="1"/>
    </xf>
    <xf numFmtId="176" fontId="6" fillId="0" borderId="2" xfId="1" applyNumberFormat="1" applyFont="1" applyBorder="1" applyAlignment="1">
      <alignment vertical="center" wrapText="1" shrinkToFit="1"/>
    </xf>
    <xf numFmtId="177" fontId="6" fillId="0" borderId="3" xfId="1" applyNumberFormat="1" applyFont="1" applyBorder="1" applyAlignment="1">
      <alignment horizontal="left" vertical="center" wrapText="1"/>
    </xf>
    <xf numFmtId="49" fontId="15" fillId="2" borderId="3" xfId="0" applyNumberFormat="1" applyFont="1" applyFill="1" applyBorder="1" applyAlignment="1">
      <alignment horizontal="center" vertical="center" wrapText="1"/>
    </xf>
    <xf numFmtId="181" fontId="15" fillId="2" borderId="3" xfId="0" applyNumberFormat="1" applyFont="1" applyFill="1" applyBorder="1" applyAlignment="1">
      <alignment horizontal="right" vertical="center" wrapText="1"/>
    </xf>
    <xf numFmtId="9" fontId="15" fillId="2" borderId="3" xfId="0" applyNumberFormat="1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177" fontId="7" fillId="0" borderId="3" xfId="1" applyNumberFormat="1" applyFont="1" applyBorder="1" applyAlignment="1">
      <alignment horizontal="left" vertical="center" wrapText="1"/>
    </xf>
    <xf numFmtId="0" fontId="6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176" fontId="6" fillId="3" borderId="3" xfId="1" applyNumberFormat="1" applyFont="1" applyFill="1" applyBorder="1" applyAlignment="1">
      <alignment horizontal="left" vertical="center" shrinkToFit="1"/>
    </xf>
    <xf numFmtId="0" fontId="6" fillId="3" borderId="3" xfId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vertical="center" wrapText="1"/>
    </xf>
    <xf numFmtId="176" fontId="6" fillId="3" borderId="3" xfId="1" applyNumberFormat="1" applyFont="1" applyFill="1" applyBorder="1" applyAlignment="1">
      <alignment horizontal="center" vertical="center" wrapText="1" shrinkToFit="1"/>
    </xf>
    <xf numFmtId="49" fontId="4" fillId="0" borderId="3" xfId="0" applyNumberFormat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/>
    </xf>
    <xf numFmtId="181" fontId="4" fillId="0" borderId="3" xfId="0" applyNumberFormat="1" applyFont="1" applyBorder="1" applyAlignment="1">
      <alignment horizontal="right" vertical="center" wrapText="1"/>
    </xf>
    <xf numFmtId="9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" xfId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7" fontId="7" fillId="0" borderId="2" xfId="1" applyNumberFormat="1" applyFont="1" applyBorder="1" applyAlignment="1">
      <alignment horizontal="left" vertical="center" wrapText="1"/>
    </xf>
    <xf numFmtId="176" fontId="7" fillId="3" borderId="3" xfId="1" applyNumberFormat="1" applyFont="1" applyFill="1" applyBorder="1" applyAlignment="1">
      <alignment horizontal="left" vertical="center" shrinkToFit="1"/>
    </xf>
    <xf numFmtId="176" fontId="7" fillId="3" borderId="3" xfId="1" applyNumberFormat="1" applyFont="1" applyFill="1" applyBorder="1" applyAlignment="1">
      <alignment vertical="center" wrapText="1" shrinkToFit="1"/>
    </xf>
    <xf numFmtId="176" fontId="7" fillId="2" borderId="6" xfId="1" applyNumberFormat="1" applyFont="1" applyFill="1" applyBorder="1" applyAlignment="1">
      <alignment horizontal="left" vertical="center" shrinkToFit="1"/>
    </xf>
    <xf numFmtId="176" fontId="6" fillId="3" borderId="3" xfId="1" applyNumberFormat="1" applyFont="1" applyFill="1" applyBorder="1" applyAlignment="1">
      <alignment horizontal="left" vertical="center" wrapText="1" shrinkToFit="1"/>
    </xf>
    <xf numFmtId="177" fontId="7" fillId="3" borderId="3" xfId="1" applyNumberFormat="1" applyFont="1" applyFill="1" applyBorder="1" applyAlignment="1">
      <alignment horizontal="left" vertical="center" wrapText="1"/>
    </xf>
    <xf numFmtId="176" fontId="7" fillId="3" borderId="2" xfId="1" applyNumberFormat="1" applyFont="1" applyFill="1" applyBorder="1" applyAlignment="1">
      <alignment vertical="center" wrapText="1" shrinkToFit="1"/>
    </xf>
    <xf numFmtId="0" fontId="14" fillId="0" borderId="2" xfId="0" applyFont="1" applyBorder="1" applyAlignment="1">
      <alignment vertical="center" wrapText="1"/>
    </xf>
    <xf numFmtId="176" fontId="14" fillId="0" borderId="3" xfId="1" applyNumberFormat="1" applyFont="1" applyBorder="1" applyAlignment="1">
      <alignment horizontal="left" vertical="center" shrinkToFit="1"/>
    </xf>
    <xf numFmtId="181" fontId="4" fillId="0" borderId="2" xfId="0" applyNumberFormat="1" applyFont="1" applyBorder="1" applyAlignment="1">
      <alignment horizontal="right" vertical="center" wrapText="1"/>
    </xf>
    <xf numFmtId="0" fontId="7" fillId="2" borderId="3" xfId="1" applyFont="1" applyFill="1" applyBorder="1" applyAlignment="1">
      <alignment horizontal="left" vertical="center"/>
    </xf>
    <xf numFmtId="176" fontId="6" fillId="3" borderId="3" xfId="1" applyNumberFormat="1" applyFont="1" applyFill="1" applyBorder="1" applyAlignment="1">
      <alignment vertical="center" wrapText="1" shrinkToFit="1"/>
    </xf>
    <xf numFmtId="179" fontId="4" fillId="2" borderId="3" xfId="0" applyNumberFormat="1" applyFont="1" applyFill="1" applyBorder="1" applyAlignment="1">
      <alignment horizontal="right" vertical="center" wrapText="1"/>
    </xf>
    <xf numFmtId="49" fontId="16" fillId="2" borderId="3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176" fontId="14" fillId="0" borderId="3" xfId="1" applyNumberFormat="1" applyFont="1" applyBorder="1" applyAlignment="1">
      <alignment vertical="center" wrapText="1" shrinkToFit="1"/>
    </xf>
    <xf numFmtId="0" fontId="15" fillId="0" borderId="3" xfId="1" applyFont="1" applyBorder="1" applyAlignment="1">
      <alignment horizontal="center" vertical="center"/>
    </xf>
    <xf numFmtId="181" fontId="15" fillId="0" borderId="3" xfId="0" applyNumberFormat="1" applyFont="1" applyBorder="1" applyAlignment="1">
      <alignment horizontal="right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9" fillId="2" borderId="3" xfId="0" applyFont="1" applyFill="1" applyBorder="1" applyAlignment="1">
      <alignment horizontal="left" vertical="center"/>
    </xf>
    <xf numFmtId="177" fontId="5" fillId="2" borderId="3" xfId="0" applyNumberFormat="1" applyFont="1" applyFill="1" applyBorder="1" applyAlignment="1">
      <alignment horizontal="right" vertical="center" wrapText="1"/>
    </xf>
    <xf numFmtId="177" fontId="4" fillId="2" borderId="0" xfId="0" applyNumberFormat="1" applyFont="1" applyFill="1" applyAlignment="1">
      <alignment horizontal="right" vertical="center" wrapText="1"/>
    </xf>
    <xf numFmtId="49" fontId="15" fillId="3" borderId="3" xfId="0" applyNumberFormat="1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vertical="center" wrapText="1"/>
    </xf>
    <xf numFmtId="176" fontId="14" fillId="3" borderId="3" xfId="1" applyNumberFormat="1" applyFont="1" applyFill="1" applyBorder="1" applyAlignment="1">
      <alignment horizontal="left" vertical="center" shrinkToFit="1"/>
    </xf>
    <xf numFmtId="0" fontId="15" fillId="3" borderId="3" xfId="0" applyFont="1" applyFill="1" applyBorder="1" applyAlignment="1">
      <alignment horizontal="center" vertical="center" wrapText="1"/>
    </xf>
    <xf numFmtId="181" fontId="15" fillId="3" borderId="3" xfId="0" applyNumberFormat="1" applyFont="1" applyFill="1" applyBorder="1" applyAlignment="1">
      <alignment horizontal="right" vertical="center" wrapText="1"/>
    </xf>
    <xf numFmtId="9" fontId="15" fillId="3" borderId="3" xfId="0" applyNumberFormat="1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176" fontId="14" fillId="3" borderId="3" xfId="1" applyNumberFormat="1" applyFont="1" applyFill="1" applyBorder="1" applyAlignment="1">
      <alignment horizontal="left" vertical="center" wrapText="1" shrinkToFit="1"/>
    </xf>
    <xf numFmtId="0" fontId="6" fillId="3" borderId="2" xfId="0" applyFont="1" applyFill="1" applyBorder="1" applyAlignment="1">
      <alignment horizontal="left" vertical="center" wrapText="1"/>
    </xf>
    <xf numFmtId="178" fontId="7" fillId="2" borderId="3" xfId="1" applyNumberFormat="1" applyFont="1" applyFill="1" applyBorder="1" applyAlignment="1">
      <alignment horizontal="left" vertical="center" wrapText="1"/>
    </xf>
    <xf numFmtId="176" fontId="7" fillId="3" borderId="2" xfId="1" applyNumberFormat="1" applyFont="1" applyFill="1" applyBorder="1" applyAlignment="1">
      <alignment horizontal="left" vertical="center" shrinkToFit="1"/>
    </xf>
    <xf numFmtId="177" fontId="6" fillId="3" borderId="3" xfId="1" applyNumberFormat="1" applyFont="1" applyFill="1" applyBorder="1" applyAlignment="1">
      <alignment horizontal="left" vertical="center" wrapText="1"/>
    </xf>
    <xf numFmtId="176" fontId="6" fillId="3" borderId="2" xfId="1" applyNumberFormat="1" applyFont="1" applyFill="1" applyBorder="1" applyAlignment="1">
      <alignment horizontal="left" vertical="center" shrinkToFit="1"/>
    </xf>
    <xf numFmtId="176" fontId="6" fillId="2" borderId="3" xfId="1" applyNumberFormat="1" applyFont="1" applyFill="1" applyBorder="1" applyAlignment="1">
      <alignment vertical="center" wrapText="1" shrinkToFit="1"/>
    </xf>
    <xf numFmtId="176" fontId="7" fillId="0" borderId="3" xfId="1" applyNumberFormat="1" applyFont="1" applyBorder="1" applyAlignment="1">
      <alignment horizontal="left" vertical="center" shrinkToFit="1"/>
    </xf>
    <xf numFmtId="49" fontId="4" fillId="3" borderId="3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181" fontId="4" fillId="3" borderId="3" xfId="0" applyNumberFormat="1" applyFont="1" applyFill="1" applyBorder="1" applyAlignment="1">
      <alignment horizontal="right" vertical="center" wrapText="1"/>
    </xf>
    <xf numFmtId="9" fontId="4" fillId="3" borderId="3" xfId="0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176" fontId="3" fillId="0" borderId="3" xfId="1" applyNumberFormat="1" applyFont="1" applyBorder="1" applyAlignment="1">
      <alignment horizontal="left" vertical="center" shrinkToFit="1"/>
    </xf>
    <xf numFmtId="176" fontId="3" fillId="2" borderId="3" xfId="1" applyNumberFormat="1" applyFont="1" applyFill="1" applyBorder="1" applyAlignment="1">
      <alignment horizontal="left" vertical="center" shrinkToFit="1"/>
    </xf>
    <xf numFmtId="176" fontId="9" fillId="3" borderId="3" xfId="1" applyNumberFormat="1" applyFont="1" applyFill="1" applyBorder="1" applyAlignment="1">
      <alignment vertical="center" wrapText="1" shrinkToFit="1"/>
    </xf>
    <xf numFmtId="180" fontId="5" fillId="2" borderId="3" xfId="0" applyNumberFormat="1" applyFont="1" applyFill="1" applyBorder="1" applyAlignment="1">
      <alignment horizontal="right" vertical="center" wrapText="1"/>
    </xf>
    <xf numFmtId="181" fontId="4" fillId="2" borderId="0" xfId="0" applyNumberFormat="1" applyFont="1" applyFill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181" fontId="20" fillId="0" borderId="3" xfId="0" applyNumberFormat="1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49" fontId="22" fillId="0" borderId="3" xfId="0" applyNumberFormat="1" applyFont="1" applyBorder="1" applyAlignment="1">
      <alignment horizontal="center" vertical="center" wrapText="1"/>
    </xf>
    <xf numFmtId="181" fontId="22" fillId="0" borderId="3" xfId="0" applyNumberFormat="1" applyFont="1" applyBorder="1" applyAlignment="1">
      <alignment horizontal="right" vertical="center" wrapText="1"/>
    </xf>
    <xf numFmtId="49" fontId="22" fillId="3" borderId="3" xfId="0" applyNumberFormat="1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left" vertical="center" wrapText="1"/>
    </xf>
    <xf numFmtId="0" fontId="22" fillId="3" borderId="3" xfId="0" applyFont="1" applyFill="1" applyBorder="1" applyAlignment="1">
      <alignment horizontal="center" vertical="center" wrapText="1"/>
    </xf>
    <xf numFmtId="181" fontId="22" fillId="3" borderId="3" xfId="0" applyNumberFormat="1" applyFont="1" applyFill="1" applyBorder="1" applyAlignment="1">
      <alignment horizontal="right" vertical="center" wrapText="1"/>
    </xf>
    <xf numFmtId="0" fontId="22" fillId="3" borderId="0" xfId="0" applyFont="1" applyFill="1" applyAlignment="1">
      <alignment horizontal="center" vertical="center" wrapText="1"/>
    </xf>
    <xf numFmtId="9" fontId="22" fillId="3" borderId="3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9" fontId="22" fillId="0" borderId="3" xfId="0" applyNumberFormat="1" applyFont="1" applyBorder="1" applyAlignment="1">
      <alignment horizontal="center" vertical="center" wrapText="1"/>
    </xf>
    <xf numFmtId="180" fontId="22" fillId="3" borderId="3" xfId="0" applyNumberFormat="1" applyFont="1" applyFill="1" applyBorder="1" applyAlignment="1">
      <alignment horizontal="right" vertical="center" wrapText="1"/>
    </xf>
    <xf numFmtId="0" fontId="4" fillId="3" borderId="3" xfId="0" applyFont="1" applyFill="1" applyBorder="1" applyAlignment="1">
      <alignment horizontal="center" vertical="center"/>
    </xf>
    <xf numFmtId="181" fontId="22" fillId="3" borderId="2" xfId="0" applyNumberFormat="1" applyFont="1" applyFill="1" applyBorder="1" applyAlignment="1">
      <alignment horizontal="right" vertical="center" wrapText="1"/>
    </xf>
    <xf numFmtId="0" fontId="4" fillId="3" borderId="3" xfId="1" applyFont="1" applyFill="1" applyBorder="1" applyAlignment="1">
      <alignment horizontal="center" vertical="center"/>
    </xf>
    <xf numFmtId="0" fontId="16" fillId="0" borderId="3" xfId="1" applyFont="1" applyBorder="1" applyAlignment="1">
      <alignment horizontal="center" vertical="center"/>
    </xf>
    <xf numFmtId="181" fontId="19" fillId="0" borderId="0" xfId="0" applyNumberFormat="1" applyFont="1" applyAlignment="1">
      <alignment horizontal="right" vertical="center" wrapText="1"/>
    </xf>
    <xf numFmtId="181" fontId="19" fillId="0" borderId="0" xfId="0" applyNumberFormat="1" applyFont="1" applyAlignment="1">
      <alignment horizontal="center" vertical="center" wrapText="1"/>
    </xf>
    <xf numFmtId="0" fontId="19" fillId="3" borderId="0" xfId="0" applyFont="1" applyFill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 wrapText="1"/>
    </xf>
    <xf numFmtId="181" fontId="20" fillId="3" borderId="3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 wrapText="1"/>
    </xf>
    <xf numFmtId="180" fontId="20" fillId="3" borderId="3" xfId="0" applyNumberFormat="1" applyFont="1" applyFill="1" applyBorder="1" applyAlignment="1">
      <alignment horizontal="right" vertical="center" wrapText="1"/>
    </xf>
    <xf numFmtId="181" fontId="19" fillId="3" borderId="0" xfId="0" applyNumberFormat="1" applyFont="1" applyFill="1" applyAlignment="1">
      <alignment horizontal="right" vertical="center" wrapText="1"/>
    </xf>
    <xf numFmtId="181" fontId="19" fillId="3" borderId="0" xfId="0" applyNumberFormat="1" applyFont="1" applyFill="1" applyAlignment="1">
      <alignment horizontal="center" vertical="center" wrapText="1"/>
    </xf>
    <xf numFmtId="176" fontId="4" fillId="3" borderId="3" xfId="1" applyNumberFormat="1" applyFont="1" applyFill="1" applyBorder="1" applyAlignment="1">
      <alignment horizontal="left" vertical="center" wrapText="1" shrinkToFit="1"/>
    </xf>
    <xf numFmtId="176" fontId="6" fillId="3" borderId="2" xfId="1" applyNumberFormat="1" applyFont="1" applyFill="1" applyBorder="1" applyAlignment="1">
      <alignment vertical="center" wrapText="1" shrinkToFit="1"/>
    </xf>
    <xf numFmtId="177" fontId="6" fillId="3" borderId="2" xfId="1" applyNumberFormat="1" applyFont="1" applyFill="1" applyBorder="1" applyAlignment="1">
      <alignment horizontal="left" vertical="center" wrapText="1"/>
    </xf>
    <xf numFmtId="176" fontId="6" fillId="3" borderId="2" xfId="1" applyNumberFormat="1" applyFont="1" applyFill="1" applyBorder="1" applyAlignment="1">
      <alignment horizontal="left" vertical="center" wrapText="1" shrinkToFit="1"/>
    </xf>
    <xf numFmtId="176" fontId="22" fillId="0" borderId="3" xfId="1" applyNumberFormat="1" applyFont="1" applyBorder="1" applyAlignment="1">
      <alignment horizontal="center" vertical="center" shrinkToFit="1"/>
    </xf>
    <xf numFmtId="176" fontId="23" fillId="0" borderId="3" xfId="1" applyNumberFormat="1" applyFont="1" applyBorder="1" applyAlignment="1">
      <alignment horizontal="center" vertical="center" shrinkToFit="1"/>
    </xf>
    <xf numFmtId="0" fontId="22" fillId="0" borderId="2" xfId="0" applyFont="1" applyBorder="1" applyAlignment="1">
      <alignment horizontal="center" vertical="center" wrapText="1"/>
    </xf>
    <xf numFmtId="0" fontId="22" fillId="0" borderId="3" xfId="1" applyFont="1" applyBorder="1" applyAlignment="1">
      <alignment horizontal="center" vertical="center"/>
    </xf>
    <xf numFmtId="176" fontId="9" fillId="0" borderId="3" xfId="1" applyNumberFormat="1" applyFont="1" applyBorder="1" applyAlignment="1">
      <alignment horizontal="center" vertical="center" wrapText="1" shrinkToFit="1"/>
    </xf>
    <xf numFmtId="176" fontId="16" fillId="0" borderId="3" xfId="1" applyNumberFormat="1" applyFont="1" applyBorder="1" applyAlignment="1">
      <alignment horizontal="center" vertical="center" shrinkToFit="1"/>
    </xf>
    <xf numFmtId="176" fontId="4" fillId="0" borderId="3" xfId="1" applyNumberFormat="1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wrapText="1"/>
    </xf>
    <xf numFmtId="176" fontId="4" fillId="0" borderId="3" xfId="1" applyNumberFormat="1" applyFont="1" applyBorder="1" applyAlignment="1">
      <alignment horizontal="center" vertical="center" wrapText="1"/>
    </xf>
    <xf numFmtId="176" fontId="9" fillId="0" borderId="3" xfId="1" applyNumberFormat="1" applyFont="1" applyBorder="1" applyAlignment="1">
      <alignment horizontal="center" vertical="center" shrinkToFit="1"/>
    </xf>
    <xf numFmtId="176" fontId="4" fillId="0" borderId="3" xfId="1" applyNumberFormat="1" applyFont="1" applyBorder="1" applyAlignment="1">
      <alignment horizontal="center" vertical="center" wrapText="1" shrinkToFit="1"/>
    </xf>
    <xf numFmtId="176" fontId="4" fillId="3" borderId="3" xfId="1" applyNumberFormat="1" applyFont="1" applyFill="1" applyBorder="1" applyAlignment="1">
      <alignment horizontal="center" vertical="center" shrinkToFit="1"/>
    </xf>
    <xf numFmtId="181" fontId="20" fillId="0" borderId="3" xfId="0" applyNumberFormat="1" applyFont="1" applyBorder="1" applyAlignment="1">
      <alignment horizontal="right" vertical="center" wrapText="1"/>
    </xf>
    <xf numFmtId="181" fontId="4" fillId="0" borderId="4" xfId="0" applyNumberFormat="1" applyFont="1" applyBorder="1" applyAlignment="1">
      <alignment horizontal="right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81" fontId="6" fillId="2" borderId="3" xfId="0" applyNumberFormat="1" applyFont="1" applyFill="1" applyBorder="1" applyAlignment="1">
      <alignment horizontal="right" vertical="center" wrapText="1"/>
    </xf>
    <xf numFmtId="9" fontId="6" fillId="2" borderId="3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81" fontId="6" fillId="0" borderId="3" xfId="0" applyNumberFormat="1" applyFont="1" applyBorder="1" applyAlignment="1">
      <alignment horizontal="right" vertical="center" wrapText="1"/>
    </xf>
    <xf numFmtId="9" fontId="6" fillId="0" borderId="3" xfId="0" applyNumberFormat="1" applyFont="1" applyBorder="1" applyAlignment="1">
      <alignment horizontal="center" vertical="center" wrapText="1"/>
    </xf>
    <xf numFmtId="176" fontId="25" fillId="0" borderId="3" xfId="1" applyNumberFormat="1" applyFont="1" applyBorder="1" applyAlignment="1">
      <alignment horizontal="left" vertical="center" wrapText="1" shrinkToFit="1"/>
    </xf>
    <xf numFmtId="0" fontId="25" fillId="0" borderId="5" xfId="1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49" fontId="6" fillId="3" borderId="3" xfId="0" applyNumberFormat="1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181" fontId="6" fillId="3" borderId="3" xfId="0" applyNumberFormat="1" applyFont="1" applyFill="1" applyBorder="1" applyAlignment="1">
      <alignment horizontal="right" vertical="center" wrapText="1"/>
    </xf>
    <xf numFmtId="9" fontId="4" fillId="3" borderId="3" xfId="0" applyNumberFormat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49" fontId="6" fillId="2" borderId="3" xfId="0" applyNumberFormat="1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/>
    </xf>
    <xf numFmtId="181" fontId="6" fillId="2" borderId="3" xfId="0" applyNumberFormat="1" applyFont="1" applyFill="1" applyBorder="1" applyAlignment="1">
      <alignment horizontal="center" vertical="center" wrapText="1"/>
    </xf>
    <xf numFmtId="181" fontId="6" fillId="0" borderId="3" xfId="0" applyNumberFormat="1" applyFont="1" applyBorder="1" applyAlignment="1">
      <alignment horizontal="center" vertical="center" wrapText="1"/>
    </xf>
    <xf numFmtId="179" fontId="6" fillId="2" borderId="3" xfId="0" applyNumberFormat="1" applyFont="1" applyFill="1" applyBorder="1" applyAlignment="1">
      <alignment horizontal="center" vertical="center" wrapText="1"/>
    </xf>
    <xf numFmtId="181" fontId="6" fillId="3" borderId="3" xfId="0" applyNumberFormat="1" applyFont="1" applyFill="1" applyBorder="1" applyAlignment="1">
      <alignment horizontal="center" vertical="center" wrapText="1"/>
    </xf>
    <xf numFmtId="4" fontId="6" fillId="2" borderId="3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3" borderId="3" xfId="1" applyFont="1" applyFill="1" applyBorder="1" applyAlignment="1">
      <alignment horizontal="left" vertical="center" shrinkToFit="1"/>
    </xf>
    <xf numFmtId="0" fontId="6" fillId="0" borderId="3" xfId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176" fontId="6" fillId="0" borderId="3" xfId="1" applyNumberFormat="1" applyFont="1" applyBorder="1" applyAlignment="1">
      <alignment horizontal="center" vertical="center" wrapText="1" shrinkToFit="1"/>
    </xf>
    <xf numFmtId="0" fontId="6" fillId="0" borderId="5" xfId="1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 wrapText="1"/>
    </xf>
    <xf numFmtId="9" fontId="6" fillId="0" borderId="3" xfId="0" applyNumberFormat="1" applyFont="1" applyBorder="1" applyAlignment="1">
      <alignment horizontal="center" vertical="center"/>
    </xf>
    <xf numFmtId="9" fontId="6" fillId="3" borderId="3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33" fillId="2" borderId="6" xfId="0" applyFont="1" applyFill="1" applyBorder="1" applyAlignment="1">
      <alignment horizontal="center" vertical="center" wrapText="1"/>
    </xf>
    <xf numFmtId="177" fontId="33" fillId="2" borderId="3" xfId="0" applyNumberFormat="1" applyFont="1" applyFill="1" applyBorder="1" applyAlignment="1">
      <alignment horizontal="center" vertical="center" wrapText="1"/>
    </xf>
    <xf numFmtId="177" fontId="6" fillId="2" borderId="0" xfId="0" applyNumberFormat="1" applyFont="1" applyFill="1" applyAlignment="1">
      <alignment horizontal="center" vertical="center" wrapText="1"/>
    </xf>
    <xf numFmtId="181" fontId="6" fillId="2" borderId="0" xfId="0" applyNumberFormat="1" applyFont="1" applyFill="1" applyAlignment="1">
      <alignment horizontal="center" vertical="center" wrapText="1"/>
    </xf>
    <xf numFmtId="0" fontId="35" fillId="0" borderId="5" xfId="1" applyFont="1" applyBorder="1" applyAlignment="1">
      <alignment horizontal="center" vertical="center"/>
    </xf>
    <xf numFmtId="182" fontId="5" fillId="2" borderId="3" xfId="0" applyNumberFormat="1" applyFont="1" applyFill="1" applyBorder="1" applyAlignment="1">
      <alignment horizontal="center" vertical="center" wrapText="1"/>
    </xf>
    <xf numFmtId="182" fontId="6" fillId="0" borderId="3" xfId="0" applyNumberFormat="1" applyFont="1" applyBorder="1" applyAlignment="1">
      <alignment horizontal="center" vertical="center" wrapText="1"/>
    </xf>
    <xf numFmtId="182" fontId="6" fillId="2" borderId="3" xfId="0" applyNumberFormat="1" applyFont="1" applyFill="1" applyBorder="1" applyAlignment="1">
      <alignment horizontal="center" vertical="center" wrapText="1"/>
    </xf>
    <xf numFmtId="182" fontId="33" fillId="2" borderId="6" xfId="0" applyNumberFormat="1" applyFont="1" applyFill="1" applyBorder="1" applyAlignment="1">
      <alignment horizontal="center" vertical="center" wrapText="1"/>
    </xf>
    <xf numFmtId="182" fontId="33" fillId="2" borderId="3" xfId="0" applyNumberFormat="1" applyFont="1" applyFill="1" applyBorder="1" applyAlignment="1">
      <alignment horizontal="center" vertical="center" wrapText="1"/>
    </xf>
    <xf numFmtId="182" fontId="6" fillId="2" borderId="0" xfId="0" applyNumberFormat="1" applyFont="1" applyFill="1" applyAlignment="1">
      <alignment horizontal="center" vertical="center" wrapText="1"/>
    </xf>
    <xf numFmtId="176" fontId="6" fillId="3" borderId="3" xfId="1" applyNumberFormat="1" applyFont="1" applyFill="1" applyBorder="1" applyAlignment="1">
      <alignment horizontal="center" vertical="center" shrinkToFit="1"/>
    </xf>
    <xf numFmtId="182" fontId="6" fillId="3" borderId="3" xfId="0" applyNumberFormat="1" applyFont="1" applyFill="1" applyBorder="1" applyAlignment="1">
      <alignment horizontal="center" vertical="center" wrapText="1"/>
    </xf>
    <xf numFmtId="0" fontId="33" fillId="3" borderId="3" xfId="0" applyFont="1" applyFill="1" applyBorder="1" applyAlignment="1">
      <alignment horizontal="center" vertical="center" wrapText="1"/>
    </xf>
    <xf numFmtId="0" fontId="36" fillId="0" borderId="3" xfId="1" applyFont="1" applyBorder="1" applyAlignment="1">
      <alignment horizontal="center" vertical="center" wrapText="1" shrinkToFit="1"/>
    </xf>
    <xf numFmtId="0" fontId="38" fillId="0" borderId="3" xfId="0" applyFont="1" applyBorder="1" applyAlignment="1">
      <alignment horizontal="center" vertical="center" wrapText="1"/>
    </xf>
    <xf numFmtId="177" fontId="37" fillId="0" borderId="3" xfId="0" applyNumberFormat="1" applyFont="1" applyBorder="1" applyAlignment="1">
      <alignment horizontal="center" vertical="center" wrapText="1"/>
    </xf>
    <xf numFmtId="176" fontId="37" fillId="0" borderId="3" xfId="0" applyNumberFormat="1" applyFont="1" applyBorder="1" applyAlignment="1">
      <alignment horizontal="center" vertical="center" wrapText="1"/>
    </xf>
    <xf numFmtId="0" fontId="34" fillId="3" borderId="3" xfId="0" applyFont="1" applyFill="1" applyBorder="1" applyAlignment="1">
      <alignment horizontal="center" vertical="center" wrapText="1"/>
    </xf>
    <xf numFmtId="177" fontId="6" fillId="0" borderId="3" xfId="0" applyNumberFormat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182" fontId="6" fillId="2" borderId="6" xfId="0" applyNumberFormat="1" applyFont="1" applyFill="1" applyBorder="1" applyAlignment="1">
      <alignment horizontal="center" vertical="center" wrapText="1"/>
    </xf>
    <xf numFmtId="182" fontId="6" fillId="0" borderId="6" xfId="0" applyNumberFormat="1" applyFont="1" applyBorder="1" applyAlignment="1">
      <alignment horizontal="center" vertical="center" wrapText="1"/>
    </xf>
    <xf numFmtId="182" fontId="6" fillId="3" borderId="6" xfId="0" applyNumberFormat="1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49" fontId="14" fillId="3" borderId="3" xfId="0" applyNumberFormat="1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vertical="center" wrapText="1"/>
    </xf>
    <xf numFmtId="176" fontId="14" fillId="3" borderId="3" xfId="1" applyNumberFormat="1" applyFont="1" applyFill="1" applyBorder="1" applyAlignment="1">
      <alignment horizontal="center" vertical="center" shrinkToFit="1"/>
    </xf>
    <xf numFmtId="0" fontId="14" fillId="3" borderId="3" xfId="0" applyFont="1" applyFill="1" applyBorder="1" applyAlignment="1">
      <alignment horizontal="center" vertical="center" wrapText="1"/>
    </xf>
    <xf numFmtId="182" fontId="14" fillId="3" borderId="6" xfId="0" applyNumberFormat="1" applyFont="1" applyFill="1" applyBorder="1" applyAlignment="1">
      <alignment horizontal="center" vertical="center" wrapText="1"/>
    </xf>
    <xf numFmtId="182" fontId="14" fillId="3" borderId="3" xfId="0" applyNumberFormat="1" applyFont="1" applyFill="1" applyBorder="1" applyAlignment="1">
      <alignment horizontal="center" vertical="center" wrapText="1"/>
    </xf>
    <xf numFmtId="9" fontId="14" fillId="3" borderId="3" xfId="0" applyNumberFormat="1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 wrapText="1"/>
    </xf>
    <xf numFmtId="10" fontId="6" fillId="0" borderId="3" xfId="0" applyNumberFormat="1" applyFont="1" applyBorder="1" applyAlignment="1">
      <alignment horizontal="center" vertical="center"/>
    </xf>
    <xf numFmtId="183" fontId="6" fillId="0" borderId="3" xfId="0" applyNumberFormat="1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177" fontId="6" fillId="3" borderId="3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177" fontId="39" fillId="0" borderId="3" xfId="0" applyNumberFormat="1" applyFont="1" applyBorder="1" applyAlignment="1">
      <alignment horizontal="center" vertical="center" wrapText="1"/>
    </xf>
    <xf numFmtId="176" fontId="39" fillId="3" borderId="3" xfId="1" applyNumberFormat="1" applyFont="1" applyFill="1" applyBorder="1" applyAlignment="1">
      <alignment horizontal="center" vertical="center" wrapText="1" shrinkToFit="1"/>
    </xf>
    <xf numFmtId="0" fontId="40" fillId="3" borderId="3" xfId="0" applyFont="1" applyFill="1" applyBorder="1" applyAlignment="1">
      <alignment horizontal="center" vertical="center"/>
    </xf>
    <xf numFmtId="182" fontId="33" fillId="0" borderId="3" xfId="0" applyNumberFormat="1" applyFont="1" applyBorder="1" applyAlignment="1">
      <alignment horizontal="center" vertical="center" wrapText="1"/>
    </xf>
    <xf numFmtId="9" fontId="33" fillId="0" borderId="3" xfId="0" applyNumberFormat="1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 wrapText="1"/>
    </xf>
    <xf numFmtId="0" fontId="34" fillId="3" borderId="3" xfId="0" applyFont="1" applyFill="1" applyBorder="1" applyAlignment="1">
      <alignment horizontal="center" vertical="center"/>
    </xf>
    <xf numFmtId="0" fontId="34" fillId="0" borderId="3" xfId="0" applyFont="1" applyBorder="1" applyAlignment="1">
      <alignment horizontal="left" vertical="center" wrapText="1"/>
    </xf>
    <xf numFmtId="176" fontId="7" fillId="0" borderId="3" xfId="1" applyNumberFormat="1" applyFont="1" applyBorder="1" applyAlignment="1">
      <alignment horizontal="center" vertical="center" wrapText="1" shrinkToFit="1"/>
    </xf>
    <xf numFmtId="176" fontId="7" fillId="0" borderId="3" xfId="1" applyNumberFormat="1" applyFont="1" applyBorder="1" applyAlignment="1">
      <alignment horizontal="center" vertical="center" wrapText="1"/>
    </xf>
    <xf numFmtId="177" fontId="7" fillId="0" borderId="3" xfId="1" applyNumberFormat="1" applyFont="1" applyBorder="1" applyAlignment="1">
      <alignment horizontal="center" vertical="center" wrapText="1"/>
    </xf>
    <xf numFmtId="0" fontId="34" fillId="0" borderId="3" xfId="0" applyFont="1" applyBorder="1" applyAlignment="1">
      <alignment horizontal="left" vertical="center"/>
    </xf>
    <xf numFmtId="176" fontId="7" fillId="0" borderId="3" xfId="1" applyNumberFormat="1" applyFont="1" applyBorder="1" applyAlignment="1">
      <alignment horizontal="left" vertical="center" wrapText="1" shrinkToFi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34" fillId="3" borderId="3" xfId="0" applyFont="1" applyFill="1" applyBorder="1" applyAlignment="1">
      <alignment horizontal="left" vertical="center" wrapText="1"/>
    </xf>
    <xf numFmtId="0" fontId="34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 wrapText="1"/>
    </xf>
    <xf numFmtId="177" fontId="6" fillId="3" borderId="3" xfId="1" applyNumberFormat="1" applyFont="1" applyFill="1" applyBorder="1" applyAlignment="1">
      <alignment horizontal="center" vertical="center" wrapText="1"/>
    </xf>
    <xf numFmtId="177" fontId="7" fillId="3" borderId="3" xfId="1" applyNumberFormat="1" applyFont="1" applyFill="1" applyBorder="1" applyAlignment="1">
      <alignment horizontal="center" vertical="center" wrapText="1"/>
    </xf>
    <xf numFmtId="176" fontId="7" fillId="3" borderId="3" xfId="1" applyNumberFormat="1" applyFont="1" applyFill="1" applyBorder="1" applyAlignment="1">
      <alignment horizontal="left" vertical="center" wrapText="1" shrinkToFit="1"/>
    </xf>
    <xf numFmtId="176" fontId="7" fillId="0" borderId="3" xfId="1" applyNumberFormat="1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 wrapText="1"/>
    </xf>
    <xf numFmtId="0" fontId="40" fillId="0" borderId="3" xfId="0" applyFont="1" applyBorder="1" applyAlignment="1">
      <alignment horizontal="center" vertical="center" wrapText="1"/>
    </xf>
    <xf numFmtId="0" fontId="40" fillId="0" borderId="3" xfId="0" applyFont="1" applyBorder="1" applyAlignment="1">
      <alignment horizontal="left" vertical="center" wrapText="1"/>
    </xf>
    <xf numFmtId="0" fontId="34" fillId="0" borderId="3" xfId="0" applyFont="1" applyBorder="1" applyAlignment="1">
      <alignment vertical="center" wrapText="1"/>
    </xf>
    <xf numFmtId="0" fontId="34" fillId="0" borderId="3" xfId="0" applyFont="1" applyBorder="1">
      <alignment vertical="center"/>
    </xf>
    <xf numFmtId="0" fontId="6" fillId="0" borderId="3" xfId="0" applyFont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/>
    </xf>
    <xf numFmtId="176" fontId="39" fillId="0" borderId="3" xfId="1" applyNumberFormat="1" applyFont="1" applyBorder="1" applyAlignment="1">
      <alignment horizontal="left" vertical="center" wrapText="1" shrinkToFi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34" fillId="3" borderId="3" xfId="0" applyFont="1" applyFill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176" fontId="7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6" fillId="3" borderId="3" xfId="1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 shrinkToFit="1"/>
    </xf>
    <xf numFmtId="0" fontId="17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6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2" fillId="0" borderId="3" xfId="0" applyFont="1" applyBorder="1" applyAlignment="1">
      <alignment horizontal="center" vertical="center"/>
    </xf>
    <xf numFmtId="0" fontId="42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7" fillId="3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7" fontId="6" fillId="0" borderId="3" xfId="0" applyNumberFormat="1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6" fillId="0" borderId="4" xfId="1" applyNumberFormat="1" applyFont="1" applyBorder="1" applyAlignment="1">
      <alignment horizontal="center" vertical="center" wrapText="1" shrinkToFi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3" fillId="3" borderId="3" xfId="0" applyFont="1" applyFill="1" applyBorder="1" applyAlignment="1">
      <alignment horizontal="center" vertical="center" wrapText="1"/>
    </xf>
    <xf numFmtId="177" fontId="43" fillId="3" borderId="3" xfId="0" applyNumberFormat="1" applyFont="1" applyFill="1" applyBorder="1" applyAlignment="1">
      <alignment horizontal="center" vertical="center" wrapText="1"/>
    </xf>
    <xf numFmtId="0" fontId="44" fillId="3" borderId="3" xfId="0" applyFont="1" applyFill="1" applyBorder="1" applyAlignment="1">
      <alignment horizontal="center" vertical="center" wrapText="1"/>
    </xf>
    <xf numFmtId="0" fontId="44" fillId="3" borderId="3" xfId="0" applyFont="1" applyFill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45" fillId="0" borderId="3" xfId="1" applyNumberFormat="1" applyFont="1" applyBorder="1" applyAlignment="1">
      <alignment horizontal="center" vertical="center" wrapText="1" shrinkToFit="1"/>
    </xf>
    <xf numFmtId="0" fontId="43" fillId="0" borderId="2" xfId="0" applyFont="1" applyBorder="1" applyAlignment="1">
      <alignment horizontal="center" vertical="center" wrapText="1"/>
    </xf>
    <xf numFmtId="176" fontId="43" fillId="0" borderId="3" xfId="1" applyNumberFormat="1" applyFont="1" applyBorder="1" applyAlignment="1">
      <alignment horizontal="center" vertical="center" wrapText="1" shrinkToFit="1"/>
    </xf>
    <xf numFmtId="0" fontId="44" fillId="0" borderId="3" xfId="0" applyFont="1" applyBorder="1" applyAlignment="1">
      <alignment horizontal="center" vertical="center" wrapText="1"/>
    </xf>
    <xf numFmtId="0" fontId="44" fillId="0" borderId="3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6" fillId="0" borderId="3" xfId="0" applyFont="1" applyBorder="1" applyAlignment="1">
      <alignment horizontal="center" vertical="center"/>
    </xf>
    <xf numFmtId="0" fontId="46" fillId="3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7" fillId="0" borderId="3" xfId="0" applyFont="1" applyBorder="1" applyAlignment="1">
      <alignment horizontal="center" vertical="center" wrapText="1"/>
    </xf>
    <xf numFmtId="0" fontId="4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7" fillId="0" borderId="3" xfId="0" applyFont="1" applyBorder="1" applyAlignment="1">
      <alignment horizontal="center" vertical="center"/>
    </xf>
    <xf numFmtId="176" fontId="47" fillId="0" borderId="3" xfId="1" applyNumberFormat="1" applyFont="1" applyBorder="1" applyAlignment="1">
      <alignment horizontal="center" vertical="center" wrapText="1" shrinkToFit="1"/>
    </xf>
    <xf numFmtId="0" fontId="4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8" fillId="0" borderId="3" xfId="0" applyFont="1" applyBorder="1" applyAlignment="1">
      <alignment horizontal="center" vertical="center" wrapText="1"/>
    </xf>
    <xf numFmtId="0" fontId="49" fillId="0" borderId="3" xfId="0" applyFont="1" applyBorder="1" applyAlignment="1">
      <alignment horizontal="center" vertical="center" wrapText="1"/>
    </xf>
    <xf numFmtId="0" fontId="49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176" fontId="50" fillId="0" borderId="4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9" fillId="0" borderId="3" xfId="0" applyFont="1" applyBorder="1" applyAlignment="1">
      <alignment horizontal="center" vertical="center"/>
    </xf>
    <xf numFmtId="0" fontId="49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7" fillId="0" borderId="2" xfId="1" applyNumberFormat="1" applyFont="1" applyBorder="1" applyAlignment="1">
      <alignment horizontal="center" vertical="center" wrapText="1" shrinkToFi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8" fillId="3" borderId="3" xfId="0" applyFont="1" applyFill="1" applyBorder="1" applyAlignment="1">
      <alignment horizontal="center" vertical="center" wrapText="1"/>
    </xf>
    <xf numFmtId="177" fontId="48" fillId="3" borderId="3" xfId="0" applyNumberFormat="1" applyFont="1" applyFill="1" applyBorder="1" applyAlignment="1">
      <alignment horizontal="center" vertical="center" wrapText="1"/>
    </xf>
    <xf numFmtId="176" fontId="48" fillId="0" borderId="3" xfId="1" applyNumberFormat="1" applyFont="1" applyBorder="1" applyAlignment="1">
      <alignment horizontal="center" vertical="center" wrapText="1" shrinkToFi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50" fillId="0" borderId="3" xfId="1" applyNumberFormat="1" applyFont="1" applyBorder="1" applyAlignment="1">
      <alignment horizontal="center" vertical="center" wrapText="1" shrinkToFit="1"/>
    </xf>
    <xf numFmtId="177" fontId="48" fillId="0" borderId="3" xfId="0" applyNumberFormat="1" applyFont="1" applyBorder="1" applyAlignment="1">
      <alignment horizontal="center" vertical="center" wrapText="1"/>
    </xf>
    <xf numFmtId="177" fontId="48" fillId="0" borderId="3" xfId="0" applyNumberFormat="1" applyFont="1" applyBorder="1" applyAlignment="1">
      <alignment horizontal="left" vertical="center" wrapText="1"/>
    </xf>
    <xf numFmtId="0" fontId="6" fillId="4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7" fillId="3" borderId="3" xfId="0" applyNumberFormat="1" applyFont="1" applyFill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9" fontId="6" fillId="4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51" fillId="0" borderId="3" xfId="1" applyNumberFormat="1" applyFont="1" applyBorder="1" applyAlignment="1">
      <alignment horizontal="center" vertical="center" wrapText="1" shrinkToFit="1"/>
    </xf>
    <xf numFmtId="0" fontId="51" fillId="0" borderId="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176" fontId="17" fillId="0" borderId="3" xfId="1" applyNumberFormat="1" applyFont="1" applyBorder="1" applyAlignment="1">
      <alignment horizontal="center" vertical="center" wrapText="1" shrinkToFit="1"/>
    </xf>
    <xf numFmtId="0" fontId="49" fillId="3" borderId="3" xfId="0" applyFont="1" applyFill="1" applyBorder="1" applyAlignment="1">
      <alignment horizontal="center" vertical="center"/>
    </xf>
    <xf numFmtId="0" fontId="49" fillId="3" borderId="3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52" fillId="0" borderId="3" xfId="1" applyNumberFormat="1" applyFont="1" applyBorder="1" applyAlignment="1">
      <alignment horizontal="center" vertical="center" wrapText="1" shrinkToFit="1"/>
    </xf>
    <xf numFmtId="177" fontId="52" fillId="0" borderId="3" xfId="0" applyNumberFormat="1" applyFont="1" applyBorder="1" applyAlignment="1">
      <alignment horizontal="center" vertical="center" wrapText="1"/>
    </xf>
    <xf numFmtId="177" fontId="17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17" fillId="0" borderId="3" xfId="1" applyNumberFormat="1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17" fillId="3" borderId="3" xfId="1" applyNumberFormat="1" applyFont="1" applyFill="1" applyBorder="1" applyAlignment="1">
      <alignment horizontal="center" vertical="center" wrapText="1" shrinkToFit="1"/>
    </xf>
    <xf numFmtId="177" fontId="51" fillId="3" borderId="3" xfId="1" applyNumberFormat="1" applyFont="1" applyFill="1" applyBorder="1" applyAlignment="1">
      <alignment horizontal="center" vertical="center" wrapText="1"/>
    </xf>
    <xf numFmtId="176" fontId="51" fillId="3" borderId="3" xfId="1" applyNumberFormat="1" applyFont="1" applyFill="1" applyBorder="1" applyAlignment="1">
      <alignment horizontal="left" vertical="center" wrapText="1" shrinkToFit="1"/>
    </xf>
    <xf numFmtId="177" fontId="17" fillId="3" borderId="3" xfId="1" applyNumberFormat="1" applyFont="1" applyFill="1" applyBorder="1" applyAlignment="1">
      <alignment horizontal="center" vertical="center" wrapText="1"/>
    </xf>
    <xf numFmtId="0" fontId="17" fillId="0" borderId="3" xfId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53" fillId="0" borderId="3" xfId="0" applyFont="1" applyBorder="1" applyAlignment="1">
      <alignment horizontal="center" vertical="center"/>
    </xf>
    <xf numFmtId="176" fontId="55" fillId="0" borderId="3" xfId="1" applyNumberFormat="1" applyFont="1" applyBorder="1" applyAlignment="1">
      <alignment horizontal="center" vertical="center" wrapText="1" shrinkToFit="1"/>
    </xf>
    <xf numFmtId="0" fontId="53" fillId="0" borderId="3" xfId="0" applyFont="1" applyBorder="1" applyAlignment="1">
      <alignment horizontal="left" vertical="center"/>
    </xf>
    <xf numFmtId="176" fontId="51" fillId="0" borderId="3" xfId="0" applyNumberFormat="1" applyFont="1" applyBorder="1" applyAlignment="1">
      <alignment horizontal="center" vertical="center"/>
    </xf>
    <xf numFmtId="176" fontId="51" fillId="3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17" fillId="0" borderId="3" xfId="0" applyNumberFormat="1" applyFont="1" applyBorder="1" applyAlignment="1">
      <alignment horizontal="center" vertical="center" wrapText="1"/>
    </xf>
    <xf numFmtId="176" fontId="17" fillId="0" borderId="3" xfId="1" applyNumberFormat="1" applyFont="1" applyBorder="1" applyAlignment="1">
      <alignment horizontal="left" vertical="center" wrapText="1" shrinkToFi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51" fillId="0" borderId="2" xfId="1" applyNumberFormat="1" applyFont="1" applyBorder="1" applyAlignment="1">
      <alignment horizontal="center" vertical="center" wrapText="1" shrinkToFit="1"/>
    </xf>
    <xf numFmtId="177" fontId="17" fillId="3" borderId="3" xfId="0" applyNumberFormat="1" applyFont="1" applyFill="1" applyBorder="1" applyAlignment="1">
      <alignment horizontal="center" vertical="center" wrapText="1"/>
    </xf>
    <xf numFmtId="177" fontId="51" fillId="0" borderId="3" xfId="1" applyNumberFormat="1" applyFont="1" applyBorder="1" applyAlignment="1">
      <alignment horizontal="center" vertical="center" wrapText="1"/>
    </xf>
    <xf numFmtId="176" fontId="51" fillId="0" borderId="3" xfId="1" applyNumberFormat="1" applyFont="1" applyBorder="1" applyAlignment="1">
      <alignment horizontal="left" vertical="center" wrapText="1" shrinkToFit="1"/>
    </xf>
    <xf numFmtId="0" fontId="6" fillId="0" borderId="3" xfId="0" applyFont="1" applyBorder="1" applyAlignment="1">
      <alignment horizontal="center" vertical="center" wrapText="1"/>
    </xf>
    <xf numFmtId="0" fontId="55" fillId="0" borderId="3" xfId="0" applyFont="1" applyBorder="1" applyAlignment="1">
      <alignment horizontal="center" vertical="center" wrapText="1"/>
    </xf>
    <xf numFmtId="176" fontId="56" fillId="0" borderId="3" xfId="0" applyNumberFormat="1" applyFont="1" applyBorder="1" applyAlignment="1">
      <alignment horizontal="center" vertical="center"/>
    </xf>
    <xf numFmtId="0" fontId="53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7" fillId="0" borderId="3" xfId="0" applyFont="1" applyBorder="1" applyAlignment="1">
      <alignment horizontal="center" vertical="center"/>
    </xf>
    <xf numFmtId="0" fontId="57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51" fillId="0" borderId="3" xfId="1" applyFont="1" applyBorder="1" applyAlignment="1">
      <alignment horizontal="center" vertical="center" wrapText="1" shrinkToFit="1"/>
    </xf>
    <xf numFmtId="176" fontId="51" fillId="0" borderId="4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9" fillId="0" borderId="3" xfId="0" applyFont="1" applyBorder="1" applyAlignment="1">
      <alignment horizontal="center" vertical="center" wrapText="1"/>
    </xf>
    <xf numFmtId="0" fontId="61" fillId="0" borderId="3" xfId="0" applyFont="1" applyBorder="1" applyAlignment="1">
      <alignment horizontal="center" vertical="center" wrapText="1"/>
    </xf>
    <xf numFmtId="0" fontId="61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176" fontId="51" fillId="3" borderId="3" xfId="1" applyNumberFormat="1" applyFont="1" applyFill="1" applyBorder="1" applyAlignment="1">
      <alignment horizontal="center" vertical="center" wrapText="1" shrinkToFit="1"/>
    </xf>
    <xf numFmtId="176" fontId="17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7" fontId="17" fillId="0" borderId="3" xfId="0" applyNumberFormat="1" applyFont="1" applyBorder="1" applyAlignment="1">
      <alignment horizontal="left" vertical="center" wrapText="1"/>
    </xf>
    <xf numFmtId="0" fontId="51" fillId="0" borderId="3" xfId="0" applyFont="1" applyBorder="1" applyAlignment="1">
      <alignment horizontal="left" vertical="center" wrapText="1"/>
    </xf>
    <xf numFmtId="0" fontId="59" fillId="0" borderId="5" xfId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49" fontId="14" fillId="2" borderId="3" xfId="0" applyNumberFormat="1" applyFont="1" applyFill="1" applyBorder="1" applyAlignment="1">
      <alignment horizontal="center" vertical="center" wrapText="1"/>
    </xf>
    <xf numFmtId="0" fontId="14" fillId="0" borderId="3" xfId="0" applyFont="1" applyBorder="1" applyAlignment="1">
      <alignment vertical="center" wrapText="1"/>
    </xf>
    <xf numFmtId="0" fontId="14" fillId="0" borderId="3" xfId="0" applyFont="1" applyBorder="1" applyAlignment="1">
      <alignment horizontal="center" vertical="center" wrapText="1"/>
    </xf>
    <xf numFmtId="176" fontId="14" fillId="0" borderId="3" xfId="1" applyNumberFormat="1" applyFont="1" applyBorder="1" applyAlignment="1">
      <alignment horizontal="center" vertical="center" wrapText="1" shrinkToFit="1"/>
    </xf>
    <xf numFmtId="176" fontId="14" fillId="0" borderId="3" xfId="1" applyNumberFormat="1" applyFont="1" applyBorder="1" applyAlignment="1">
      <alignment horizontal="center" vertical="center" shrinkToFit="1"/>
    </xf>
    <xf numFmtId="0" fontId="62" fillId="0" borderId="3" xfId="0" applyFont="1" applyBorder="1" applyAlignment="1">
      <alignment horizontal="center" vertical="center"/>
    </xf>
    <xf numFmtId="0" fontId="62" fillId="0" borderId="3" xfId="0" applyFont="1" applyBorder="1" applyAlignment="1">
      <alignment horizontal="left" vertical="center" wrapText="1"/>
    </xf>
    <xf numFmtId="182" fontId="14" fillId="0" borderId="3" xfId="0" applyNumberFormat="1" applyFont="1" applyBorder="1" applyAlignment="1">
      <alignment horizontal="center" vertical="center" wrapText="1"/>
    </xf>
    <xf numFmtId="9" fontId="14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63" fillId="0" borderId="3" xfId="0" applyFont="1" applyBorder="1" applyAlignment="1">
      <alignment horizontal="center" vertical="center"/>
    </xf>
    <xf numFmtId="176" fontId="65" fillId="0" borderId="3" xfId="1" applyNumberFormat="1" applyFont="1" applyBorder="1" applyAlignment="1">
      <alignment horizontal="center" vertical="center" wrapText="1" shrinkToFit="1"/>
    </xf>
    <xf numFmtId="0" fontId="63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17" fillId="3" borderId="3" xfId="1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17" fillId="3" borderId="3" xfId="1" applyNumberFormat="1" applyFont="1" applyFill="1" applyBorder="1" applyAlignment="1">
      <alignment horizontal="left" vertical="center" wrapText="1" shrinkToFi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4" fillId="0" borderId="3" xfId="0" applyFont="1" applyBorder="1" applyAlignment="1">
      <alignment horizontal="center" vertical="center" wrapText="1"/>
    </xf>
    <xf numFmtId="0" fontId="63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6" fillId="0" borderId="3" xfId="1" applyFont="1" applyBorder="1" applyAlignment="1">
      <alignment horizontal="center" vertical="center" wrapText="1" shrinkToFit="1"/>
    </xf>
    <xf numFmtId="0" fontId="67" fillId="0" borderId="3" xfId="0" applyFont="1" applyBorder="1" applyAlignment="1">
      <alignment horizontal="center" vertical="center" wrapText="1"/>
    </xf>
    <xf numFmtId="177" fontId="67" fillId="0" borderId="3" xfId="0" applyNumberFormat="1" applyFont="1" applyBorder="1" applyAlignment="1">
      <alignment horizontal="center" vertical="center" wrapText="1"/>
    </xf>
    <xf numFmtId="0" fontId="69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51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1" fillId="0" borderId="3" xfId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31" fontId="6" fillId="0" borderId="3" xfId="0" applyNumberFormat="1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0" fillId="0" borderId="3" xfId="0" applyFont="1" applyBorder="1" applyAlignment="1">
      <alignment horizontal="center" vertical="center"/>
    </xf>
    <xf numFmtId="0" fontId="70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176" fontId="72" fillId="3" borderId="3" xfId="1" applyNumberFormat="1" applyFont="1" applyFill="1" applyBorder="1" applyAlignment="1">
      <alignment horizontal="center" vertical="center" wrapText="1" shrinkToFit="1"/>
    </xf>
    <xf numFmtId="177" fontId="72" fillId="0" borderId="3" xfId="0" applyNumberFormat="1" applyFont="1" applyBorder="1" applyAlignment="1">
      <alignment horizontal="center" vertical="center" wrapText="1"/>
    </xf>
    <xf numFmtId="0" fontId="70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34" fillId="4" borderId="3" xfId="0" applyFont="1" applyFill="1" applyBorder="1" applyAlignment="1">
      <alignment horizontal="center" vertical="center" wrapText="1"/>
    </xf>
    <xf numFmtId="0" fontId="34" fillId="4" borderId="3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3" fillId="0" borderId="3" xfId="0" applyFont="1" applyBorder="1" applyAlignment="1">
      <alignment horizontal="center" vertical="center" wrapText="1"/>
    </xf>
    <xf numFmtId="0" fontId="75" fillId="0" borderId="3" xfId="0" applyFont="1" applyBorder="1" applyAlignment="1">
      <alignment horizontal="center" vertical="center" wrapText="1"/>
    </xf>
    <xf numFmtId="0" fontId="75" fillId="0" borderId="3" xfId="0" applyFont="1" applyBorder="1" applyAlignment="1">
      <alignment horizontal="left" vertical="center" wrapText="1"/>
    </xf>
    <xf numFmtId="17" fontId="6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34" fillId="4" borderId="3" xfId="0" applyFont="1" applyFill="1" applyBorder="1" applyAlignment="1">
      <alignment horizontal="center" vertical="center"/>
    </xf>
    <xf numFmtId="0" fontId="34" fillId="4" borderId="3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center" vertical="center" wrapText="1"/>
    </xf>
    <xf numFmtId="176" fontId="7" fillId="4" borderId="3" xfId="1" applyNumberFormat="1" applyFont="1" applyFill="1" applyBorder="1" applyAlignment="1">
      <alignment horizontal="center" vertical="center" wrapText="1" shrinkToFit="1"/>
    </xf>
    <xf numFmtId="176" fontId="6" fillId="4" borderId="3" xfId="1" applyNumberFormat="1" applyFont="1" applyFill="1" applyBorder="1" applyAlignment="1">
      <alignment horizontal="center" vertical="center" shrinkToFit="1"/>
    </xf>
    <xf numFmtId="177" fontId="17" fillId="0" borderId="3" xfId="1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7" fillId="0" borderId="3" xfId="1" applyFont="1" applyBorder="1" applyAlignment="1">
      <alignment horizontal="center" vertical="center" wrapText="1" shrinkToFi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6" fillId="0" borderId="3" xfId="0" applyFont="1" applyBorder="1" applyAlignment="1">
      <alignment horizontal="center" vertical="center" wrapText="1"/>
    </xf>
    <xf numFmtId="0" fontId="77" fillId="0" borderId="3" xfId="0" applyFont="1" applyBorder="1" applyAlignment="1">
      <alignment horizontal="center" vertical="center" wrapText="1"/>
    </xf>
    <xf numFmtId="0" fontId="77" fillId="0" borderId="3" xfId="0" applyFont="1" applyBorder="1" applyAlignment="1">
      <alignment horizontal="left" vertical="center" wrapText="1"/>
    </xf>
    <xf numFmtId="0" fontId="78" fillId="0" borderId="3" xfId="0" applyFont="1" applyBorder="1" applyAlignment="1">
      <alignment horizontal="center" vertical="center"/>
    </xf>
    <xf numFmtId="0" fontId="78" fillId="0" borderId="3" xfId="0" applyFont="1" applyBorder="1" applyAlignment="1">
      <alignment horizontal="left" vertical="center" wrapText="1"/>
    </xf>
    <xf numFmtId="0" fontId="78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 shrinkToFi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8" fillId="4" borderId="3" xfId="0" applyFont="1" applyFill="1" applyBorder="1" applyAlignment="1">
      <alignment horizontal="center" vertical="center" wrapText="1"/>
    </xf>
    <xf numFmtId="0" fontId="78" fillId="4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176" fontId="7" fillId="0" borderId="3" xfId="1" applyNumberFormat="1" applyFont="1" applyBorder="1" applyAlignment="1">
      <alignment horizontal="center" vertical="center" shrinkToFit="1"/>
    </xf>
    <xf numFmtId="176" fontId="7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7" fontId="7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7" fillId="3" borderId="3" xfId="1" applyNumberFormat="1" applyFont="1" applyFill="1" applyBorder="1" applyAlignment="1">
      <alignment horizontal="center" vertical="center" wrapText="1" shrinkToFit="1"/>
    </xf>
    <xf numFmtId="0" fontId="7" fillId="3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2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7" fillId="0" borderId="4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7" fillId="0" borderId="4" xfId="1" applyNumberFormat="1" applyFont="1" applyBorder="1" applyAlignment="1">
      <alignment horizontal="center" vertical="center" wrapText="1" shrinkToFit="1"/>
    </xf>
    <xf numFmtId="177" fontId="7" fillId="0" borderId="3" xfId="0" applyNumberFormat="1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57" fontId="7" fillId="0" borderId="3" xfId="1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3" borderId="3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8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7" fillId="3" borderId="3" xfId="1" applyNumberFormat="1" applyFont="1" applyFill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2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7" fillId="4" borderId="3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3" borderId="3" xfId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34" fillId="5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57" fontId="6" fillId="4" borderId="3" xfId="1" applyNumberFormat="1" applyFont="1" applyFill="1" applyBorder="1" applyAlignment="1">
      <alignment horizontal="left" vertical="center" wrapText="1"/>
    </xf>
    <xf numFmtId="177" fontId="6" fillId="4" borderId="3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6" fillId="4" borderId="3" xfId="1" applyNumberFormat="1" applyFont="1" applyFill="1" applyBorder="1" applyAlignment="1">
      <alignment horizontal="center" vertical="center" wrapText="1" shrinkToFi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85" fontId="7" fillId="3" borderId="3" xfId="1" applyNumberFormat="1" applyFont="1" applyFill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1" fillId="0" borderId="3" xfId="2" applyFont="1" applyBorder="1" applyAlignment="1">
      <alignment horizontal="center" vertical="center"/>
    </xf>
    <xf numFmtId="0" fontId="51" fillId="0" borderId="3" xfId="0" applyFont="1" applyBorder="1" applyAlignment="1">
      <alignment horizontal="center" vertical="center" wrapText="1"/>
    </xf>
    <xf numFmtId="0" fontId="51" fillId="3" borderId="3" xfId="1" applyFont="1" applyFill="1" applyBorder="1" applyAlignment="1">
      <alignment horizontal="center" vertical="center"/>
    </xf>
    <xf numFmtId="0" fontId="51" fillId="3" borderId="3" xfId="0" applyFont="1" applyFill="1" applyBorder="1" applyAlignment="1">
      <alignment horizontal="center" vertical="center" wrapText="1"/>
    </xf>
    <xf numFmtId="177" fontId="51" fillId="3" borderId="3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1" fillId="0" borderId="3" xfId="1" applyFont="1" applyBorder="1" applyAlignment="1">
      <alignment horizontal="left" vertical="center" wrapText="1"/>
    </xf>
    <xf numFmtId="177" fontId="51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1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1" fillId="3" borderId="3" xfId="0" applyFont="1" applyFill="1" applyBorder="1" applyAlignment="1">
      <alignment horizontal="center" vertical="center"/>
    </xf>
    <xf numFmtId="176" fontId="51" fillId="0" borderId="3" xfId="1" applyNumberFormat="1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57" fontId="17" fillId="0" borderId="3" xfId="1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17" fillId="3" borderId="3" xfId="1" applyNumberFormat="1" applyFont="1" applyFill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wrapText="1"/>
    </xf>
    <xf numFmtId="0" fontId="51" fillId="0" borderId="5" xfId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7" fontId="51" fillId="0" borderId="3" xfId="0" applyNumberFormat="1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7" fillId="0" borderId="5" xfId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3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51" fillId="3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9" fillId="0" borderId="3" xfId="2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177" fontId="6" fillId="0" borderId="2" xfId="0" applyNumberFormat="1" applyFont="1" applyBorder="1" applyAlignment="1">
      <alignment horizontal="center" vertical="center" wrapText="1"/>
    </xf>
    <xf numFmtId="0" fontId="34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1" fillId="0" borderId="3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9" fontId="77" fillId="0" borderId="3" xfId="0" applyNumberFormat="1" applyFont="1" applyBorder="1" applyAlignment="1">
      <alignment horizontal="center" vertical="center" wrapText="1"/>
    </xf>
    <xf numFmtId="57" fontId="6" fillId="0" borderId="3" xfId="1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31" fontId="6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51" fillId="0" borderId="3" xfId="1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82" fontId="0" fillId="0" borderId="0" xfId="0" applyNumberFormat="1">
      <alignment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82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49" fontId="33" fillId="2" borderId="5" xfId="0" applyNumberFormat="1" applyFont="1" applyFill="1" applyBorder="1" applyAlignment="1">
      <alignment horizontal="center" vertical="center" wrapText="1"/>
    </xf>
    <xf numFmtId="49" fontId="33" fillId="2" borderId="7" xfId="0" applyNumberFormat="1" applyFont="1" applyFill="1" applyBorder="1" applyAlignment="1">
      <alignment horizontal="center" vertical="center" wrapText="1"/>
    </xf>
    <xf numFmtId="49" fontId="33" fillId="2" borderId="6" xfId="0" applyNumberFormat="1" applyFont="1" applyFill="1" applyBorder="1" applyAlignment="1">
      <alignment horizontal="center" vertical="center" wrapText="1"/>
    </xf>
    <xf numFmtId="0" fontId="33" fillId="2" borderId="5" xfId="0" applyFont="1" applyFill="1" applyBorder="1" applyAlignment="1">
      <alignment horizontal="center" vertical="center" wrapText="1"/>
    </xf>
    <xf numFmtId="0" fontId="33" fillId="2" borderId="7" xfId="0" applyFont="1" applyFill="1" applyBorder="1" applyAlignment="1">
      <alignment horizontal="center" vertical="center" wrapText="1"/>
    </xf>
    <xf numFmtId="0" fontId="33" fillId="2" borderId="6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20" fillId="3" borderId="7" xfId="0" applyFont="1" applyFill="1" applyBorder="1" applyAlignment="1">
      <alignment horizontal="center" vertical="center" wrapText="1"/>
    </xf>
    <xf numFmtId="0" fontId="20" fillId="3" borderId="6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</cellXfs>
  <cellStyles count="4">
    <cellStyle name="常规" xfId="0" builtinId="0"/>
    <cellStyle name="常规 2" xfId="1" xr:uid="{00000000-0005-0000-0000-000001000000}"/>
    <cellStyle name="常规 2 10" xfId="3" xr:uid="{470F9269-6AE7-45FD-B3AB-BA8A938EE1BA}"/>
    <cellStyle name="常规 4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08E0A-0B08-4BB7-AA4B-8D32B3EF0561}">
  <dimension ref="A1:O155"/>
  <sheetViews>
    <sheetView tabSelected="1" topLeftCell="A118" zoomScaleNormal="100" workbookViewId="0">
      <selection activeCell="A138" sqref="A138:XFD138"/>
    </sheetView>
  </sheetViews>
  <sheetFormatPr defaultRowHeight="13.5" x14ac:dyDescent="0.15"/>
  <cols>
    <col min="1" max="1" width="10.75" customWidth="1"/>
    <col min="2" max="2" width="24.625" customWidth="1"/>
    <col min="3" max="4" width="10.625" customWidth="1"/>
    <col min="5" max="5" width="17.5" customWidth="1"/>
    <col min="6" max="6" width="15" customWidth="1"/>
    <col min="7" max="7" width="24.875" customWidth="1"/>
    <col min="8" max="11" width="15.375" customWidth="1"/>
    <col min="12" max="12" width="18" customWidth="1"/>
    <col min="13" max="13" width="10.75" customWidth="1"/>
    <col min="14" max="14" width="10.875" customWidth="1"/>
    <col min="15" max="15" width="45.625" customWidth="1"/>
  </cols>
  <sheetData>
    <row r="1" spans="1:15" s="176" customFormat="1" ht="40.5" customHeight="1" x14ac:dyDescent="0.15">
      <c r="A1" s="1164" t="s">
        <v>7592</v>
      </c>
      <c r="B1" s="1164"/>
      <c r="C1" s="1164"/>
      <c r="D1" s="1164"/>
      <c r="E1" s="1164"/>
      <c r="F1" s="1164"/>
      <c r="G1" s="1164"/>
      <c r="H1" s="1164"/>
      <c r="I1" s="1164"/>
      <c r="J1" s="1164"/>
      <c r="K1" s="1164"/>
      <c r="L1" s="1164"/>
      <c r="M1" s="1164"/>
      <c r="N1" s="1164"/>
      <c r="O1" s="1164"/>
    </row>
    <row r="2" spans="1:15" s="176" customFormat="1" ht="21.75" customHeight="1" x14ac:dyDescent="0.15">
      <c r="A2" s="16" t="s">
        <v>1755</v>
      </c>
      <c r="B2" s="16" t="s">
        <v>128</v>
      </c>
      <c r="C2" s="245" t="s">
        <v>3322</v>
      </c>
      <c r="D2" s="245" t="s">
        <v>3321</v>
      </c>
      <c r="E2" s="245" t="s">
        <v>1756</v>
      </c>
      <c r="F2" s="245" t="s">
        <v>3323</v>
      </c>
      <c r="G2" s="245" t="s">
        <v>3324</v>
      </c>
      <c r="H2" s="16" t="s">
        <v>130</v>
      </c>
      <c r="I2" s="193" t="s">
        <v>1757</v>
      </c>
      <c r="J2" s="193" t="s">
        <v>1758</v>
      </c>
      <c r="K2" s="16" t="s">
        <v>1759</v>
      </c>
      <c r="L2" s="16" t="s">
        <v>1760</v>
      </c>
      <c r="M2" s="16" t="s">
        <v>3243</v>
      </c>
      <c r="N2" s="16" t="s">
        <v>3244</v>
      </c>
      <c r="O2" s="16" t="s">
        <v>509</v>
      </c>
    </row>
    <row r="3" spans="1:15" s="182" customFormat="1" ht="21.95" customHeight="1" x14ac:dyDescent="0.15">
      <c r="A3" s="151" t="s">
        <v>7601</v>
      </c>
      <c r="B3" s="20" t="s">
        <v>7594</v>
      </c>
      <c r="C3" s="945" t="s">
        <v>3371</v>
      </c>
      <c r="D3" s="945" t="s">
        <v>3572</v>
      </c>
      <c r="E3" s="952" t="s">
        <v>7598</v>
      </c>
      <c r="F3" s="292" t="s">
        <v>3328</v>
      </c>
      <c r="G3" s="235" t="s">
        <v>4371</v>
      </c>
      <c r="H3" s="509" t="s">
        <v>7595</v>
      </c>
      <c r="I3" s="194">
        <v>0</v>
      </c>
      <c r="J3" s="194">
        <v>36700</v>
      </c>
      <c r="K3" s="185">
        <v>1</v>
      </c>
      <c r="L3" s="183" t="s">
        <v>1948</v>
      </c>
      <c r="M3" s="184" t="s">
        <v>155</v>
      </c>
      <c r="N3" s="184" t="s">
        <v>155</v>
      </c>
      <c r="O3" s="1125"/>
    </row>
    <row r="4" spans="1:15" s="182" customFormat="1" ht="21.95" customHeight="1" x14ac:dyDescent="0.15">
      <c r="A4" s="151" t="s">
        <v>7601</v>
      </c>
      <c r="B4" s="20" t="s">
        <v>7594</v>
      </c>
      <c r="C4" s="945" t="s">
        <v>3371</v>
      </c>
      <c r="D4" s="945" t="s">
        <v>3572</v>
      </c>
      <c r="E4" s="952" t="s">
        <v>7599</v>
      </c>
      <c r="F4" s="184" t="s">
        <v>4944</v>
      </c>
      <c r="G4" s="235" t="s">
        <v>4371</v>
      </c>
      <c r="H4" s="509" t="s">
        <v>7596</v>
      </c>
      <c r="I4" s="194">
        <v>0</v>
      </c>
      <c r="J4" s="194">
        <v>36700</v>
      </c>
      <c r="K4" s="185">
        <v>1</v>
      </c>
      <c r="L4" s="183" t="s">
        <v>1948</v>
      </c>
      <c r="M4" s="184" t="s">
        <v>155</v>
      </c>
      <c r="N4" s="184" t="s">
        <v>155</v>
      </c>
      <c r="O4" s="1125"/>
    </row>
    <row r="5" spans="1:15" s="182" customFormat="1" ht="21.95" customHeight="1" x14ac:dyDescent="0.15">
      <c r="A5" s="151" t="s">
        <v>7601</v>
      </c>
      <c r="B5" s="20" t="s">
        <v>7594</v>
      </c>
      <c r="C5" s="945" t="s">
        <v>3371</v>
      </c>
      <c r="D5" s="945" t="s">
        <v>3572</v>
      </c>
      <c r="E5" s="952" t="s">
        <v>7600</v>
      </c>
      <c r="F5" s="184" t="s">
        <v>4944</v>
      </c>
      <c r="G5" s="235" t="s">
        <v>4371</v>
      </c>
      <c r="H5" s="509" t="s">
        <v>7597</v>
      </c>
      <c r="I5" s="194">
        <v>0</v>
      </c>
      <c r="J5" s="194">
        <v>36600</v>
      </c>
      <c r="K5" s="185">
        <v>1</v>
      </c>
      <c r="L5" s="183" t="s">
        <v>1948</v>
      </c>
      <c r="M5" s="184" t="s">
        <v>155</v>
      </c>
      <c r="N5" s="184" t="s">
        <v>155</v>
      </c>
      <c r="O5" s="1125"/>
    </row>
    <row r="6" spans="1:15" s="182" customFormat="1" ht="21.95" customHeight="1" x14ac:dyDescent="0.15">
      <c r="A6" s="151" t="s">
        <v>7602</v>
      </c>
      <c r="B6" s="20" t="s">
        <v>3555</v>
      </c>
      <c r="C6" s="1125" t="s">
        <v>3346</v>
      </c>
      <c r="D6" s="1125" t="s">
        <v>3354</v>
      </c>
      <c r="E6" s="1125" t="s">
        <v>844</v>
      </c>
      <c r="F6" s="267" t="s">
        <v>3328</v>
      </c>
      <c r="G6" s="235" t="s">
        <v>6951</v>
      </c>
      <c r="H6" s="509" t="s">
        <v>7104</v>
      </c>
      <c r="I6" s="194">
        <v>0</v>
      </c>
      <c r="J6" s="194">
        <v>68750</v>
      </c>
      <c r="K6" s="185" t="s">
        <v>6898</v>
      </c>
      <c r="L6" s="183" t="s">
        <v>4706</v>
      </c>
      <c r="M6" s="184" t="s">
        <v>6106</v>
      </c>
      <c r="N6" s="184" t="s">
        <v>5255</v>
      </c>
      <c r="O6" s="1125"/>
    </row>
    <row r="7" spans="1:15" s="182" customFormat="1" ht="21.95" customHeight="1" x14ac:dyDescent="0.15">
      <c r="A7" s="151" t="s">
        <v>7603</v>
      </c>
      <c r="B7" s="20" t="s">
        <v>7604</v>
      </c>
      <c r="C7" s="236" t="s">
        <v>3346</v>
      </c>
      <c r="D7" s="236" t="s">
        <v>3352</v>
      </c>
      <c r="E7" s="236" t="s">
        <v>3715</v>
      </c>
      <c r="F7" s="184" t="s">
        <v>3332</v>
      </c>
      <c r="G7" s="235" t="s">
        <v>3336</v>
      </c>
      <c r="H7" s="509">
        <v>25167</v>
      </c>
      <c r="I7" s="194">
        <v>0</v>
      </c>
      <c r="J7" s="194">
        <v>73150</v>
      </c>
      <c r="K7" s="185">
        <v>0.95</v>
      </c>
      <c r="L7" s="183" t="s">
        <v>7605</v>
      </c>
      <c r="M7" s="184" t="s">
        <v>155</v>
      </c>
      <c r="N7" s="184" t="s">
        <v>155</v>
      </c>
      <c r="O7" s="1125"/>
    </row>
    <row r="8" spans="1:15" s="182" customFormat="1" ht="21.95" customHeight="1" x14ac:dyDescent="0.15">
      <c r="A8" s="151" t="s">
        <v>7603</v>
      </c>
      <c r="B8" s="20" t="s">
        <v>7658</v>
      </c>
      <c r="C8" s="1136" t="s">
        <v>3346</v>
      </c>
      <c r="D8" s="1136" t="s">
        <v>3354</v>
      </c>
      <c r="E8" s="1136" t="s">
        <v>3675</v>
      </c>
      <c r="F8" s="224" t="s">
        <v>3328</v>
      </c>
      <c r="G8" s="235" t="s">
        <v>6951</v>
      </c>
      <c r="H8" s="509" t="s">
        <v>6985</v>
      </c>
      <c r="I8" s="194">
        <v>0</v>
      </c>
      <c r="J8" s="194">
        <v>68750</v>
      </c>
      <c r="K8" s="185" t="s">
        <v>6898</v>
      </c>
      <c r="L8" s="183" t="s">
        <v>4706</v>
      </c>
      <c r="M8" s="184" t="s">
        <v>6106</v>
      </c>
      <c r="N8" s="184" t="s">
        <v>5255</v>
      </c>
      <c r="O8" s="233"/>
    </row>
    <row r="9" spans="1:15" s="182" customFormat="1" ht="21.95" customHeight="1" x14ac:dyDescent="0.15">
      <c r="A9" s="151" t="s">
        <v>7606</v>
      </c>
      <c r="B9" s="20" t="s">
        <v>7607</v>
      </c>
      <c r="C9" s="945" t="s">
        <v>3371</v>
      </c>
      <c r="D9" s="945" t="s">
        <v>3572</v>
      </c>
      <c r="E9" s="952" t="s">
        <v>7613</v>
      </c>
      <c r="F9" s="292" t="s">
        <v>3328</v>
      </c>
      <c r="G9" s="235" t="s">
        <v>4371</v>
      </c>
      <c r="H9" s="509" t="s">
        <v>7612</v>
      </c>
      <c r="I9" s="194">
        <v>0</v>
      </c>
      <c r="J9" s="194">
        <v>55000</v>
      </c>
      <c r="K9" s="185">
        <v>1</v>
      </c>
      <c r="L9" s="183" t="s">
        <v>285</v>
      </c>
      <c r="M9" s="184" t="s">
        <v>155</v>
      </c>
      <c r="N9" s="184" t="s">
        <v>155</v>
      </c>
      <c r="O9" s="1125"/>
    </row>
    <row r="10" spans="1:15" s="182" customFormat="1" ht="21.95" customHeight="1" x14ac:dyDescent="0.15">
      <c r="A10" s="151" t="s">
        <v>7608</v>
      </c>
      <c r="B10" s="20" t="s">
        <v>4043</v>
      </c>
      <c r="C10" s="1127" t="s">
        <v>4963</v>
      </c>
      <c r="D10" s="1127" t="s">
        <v>5018</v>
      </c>
      <c r="E10" s="1127" t="s">
        <v>5905</v>
      </c>
      <c r="F10" s="184" t="s">
        <v>5078</v>
      </c>
      <c r="G10" s="235" t="s">
        <v>6504</v>
      </c>
      <c r="H10" s="509">
        <v>25147</v>
      </c>
      <c r="I10" s="194">
        <v>0</v>
      </c>
      <c r="J10" s="194">
        <v>40000</v>
      </c>
      <c r="K10" s="185" t="s">
        <v>7624</v>
      </c>
      <c r="L10" s="183" t="s">
        <v>1147</v>
      </c>
      <c r="M10" s="183" t="s">
        <v>2660</v>
      </c>
      <c r="N10" s="183" t="s">
        <v>2660</v>
      </c>
      <c r="O10" s="1125"/>
    </row>
    <row r="11" spans="1:15" s="182" customFormat="1" ht="21.95" customHeight="1" x14ac:dyDescent="0.15">
      <c r="A11" s="151" t="s">
        <v>7609</v>
      </c>
      <c r="B11" s="20" t="s">
        <v>7610</v>
      </c>
      <c r="C11" s="184" t="s">
        <v>4982</v>
      </c>
      <c r="D11" s="184" t="s">
        <v>5098</v>
      </c>
      <c r="E11" s="184" t="s">
        <v>7182</v>
      </c>
      <c r="F11" s="184" t="s">
        <v>5078</v>
      </c>
      <c r="G11" s="235" t="s">
        <v>7183</v>
      </c>
      <c r="H11" s="509">
        <v>25104</v>
      </c>
      <c r="I11" s="194">
        <v>0</v>
      </c>
      <c r="J11" s="194">
        <v>40000</v>
      </c>
      <c r="K11" s="185">
        <v>0.5</v>
      </c>
      <c r="L11" s="183" t="s">
        <v>285</v>
      </c>
      <c r="M11" s="183" t="s">
        <v>3388</v>
      </c>
      <c r="N11" s="183" t="s">
        <v>3388</v>
      </c>
      <c r="O11" s="1125"/>
    </row>
    <row r="12" spans="1:15" s="182" customFormat="1" ht="21.95" customHeight="1" x14ac:dyDescent="0.15">
      <c r="A12" s="151" t="s">
        <v>7611</v>
      </c>
      <c r="B12" s="20" t="s">
        <v>192</v>
      </c>
      <c r="C12" s="1126" t="s">
        <v>5567</v>
      </c>
      <c r="D12" s="1126" t="s">
        <v>4942</v>
      </c>
      <c r="E12" s="1126" t="s">
        <v>5728</v>
      </c>
      <c r="F12" s="184" t="s">
        <v>5078</v>
      </c>
      <c r="G12" s="235" t="s">
        <v>6004</v>
      </c>
      <c r="H12" s="509">
        <v>25181</v>
      </c>
      <c r="I12" s="194">
        <v>0</v>
      </c>
      <c r="J12" s="194">
        <v>43000</v>
      </c>
      <c r="K12" s="222">
        <v>1</v>
      </c>
      <c r="L12" s="183" t="s">
        <v>285</v>
      </c>
      <c r="M12" s="183" t="s">
        <v>2660</v>
      </c>
      <c r="N12" s="183" t="s">
        <v>2660</v>
      </c>
      <c r="O12" s="1125"/>
    </row>
    <row r="13" spans="1:15" s="182" customFormat="1" ht="21.95" customHeight="1" x14ac:dyDescent="0.15">
      <c r="A13" s="151" t="s">
        <v>7614</v>
      </c>
      <c r="B13" s="20" t="s">
        <v>6511</v>
      </c>
      <c r="C13" s="184" t="s">
        <v>3985</v>
      </c>
      <c r="D13" s="184" t="s">
        <v>3572</v>
      </c>
      <c r="E13" s="184" t="s">
        <v>7081</v>
      </c>
      <c r="F13" s="184" t="s">
        <v>3332</v>
      </c>
      <c r="G13" s="235" t="s">
        <v>3333</v>
      </c>
      <c r="H13" s="509">
        <v>26002</v>
      </c>
      <c r="I13" s="194">
        <v>0</v>
      </c>
      <c r="J13" s="194">
        <v>9800</v>
      </c>
      <c r="K13" s="185">
        <v>1</v>
      </c>
      <c r="L13" s="183" t="s">
        <v>1948</v>
      </c>
      <c r="M13" s="183" t="s">
        <v>2660</v>
      </c>
      <c r="N13" s="183" t="s">
        <v>2660</v>
      </c>
      <c r="O13" s="1125"/>
    </row>
    <row r="14" spans="1:15" s="182" customFormat="1" ht="21.95" customHeight="1" x14ac:dyDescent="0.15">
      <c r="A14" s="151" t="s">
        <v>7614</v>
      </c>
      <c r="B14" s="20" t="s">
        <v>6925</v>
      </c>
      <c r="C14" s="399" t="s">
        <v>4941</v>
      </c>
      <c r="D14" s="399" t="s">
        <v>4942</v>
      </c>
      <c r="E14" s="399" t="s">
        <v>6576</v>
      </c>
      <c r="F14" s="224" t="s">
        <v>3328</v>
      </c>
      <c r="G14" s="239" t="s">
        <v>3566</v>
      </c>
      <c r="H14" s="509">
        <v>23129</v>
      </c>
      <c r="I14" s="194">
        <v>0</v>
      </c>
      <c r="J14" s="194">
        <v>27200</v>
      </c>
      <c r="K14" s="185" t="s">
        <v>4546</v>
      </c>
      <c r="L14" s="183" t="s">
        <v>285</v>
      </c>
      <c r="M14" s="183" t="s">
        <v>1784</v>
      </c>
      <c r="N14" s="183" t="s">
        <v>1784</v>
      </c>
      <c r="O14" s="1125"/>
    </row>
    <row r="15" spans="1:15" s="182" customFormat="1" ht="21.95" customHeight="1" x14ac:dyDescent="0.15">
      <c r="A15" s="151" t="s">
        <v>7614</v>
      </c>
      <c r="B15" s="20" t="s">
        <v>6925</v>
      </c>
      <c r="C15" s="184" t="s">
        <v>4941</v>
      </c>
      <c r="D15" s="184" t="s">
        <v>4942</v>
      </c>
      <c r="E15" s="184" t="s">
        <v>6947</v>
      </c>
      <c r="F15" s="184" t="s">
        <v>5078</v>
      </c>
      <c r="G15" s="235" t="s">
        <v>6711</v>
      </c>
      <c r="H15" s="509">
        <v>24100</v>
      </c>
      <c r="I15" s="194">
        <v>0</v>
      </c>
      <c r="J15" s="194">
        <v>34500</v>
      </c>
      <c r="K15" s="185" t="s">
        <v>6898</v>
      </c>
      <c r="L15" s="183" t="s">
        <v>285</v>
      </c>
      <c r="M15" s="183" t="s">
        <v>1784</v>
      </c>
      <c r="N15" s="183" t="s">
        <v>1784</v>
      </c>
      <c r="O15" s="1125"/>
    </row>
    <row r="16" spans="1:15" s="182" customFormat="1" ht="21.95" customHeight="1" x14ac:dyDescent="0.15">
      <c r="A16" s="151" t="s">
        <v>7614</v>
      </c>
      <c r="B16" s="20" t="s">
        <v>4043</v>
      </c>
      <c r="C16" s="399" t="s">
        <v>3985</v>
      </c>
      <c r="D16" s="399" t="s">
        <v>3374</v>
      </c>
      <c r="E16" s="399" t="s">
        <v>7615</v>
      </c>
      <c r="F16" s="184" t="s">
        <v>3332</v>
      </c>
      <c r="G16" s="235" t="s">
        <v>7616</v>
      </c>
      <c r="H16" s="638">
        <v>25048</v>
      </c>
      <c r="I16" s="194">
        <v>0</v>
      </c>
      <c r="J16" s="194">
        <v>185000</v>
      </c>
      <c r="K16" s="185">
        <v>1</v>
      </c>
      <c r="L16" s="183" t="s">
        <v>1948</v>
      </c>
      <c r="M16" s="184" t="s">
        <v>2660</v>
      </c>
      <c r="N16" s="184" t="s">
        <v>2660</v>
      </c>
      <c r="O16" s="1125"/>
    </row>
    <row r="17" spans="1:15" s="182" customFormat="1" ht="21.95" customHeight="1" x14ac:dyDescent="0.15">
      <c r="A17" s="151" t="s">
        <v>7614</v>
      </c>
      <c r="B17" s="20" t="s">
        <v>1313</v>
      </c>
      <c r="C17" s="1136" t="s">
        <v>3346</v>
      </c>
      <c r="D17" s="236" t="s">
        <v>3354</v>
      </c>
      <c r="E17" s="30" t="s">
        <v>3562</v>
      </c>
      <c r="F17" s="184" t="s">
        <v>3328</v>
      </c>
      <c r="G17" s="235" t="s">
        <v>6951</v>
      </c>
      <c r="H17" s="509" t="s">
        <v>6997</v>
      </c>
      <c r="I17" s="194">
        <v>0</v>
      </c>
      <c r="J17" s="194">
        <v>68750</v>
      </c>
      <c r="K17" s="185" t="s">
        <v>6898</v>
      </c>
      <c r="L17" s="183" t="s">
        <v>4706</v>
      </c>
      <c r="M17" s="184" t="s">
        <v>6106</v>
      </c>
      <c r="N17" s="184" t="s">
        <v>5255</v>
      </c>
      <c r="O17" s="233"/>
    </row>
    <row r="18" spans="1:15" s="182" customFormat="1" ht="21.95" customHeight="1" x14ac:dyDescent="0.15">
      <c r="A18" s="151" t="s">
        <v>7614</v>
      </c>
      <c r="B18" s="20" t="s">
        <v>1313</v>
      </c>
      <c r="C18" s="184" t="s">
        <v>4982</v>
      </c>
      <c r="D18" s="184" t="s">
        <v>5018</v>
      </c>
      <c r="E18" s="184" t="s">
        <v>7017</v>
      </c>
      <c r="F18" s="184" t="s">
        <v>5078</v>
      </c>
      <c r="G18" s="235" t="s">
        <v>6951</v>
      </c>
      <c r="H18" s="509" t="s">
        <v>6998</v>
      </c>
      <c r="I18" s="194">
        <v>0</v>
      </c>
      <c r="J18" s="194">
        <v>68750</v>
      </c>
      <c r="K18" s="185" t="s">
        <v>6898</v>
      </c>
      <c r="L18" s="183" t="s">
        <v>4706</v>
      </c>
      <c r="M18" s="184" t="s">
        <v>6106</v>
      </c>
      <c r="N18" s="184" t="s">
        <v>5255</v>
      </c>
      <c r="O18" s="233"/>
    </row>
    <row r="19" spans="1:15" s="182" customFormat="1" ht="21.95" customHeight="1" x14ac:dyDescent="0.15">
      <c r="A19" s="151" t="s">
        <v>7617</v>
      </c>
      <c r="B19" s="20" t="s">
        <v>3002</v>
      </c>
      <c r="C19" s="1127" t="s">
        <v>5213</v>
      </c>
      <c r="D19" s="1127" t="s">
        <v>5214</v>
      </c>
      <c r="E19" s="1127" t="s">
        <v>5215</v>
      </c>
      <c r="F19" s="184" t="s">
        <v>4944</v>
      </c>
      <c r="G19" s="235" t="s">
        <v>5030</v>
      </c>
      <c r="H19" s="509">
        <v>25212</v>
      </c>
      <c r="I19" s="194">
        <v>0</v>
      </c>
      <c r="J19" s="194">
        <v>75000</v>
      </c>
      <c r="K19" s="185">
        <v>1</v>
      </c>
      <c r="L19" s="183" t="s">
        <v>285</v>
      </c>
      <c r="M19" s="183" t="s">
        <v>1784</v>
      </c>
      <c r="N19" s="183" t="s">
        <v>1784</v>
      </c>
      <c r="O19" s="1125"/>
    </row>
    <row r="20" spans="1:15" s="182" customFormat="1" ht="21.95" customHeight="1" x14ac:dyDescent="0.15">
      <c r="A20" s="151" t="s">
        <v>7617</v>
      </c>
      <c r="B20" s="20" t="s">
        <v>7618</v>
      </c>
      <c r="C20" s="184" t="s">
        <v>3985</v>
      </c>
      <c r="D20" s="184" t="s">
        <v>3572</v>
      </c>
      <c r="E20" s="184" t="s">
        <v>6779</v>
      </c>
      <c r="F20" s="184" t="s">
        <v>3344</v>
      </c>
      <c r="G20" s="235" t="s">
        <v>7403</v>
      </c>
      <c r="H20" s="509">
        <v>26003</v>
      </c>
      <c r="I20" s="194">
        <v>0</v>
      </c>
      <c r="J20" s="194">
        <v>15000</v>
      </c>
      <c r="K20" s="185">
        <v>1</v>
      </c>
      <c r="L20" s="183" t="s">
        <v>1948</v>
      </c>
      <c r="M20" s="184" t="s">
        <v>2660</v>
      </c>
      <c r="N20" s="184" t="s">
        <v>2660</v>
      </c>
      <c r="O20" s="1125"/>
    </row>
    <row r="21" spans="1:15" s="182" customFormat="1" ht="21.95" customHeight="1" x14ac:dyDescent="0.15">
      <c r="A21" s="151" t="s">
        <v>7619</v>
      </c>
      <c r="B21" s="20" t="s">
        <v>7620</v>
      </c>
      <c r="C21" s="184" t="s">
        <v>3985</v>
      </c>
      <c r="D21" s="184" t="s">
        <v>3572</v>
      </c>
      <c r="E21" s="184" t="s">
        <v>7621</v>
      </c>
      <c r="F21" s="184" t="s">
        <v>3344</v>
      </c>
      <c r="G21" s="235" t="s">
        <v>7403</v>
      </c>
      <c r="H21" s="509">
        <v>26004</v>
      </c>
      <c r="I21" s="194">
        <v>0</v>
      </c>
      <c r="J21" s="194">
        <v>15000</v>
      </c>
      <c r="K21" s="185">
        <v>1</v>
      </c>
      <c r="L21" s="183" t="s">
        <v>1948</v>
      </c>
      <c r="M21" s="184" t="s">
        <v>2660</v>
      </c>
      <c r="N21" s="184" t="s">
        <v>2660</v>
      </c>
      <c r="O21" s="1125"/>
    </row>
    <row r="22" spans="1:15" s="182" customFormat="1" ht="21.95" customHeight="1" x14ac:dyDescent="0.15">
      <c r="A22" s="151" t="s">
        <v>7619</v>
      </c>
      <c r="B22" s="20" t="s">
        <v>6364</v>
      </c>
      <c r="C22" s="1127" t="s">
        <v>5148</v>
      </c>
      <c r="D22" s="1127" t="s">
        <v>5098</v>
      </c>
      <c r="E22" s="1127" t="s">
        <v>5149</v>
      </c>
      <c r="F22" s="184" t="s">
        <v>5078</v>
      </c>
      <c r="G22" s="235" t="s">
        <v>5030</v>
      </c>
      <c r="H22" s="509">
        <v>25035</v>
      </c>
      <c r="I22" s="194">
        <v>0</v>
      </c>
      <c r="J22" s="194">
        <v>80000</v>
      </c>
      <c r="K22" s="185">
        <v>1</v>
      </c>
      <c r="L22" s="183" t="s">
        <v>285</v>
      </c>
      <c r="M22" s="184" t="s">
        <v>170</v>
      </c>
      <c r="N22" s="184" t="s">
        <v>170</v>
      </c>
      <c r="O22" s="1125"/>
    </row>
    <row r="23" spans="1:15" s="182" customFormat="1" ht="35.25" customHeight="1" x14ac:dyDescent="0.15">
      <c r="A23" s="151" t="s">
        <v>7619</v>
      </c>
      <c r="B23" s="849" t="s">
        <v>7622</v>
      </c>
      <c r="C23" s="184" t="s">
        <v>3371</v>
      </c>
      <c r="D23" s="184" t="s">
        <v>3572</v>
      </c>
      <c r="E23" s="184" t="s">
        <v>7623</v>
      </c>
      <c r="F23" s="184" t="s">
        <v>3332</v>
      </c>
      <c r="G23" s="235" t="s">
        <v>4558</v>
      </c>
      <c r="H23" s="509">
        <v>26001</v>
      </c>
      <c r="I23" s="194">
        <v>0</v>
      </c>
      <c r="J23" s="194">
        <v>330463</v>
      </c>
      <c r="K23" s="185">
        <v>0.7</v>
      </c>
      <c r="L23" s="183" t="s">
        <v>1172</v>
      </c>
      <c r="M23" s="184" t="s">
        <v>155</v>
      </c>
      <c r="N23" s="184" t="s">
        <v>155</v>
      </c>
      <c r="O23" s="1125"/>
    </row>
    <row r="24" spans="1:15" s="182" customFormat="1" ht="21.95" customHeight="1" x14ac:dyDescent="0.15">
      <c r="A24" s="151" t="s">
        <v>7625</v>
      </c>
      <c r="B24" s="20" t="s">
        <v>7626</v>
      </c>
      <c r="C24" s="184" t="s">
        <v>3330</v>
      </c>
      <c r="D24" s="184" t="s">
        <v>7629</v>
      </c>
      <c r="E24" s="184" t="s">
        <v>7630</v>
      </c>
      <c r="F24" s="184" t="s">
        <v>3332</v>
      </c>
      <c r="G24" s="235" t="s">
        <v>6975</v>
      </c>
      <c r="H24" s="1128">
        <v>25125</v>
      </c>
      <c r="I24" s="194">
        <v>0</v>
      </c>
      <c r="J24" s="194">
        <v>86143.5</v>
      </c>
      <c r="K24" s="185">
        <v>0.9</v>
      </c>
      <c r="L24" s="183" t="s">
        <v>1147</v>
      </c>
      <c r="M24" s="184" t="s">
        <v>1784</v>
      </c>
      <c r="N24" s="184" t="s">
        <v>1784</v>
      </c>
      <c r="O24" s="233"/>
    </row>
    <row r="25" spans="1:15" s="182" customFormat="1" ht="21.95" customHeight="1" x14ac:dyDescent="0.15">
      <c r="A25" s="151" t="s">
        <v>7625</v>
      </c>
      <c r="B25" s="20" t="s">
        <v>7627</v>
      </c>
      <c r="C25" s="184" t="s">
        <v>3330</v>
      </c>
      <c r="D25" s="184" t="s">
        <v>7629</v>
      </c>
      <c r="E25" s="184" t="s">
        <v>7631</v>
      </c>
      <c r="F25" s="184" t="s">
        <v>3332</v>
      </c>
      <c r="G25" s="235" t="s">
        <v>6975</v>
      </c>
      <c r="H25" s="1128">
        <v>25127</v>
      </c>
      <c r="I25" s="194">
        <v>0</v>
      </c>
      <c r="J25" s="194">
        <v>86143.5</v>
      </c>
      <c r="K25" s="185">
        <v>0.9</v>
      </c>
      <c r="L25" s="183" t="s">
        <v>1147</v>
      </c>
      <c r="M25" s="184" t="s">
        <v>1784</v>
      </c>
      <c r="N25" s="184" t="s">
        <v>1784</v>
      </c>
      <c r="O25" s="233"/>
    </row>
    <row r="26" spans="1:15" s="182" customFormat="1" ht="21.95" customHeight="1" x14ac:dyDescent="0.15">
      <c r="A26" s="151" t="s">
        <v>7625</v>
      </c>
      <c r="B26" s="20" t="s">
        <v>7628</v>
      </c>
      <c r="C26" s="1130" t="s">
        <v>4963</v>
      </c>
      <c r="D26" s="1130" t="s">
        <v>5018</v>
      </c>
      <c r="E26" s="1130" t="s">
        <v>5904</v>
      </c>
      <c r="F26" s="184" t="s">
        <v>5078</v>
      </c>
      <c r="G26" s="235" t="s">
        <v>7634</v>
      </c>
      <c r="H26" s="1128">
        <v>25146</v>
      </c>
      <c r="I26" s="194">
        <v>0</v>
      </c>
      <c r="J26" s="194">
        <v>40050</v>
      </c>
      <c r="K26" s="185">
        <v>0.9</v>
      </c>
      <c r="L26" s="183" t="s">
        <v>1147</v>
      </c>
      <c r="M26" s="184" t="s">
        <v>2660</v>
      </c>
      <c r="N26" s="184" t="s">
        <v>2660</v>
      </c>
      <c r="O26" s="233"/>
    </row>
    <row r="27" spans="1:15" s="182" customFormat="1" ht="21.95" customHeight="1" x14ac:dyDescent="0.15">
      <c r="A27" s="151" t="s">
        <v>7625</v>
      </c>
      <c r="B27" s="20" t="s">
        <v>7632</v>
      </c>
      <c r="C27" s="184" t="s">
        <v>3330</v>
      </c>
      <c r="D27" s="184" t="s">
        <v>3419</v>
      </c>
      <c r="E27" s="184" t="s">
        <v>7633</v>
      </c>
      <c r="F27" s="184" t="s">
        <v>3332</v>
      </c>
      <c r="G27" s="235" t="s">
        <v>4160</v>
      </c>
      <c r="H27" s="1128">
        <v>25072</v>
      </c>
      <c r="I27" s="194">
        <v>0</v>
      </c>
      <c r="J27" s="194">
        <v>259200</v>
      </c>
      <c r="K27" s="185">
        <v>0.9</v>
      </c>
      <c r="L27" s="183" t="s">
        <v>1147</v>
      </c>
      <c r="M27" s="184" t="s">
        <v>1784</v>
      </c>
      <c r="N27" s="184" t="s">
        <v>1784</v>
      </c>
      <c r="O27" s="233"/>
    </row>
    <row r="28" spans="1:15" s="182" customFormat="1" ht="21.95" customHeight="1" x14ac:dyDescent="0.15">
      <c r="A28" s="151" t="s">
        <v>7625</v>
      </c>
      <c r="B28" s="20" t="s">
        <v>6441</v>
      </c>
      <c r="C28" s="236" t="s">
        <v>3346</v>
      </c>
      <c r="D28" s="1129" t="s">
        <v>3354</v>
      </c>
      <c r="E28" s="180" t="s">
        <v>4130</v>
      </c>
      <c r="F28" s="224" t="s">
        <v>3328</v>
      </c>
      <c r="G28" s="235" t="s">
        <v>6951</v>
      </c>
      <c r="H28" s="509" t="s">
        <v>6973</v>
      </c>
      <c r="I28" s="194">
        <v>0</v>
      </c>
      <c r="J28" s="194">
        <v>68750</v>
      </c>
      <c r="K28" s="185" t="s">
        <v>6898</v>
      </c>
      <c r="L28" s="183" t="s">
        <v>4706</v>
      </c>
      <c r="M28" s="184" t="s">
        <v>6106</v>
      </c>
      <c r="N28" s="184" t="s">
        <v>5255</v>
      </c>
      <c r="O28" s="233"/>
    </row>
    <row r="29" spans="1:15" s="182" customFormat="1" ht="21.95" customHeight="1" x14ac:dyDescent="0.15">
      <c r="A29" s="151" t="s">
        <v>7625</v>
      </c>
      <c r="B29" s="20" t="s">
        <v>6923</v>
      </c>
      <c r="C29" s="184" t="s">
        <v>4963</v>
      </c>
      <c r="D29" s="184" t="s">
        <v>6434</v>
      </c>
      <c r="E29" s="184" t="s">
        <v>6435</v>
      </c>
      <c r="F29" s="184" t="s">
        <v>4944</v>
      </c>
      <c r="G29" s="235" t="s">
        <v>5030</v>
      </c>
      <c r="H29" s="509" t="s">
        <v>6927</v>
      </c>
      <c r="I29" s="194">
        <v>0</v>
      </c>
      <c r="J29" s="194">
        <v>22500</v>
      </c>
      <c r="K29" s="185">
        <v>0.5</v>
      </c>
      <c r="L29" s="183" t="s">
        <v>285</v>
      </c>
      <c r="M29" s="184" t="s">
        <v>2660</v>
      </c>
      <c r="N29" s="184" t="s">
        <v>2660</v>
      </c>
      <c r="O29" s="233"/>
    </row>
    <row r="30" spans="1:15" s="182" customFormat="1" ht="21.95" customHeight="1" x14ac:dyDescent="0.15">
      <c r="A30" s="151" t="s">
        <v>7625</v>
      </c>
      <c r="B30" s="20" t="s">
        <v>6923</v>
      </c>
      <c r="C30" s="184" t="s">
        <v>4963</v>
      </c>
      <c r="D30" s="184" t="s">
        <v>6434</v>
      </c>
      <c r="E30" s="184" t="s">
        <v>6436</v>
      </c>
      <c r="F30" s="184" t="s">
        <v>4944</v>
      </c>
      <c r="G30" s="235" t="s">
        <v>5030</v>
      </c>
      <c r="H30" s="509" t="s">
        <v>6928</v>
      </c>
      <c r="I30" s="194">
        <v>0</v>
      </c>
      <c r="J30" s="194">
        <v>22500</v>
      </c>
      <c r="K30" s="185">
        <v>0.5</v>
      </c>
      <c r="L30" s="183" t="s">
        <v>285</v>
      </c>
      <c r="M30" s="184" t="s">
        <v>2660</v>
      </c>
      <c r="N30" s="184" t="s">
        <v>2660</v>
      </c>
      <c r="O30" s="233"/>
    </row>
    <row r="31" spans="1:15" s="182" customFormat="1" ht="21.95" customHeight="1" x14ac:dyDescent="0.15">
      <c r="A31" s="151" t="s">
        <v>7625</v>
      </c>
      <c r="B31" s="20" t="s">
        <v>6923</v>
      </c>
      <c r="C31" s="184" t="s">
        <v>4963</v>
      </c>
      <c r="D31" s="184" t="s">
        <v>6434</v>
      </c>
      <c r="E31" s="184" t="s">
        <v>6437</v>
      </c>
      <c r="F31" s="184" t="s">
        <v>4944</v>
      </c>
      <c r="G31" s="235" t="s">
        <v>5030</v>
      </c>
      <c r="H31" s="509" t="s">
        <v>6929</v>
      </c>
      <c r="I31" s="194">
        <v>0</v>
      </c>
      <c r="J31" s="194">
        <v>22500</v>
      </c>
      <c r="K31" s="185">
        <v>0.5</v>
      </c>
      <c r="L31" s="183" t="s">
        <v>285</v>
      </c>
      <c r="M31" s="184" t="s">
        <v>2660</v>
      </c>
      <c r="N31" s="184" t="s">
        <v>2660</v>
      </c>
      <c r="O31" s="233"/>
    </row>
    <row r="32" spans="1:15" s="182" customFormat="1" ht="21.95" customHeight="1" x14ac:dyDescent="0.15">
      <c r="A32" s="151" t="s">
        <v>7625</v>
      </c>
      <c r="B32" s="20" t="s">
        <v>6923</v>
      </c>
      <c r="C32" s="184" t="s">
        <v>4963</v>
      </c>
      <c r="D32" s="184" t="s">
        <v>6434</v>
      </c>
      <c r="E32" s="184" t="s">
        <v>6438</v>
      </c>
      <c r="F32" s="184" t="s">
        <v>4944</v>
      </c>
      <c r="G32" s="235" t="s">
        <v>5030</v>
      </c>
      <c r="H32" s="509" t="s">
        <v>6930</v>
      </c>
      <c r="I32" s="194">
        <v>0</v>
      </c>
      <c r="J32" s="194">
        <v>22500</v>
      </c>
      <c r="K32" s="185">
        <v>0.5</v>
      </c>
      <c r="L32" s="183" t="s">
        <v>285</v>
      </c>
      <c r="M32" s="184" t="s">
        <v>2660</v>
      </c>
      <c r="N32" s="184" t="s">
        <v>2660</v>
      </c>
      <c r="O32" s="233"/>
    </row>
    <row r="33" spans="1:15" s="182" customFormat="1" ht="21.95" customHeight="1" x14ac:dyDescent="0.15">
      <c r="A33" s="151" t="s">
        <v>7625</v>
      </c>
      <c r="B33" s="20" t="s">
        <v>4296</v>
      </c>
      <c r="C33" s="1130" t="s">
        <v>4982</v>
      </c>
      <c r="D33" s="1130" t="s">
        <v>5153</v>
      </c>
      <c r="E33" s="1130" t="s">
        <v>6123</v>
      </c>
      <c r="F33" s="184" t="s">
        <v>5078</v>
      </c>
      <c r="G33" s="235" t="s">
        <v>5030</v>
      </c>
      <c r="H33" s="509">
        <v>24065</v>
      </c>
      <c r="I33" s="194">
        <v>0</v>
      </c>
      <c r="J33" s="194">
        <v>78000</v>
      </c>
      <c r="K33" s="185">
        <v>1</v>
      </c>
      <c r="L33" s="183" t="s">
        <v>285</v>
      </c>
      <c r="M33" s="184" t="s">
        <v>3388</v>
      </c>
      <c r="N33" s="184" t="s">
        <v>3388</v>
      </c>
      <c r="O33" s="233"/>
    </row>
    <row r="34" spans="1:15" s="182" customFormat="1" ht="21.95" customHeight="1" x14ac:dyDescent="0.15">
      <c r="A34" s="151" t="s">
        <v>7625</v>
      </c>
      <c r="B34" s="20" t="s">
        <v>4296</v>
      </c>
      <c r="C34" s="184" t="s">
        <v>3371</v>
      </c>
      <c r="D34" s="184" t="s">
        <v>7636</v>
      </c>
      <c r="E34" s="184" t="s">
        <v>7637</v>
      </c>
      <c r="F34" s="184" t="s">
        <v>3332</v>
      </c>
      <c r="G34" s="235" t="s">
        <v>3381</v>
      </c>
      <c r="H34" s="509">
        <v>25132</v>
      </c>
      <c r="I34" s="194">
        <v>0</v>
      </c>
      <c r="J34" s="194">
        <v>19000</v>
      </c>
      <c r="K34" s="185" t="s">
        <v>7638</v>
      </c>
      <c r="L34" s="183" t="s">
        <v>285</v>
      </c>
      <c r="M34" s="184" t="s">
        <v>3388</v>
      </c>
      <c r="N34" s="184" t="s">
        <v>3388</v>
      </c>
      <c r="O34" s="233"/>
    </row>
    <row r="35" spans="1:15" s="182" customFormat="1" ht="21.95" customHeight="1" x14ac:dyDescent="0.15">
      <c r="A35" s="151" t="s">
        <v>7635</v>
      </c>
      <c r="B35" s="20" t="s">
        <v>6549</v>
      </c>
      <c r="C35" s="184" t="s">
        <v>4941</v>
      </c>
      <c r="D35" s="184" t="s">
        <v>4942</v>
      </c>
      <c r="E35" s="399" t="s">
        <v>6552</v>
      </c>
      <c r="F35" s="184" t="s">
        <v>5078</v>
      </c>
      <c r="G35" s="235" t="s">
        <v>6711</v>
      </c>
      <c r="H35" s="509">
        <v>24094</v>
      </c>
      <c r="I35" s="194">
        <v>0</v>
      </c>
      <c r="J35" s="194">
        <v>16560</v>
      </c>
      <c r="K35" s="185">
        <v>0.08</v>
      </c>
      <c r="L35" s="183" t="s">
        <v>4706</v>
      </c>
      <c r="M35" s="184" t="s">
        <v>1784</v>
      </c>
      <c r="N35" s="184" t="s">
        <v>1784</v>
      </c>
      <c r="O35" s="233"/>
    </row>
    <row r="36" spans="1:15" s="182" customFormat="1" ht="21.95" customHeight="1" x14ac:dyDescent="0.15">
      <c r="A36" s="151" t="s">
        <v>7635</v>
      </c>
      <c r="B36" s="20" t="s">
        <v>7038</v>
      </c>
      <c r="C36" s="184" t="s">
        <v>4963</v>
      </c>
      <c r="D36" s="184" t="s">
        <v>5153</v>
      </c>
      <c r="E36" s="184" t="s">
        <v>6977</v>
      </c>
      <c r="F36" s="184" t="s">
        <v>5078</v>
      </c>
      <c r="G36" s="235" t="s">
        <v>6975</v>
      </c>
      <c r="H36" s="1130">
        <v>25030</v>
      </c>
      <c r="I36" s="194">
        <v>0</v>
      </c>
      <c r="J36" s="194">
        <v>52988</v>
      </c>
      <c r="K36" s="185">
        <v>0.2</v>
      </c>
      <c r="L36" s="183" t="s">
        <v>1147</v>
      </c>
      <c r="M36" s="184" t="s">
        <v>2660</v>
      </c>
      <c r="N36" s="184" t="s">
        <v>2660</v>
      </c>
      <c r="O36" s="233"/>
    </row>
    <row r="37" spans="1:15" s="182" customFormat="1" ht="21.95" customHeight="1" x14ac:dyDescent="0.15">
      <c r="A37" s="151" t="s">
        <v>7635</v>
      </c>
      <c r="B37" s="20" t="s">
        <v>7038</v>
      </c>
      <c r="C37" s="184" t="s">
        <v>4963</v>
      </c>
      <c r="D37" s="184" t="s">
        <v>5153</v>
      </c>
      <c r="E37" s="1131" t="s">
        <v>7639</v>
      </c>
      <c r="F37" s="184" t="s">
        <v>5078</v>
      </c>
      <c r="G37" s="235" t="s">
        <v>7640</v>
      </c>
      <c r="H37" s="1130">
        <v>25058</v>
      </c>
      <c r="I37" s="194">
        <v>0</v>
      </c>
      <c r="J37" s="194">
        <v>30000</v>
      </c>
      <c r="K37" s="185">
        <v>1</v>
      </c>
      <c r="L37" s="183" t="s">
        <v>1948</v>
      </c>
      <c r="M37" s="184" t="s">
        <v>2660</v>
      </c>
      <c r="N37" s="184" t="s">
        <v>2660</v>
      </c>
      <c r="O37" s="1131" t="s">
        <v>7641</v>
      </c>
    </row>
    <row r="38" spans="1:15" s="182" customFormat="1" ht="21.95" customHeight="1" x14ac:dyDescent="0.15">
      <c r="A38" s="151" t="s">
        <v>7635</v>
      </c>
      <c r="B38" s="20" t="s">
        <v>6652</v>
      </c>
      <c r="C38" s="184" t="s">
        <v>4963</v>
      </c>
      <c r="D38" s="184" t="s">
        <v>5153</v>
      </c>
      <c r="E38" s="184" t="s">
        <v>5179</v>
      </c>
      <c r="F38" s="184" t="s">
        <v>5078</v>
      </c>
      <c r="G38" s="235" t="s">
        <v>7640</v>
      </c>
      <c r="H38" s="1130">
        <v>25040</v>
      </c>
      <c r="I38" s="194">
        <v>0</v>
      </c>
      <c r="J38" s="194">
        <v>30000</v>
      </c>
      <c r="K38" s="185">
        <v>1</v>
      </c>
      <c r="L38" s="183" t="s">
        <v>1948</v>
      </c>
      <c r="M38" s="184" t="s">
        <v>2660</v>
      </c>
      <c r="N38" s="184" t="s">
        <v>2660</v>
      </c>
      <c r="O38" s="233"/>
    </row>
    <row r="39" spans="1:15" s="182" customFormat="1" ht="21.95" customHeight="1" x14ac:dyDescent="0.15">
      <c r="A39" s="151" t="s">
        <v>7635</v>
      </c>
      <c r="B39" s="20" t="s">
        <v>167</v>
      </c>
      <c r="C39" s="184" t="s">
        <v>4982</v>
      </c>
      <c r="D39" s="184" t="s">
        <v>5721</v>
      </c>
      <c r="E39" s="184" t="s">
        <v>820</v>
      </c>
      <c r="F39" s="184" t="s">
        <v>5078</v>
      </c>
      <c r="G39" s="235" t="s">
        <v>3336</v>
      </c>
      <c r="H39" s="509">
        <v>25208</v>
      </c>
      <c r="I39" s="194">
        <v>0</v>
      </c>
      <c r="J39" s="194">
        <v>7125</v>
      </c>
      <c r="K39" s="185">
        <v>0.95</v>
      </c>
      <c r="L39" s="183" t="s">
        <v>1172</v>
      </c>
      <c r="M39" s="184" t="s">
        <v>1880</v>
      </c>
      <c r="N39" s="184" t="s">
        <v>1880</v>
      </c>
      <c r="O39" s="233"/>
    </row>
    <row r="40" spans="1:15" s="182" customFormat="1" ht="21.95" customHeight="1" x14ac:dyDescent="0.15">
      <c r="A40" s="151" t="s">
        <v>7635</v>
      </c>
      <c r="B40" s="20" t="s">
        <v>195</v>
      </c>
      <c r="C40" s="1017" t="s">
        <v>3985</v>
      </c>
      <c r="D40" s="1017" t="s">
        <v>3405</v>
      </c>
      <c r="E40" s="1017" t="s">
        <v>6041</v>
      </c>
      <c r="F40" s="184" t="s">
        <v>3332</v>
      </c>
      <c r="G40" s="235" t="s">
        <v>6711</v>
      </c>
      <c r="H40" s="509" t="s">
        <v>7642</v>
      </c>
      <c r="I40" s="194">
        <v>0</v>
      </c>
      <c r="J40" s="194">
        <v>100000</v>
      </c>
      <c r="K40" s="185" t="s">
        <v>3105</v>
      </c>
      <c r="L40" s="183" t="s">
        <v>285</v>
      </c>
      <c r="M40" s="184" t="s">
        <v>2660</v>
      </c>
      <c r="N40" s="184" t="s">
        <v>2660</v>
      </c>
      <c r="O40" s="233"/>
    </row>
    <row r="41" spans="1:15" s="182" customFormat="1" ht="21.95" customHeight="1" x14ac:dyDescent="0.15">
      <c r="A41" s="151" t="s">
        <v>7635</v>
      </c>
      <c r="B41" s="20" t="s">
        <v>195</v>
      </c>
      <c r="C41" s="1132" t="s">
        <v>4963</v>
      </c>
      <c r="D41" s="1132" t="s">
        <v>4964</v>
      </c>
      <c r="E41" s="1132" t="s">
        <v>5909</v>
      </c>
      <c r="F41" s="184" t="s">
        <v>3332</v>
      </c>
      <c r="G41" s="235" t="s">
        <v>6711</v>
      </c>
      <c r="H41" s="509" t="s">
        <v>7643</v>
      </c>
      <c r="I41" s="194">
        <v>0</v>
      </c>
      <c r="J41" s="194">
        <v>100000</v>
      </c>
      <c r="K41" s="185" t="s">
        <v>3105</v>
      </c>
      <c r="L41" s="183" t="s">
        <v>285</v>
      </c>
      <c r="M41" s="184" t="s">
        <v>2660</v>
      </c>
      <c r="N41" s="184" t="s">
        <v>2660</v>
      </c>
      <c r="O41" s="233"/>
    </row>
    <row r="42" spans="1:15" s="182" customFormat="1" ht="21.95" customHeight="1" x14ac:dyDescent="0.15">
      <c r="A42" s="151" t="s">
        <v>7635</v>
      </c>
      <c r="B42" s="20" t="s">
        <v>6731</v>
      </c>
      <c r="C42" s="184" t="s">
        <v>4963</v>
      </c>
      <c r="D42" s="184" t="s">
        <v>4964</v>
      </c>
      <c r="E42" s="184" t="s">
        <v>4965</v>
      </c>
      <c r="F42" s="184" t="s">
        <v>3332</v>
      </c>
      <c r="G42" s="235" t="s">
        <v>6711</v>
      </c>
      <c r="H42" s="1130">
        <v>24062</v>
      </c>
      <c r="I42" s="194">
        <v>0</v>
      </c>
      <c r="J42" s="194">
        <v>96000</v>
      </c>
      <c r="K42" s="185">
        <v>0.32</v>
      </c>
      <c r="L42" s="183" t="s">
        <v>285</v>
      </c>
      <c r="M42" s="184" t="s">
        <v>2660</v>
      </c>
      <c r="N42" s="184" t="s">
        <v>2660</v>
      </c>
      <c r="O42" s="233"/>
    </row>
    <row r="43" spans="1:15" s="182" customFormat="1" ht="21.95" customHeight="1" x14ac:dyDescent="0.15">
      <c r="A43" s="151" t="s">
        <v>7644</v>
      </c>
      <c r="B43" s="20" t="s">
        <v>7645</v>
      </c>
      <c r="C43" s="184" t="s">
        <v>4963</v>
      </c>
      <c r="D43" s="184" t="s">
        <v>5153</v>
      </c>
      <c r="E43" s="1133" t="s">
        <v>7649</v>
      </c>
      <c r="F43" s="184" t="s">
        <v>3340</v>
      </c>
      <c r="G43" s="235" t="s">
        <v>7640</v>
      </c>
      <c r="H43" s="509">
        <v>25060</v>
      </c>
      <c r="I43" s="194">
        <v>0</v>
      </c>
      <c r="J43" s="194">
        <v>30000</v>
      </c>
      <c r="K43" s="185">
        <v>1</v>
      </c>
      <c r="L43" s="183" t="s">
        <v>1948</v>
      </c>
      <c r="M43" s="184" t="s">
        <v>2660</v>
      </c>
      <c r="N43" s="184" t="s">
        <v>2660</v>
      </c>
      <c r="O43" s="1133" t="s">
        <v>7641</v>
      </c>
    </row>
    <row r="44" spans="1:15" s="182" customFormat="1" ht="21.95" customHeight="1" x14ac:dyDescent="0.15">
      <c r="A44" s="151" t="s">
        <v>7644</v>
      </c>
      <c r="B44" s="20" t="s">
        <v>7646</v>
      </c>
      <c r="C44" s="184" t="s">
        <v>4963</v>
      </c>
      <c r="D44" s="184" t="s">
        <v>5153</v>
      </c>
      <c r="E44" s="184" t="s">
        <v>6815</v>
      </c>
      <c r="F44" s="184" t="s">
        <v>5078</v>
      </c>
      <c r="G44" s="235" t="s">
        <v>7640</v>
      </c>
      <c r="H44" s="509">
        <v>25045</v>
      </c>
      <c r="I44" s="194">
        <v>0</v>
      </c>
      <c r="J44" s="194">
        <v>30000</v>
      </c>
      <c r="K44" s="185">
        <v>1</v>
      </c>
      <c r="L44" s="183" t="s">
        <v>1948</v>
      </c>
      <c r="M44" s="184" t="s">
        <v>2660</v>
      </c>
      <c r="N44" s="184" t="s">
        <v>2660</v>
      </c>
      <c r="O44" s="233"/>
    </row>
    <row r="45" spans="1:15" s="182" customFormat="1" ht="21.95" customHeight="1" x14ac:dyDescent="0.15">
      <c r="A45" s="151" t="s">
        <v>7644</v>
      </c>
      <c r="B45" s="20" t="s">
        <v>7647</v>
      </c>
      <c r="C45" s="184" t="s">
        <v>4963</v>
      </c>
      <c r="D45" s="184" t="s">
        <v>5153</v>
      </c>
      <c r="E45" s="184" t="s">
        <v>6976</v>
      </c>
      <c r="F45" s="184" t="s">
        <v>5078</v>
      </c>
      <c r="G45" s="235" t="s">
        <v>7640</v>
      </c>
      <c r="H45" s="509">
        <v>25057</v>
      </c>
      <c r="I45" s="194">
        <v>0</v>
      </c>
      <c r="J45" s="194">
        <v>20000</v>
      </c>
      <c r="K45" s="185">
        <v>1</v>
      </c>
      <c r="L45" s="183" t="s">
        <v>1948</v>
      </c>
      <c r="M45" s="184" t="s">
        <v>2660</v>
      </c>
      <c r="N45" s="184" t="s">
        <v>2660</v>
      </c>
      <c r="O45" s="1134" t="s">
        <v>7641</v>
      </c>
    </row>
    <row r="46" spans="1:15" s="182" customFormat="1" ht="21.95" customHeight="1" x14ac:dyDescent="0.15">
      <c r="A46" s="151" t="s">
        <v>7644</v>
      </c>
      <c r="B46" s="20" t="s">
        <v>7040</v>
      </c>
      <c r="C46" s="184" t="s">
        <v>4963</v>
      </c>
      <c r="D46" s="184" t="s">
        <v>5153</v>
      </c>
      <c r="E46" s="184" t="s">
        <v>6525</v>
      </c>
      <c r="F46" s="184" t="s">
        <v>5078</v>
      </c>
      <c r="G46" s="235" t="s">
        <v>7640</v>
      </c>
      <c r="H46" s="509">
        <v>25041</v>
      </c>
      <c r="I46" s="194">
        <v>0</v>
      </c>
      <c r="J46" s="194">
        <v>30000</v>
      </c>
      <c r="K46" s="185">
        <v>1</v>
      </c>
      <c r="L46" s="183" t="s">
        <v>1948</v>
      </c>
      <c r="M46" s="184" t="s">
        <v>2660</v>
      </c>
      <c r="N46" s="184" t="s">
        <v>2660</v>
      </c>
      <c r="O46" s="233"/>
    </row>
    <row r="47" spans="1:15" s="182" customFormat="1" ht="21.95" customHeight="1" x14ac:dyDescent="0.15">
      <c r="A47" s="151" t="s">
        <v>7644</v>
      </c>
      <c r="B47" s="20" t="s">
        <v>7053</v>
      </c>
      <c r="C47" s="184" t="s">
        <v>4963</v>
      </c>
      <c r="D47" s="184" t="s">
        <v>5153</v>
      </c>
      <c r="E47" s="1134" t="s">
        <v>6979</v>
      </c>
      <c r="F47" s="184" t="s">
        <v>3340</v>
      </c>
      <c r="G47" s="235" t="s">
        <v>7640</v>
      </c>
      <c r="H47" s="509">
        <v>25059</v>
      </c>
      <c r="I47" s="194">
        <v>0</v>
      </c>
      <c r="J47" s="194">
        <v>30000</v>
      </c>
      <c r="K47" s="185">
        <v>1</v>
      </c>
      <c r="L47" s="183" t="s">
        <v>1948</v>
      </c>
      <c r="M47" s="184" t="s">
        <v>2660</v>
      </c>
      <c r="N47" s="184" t="s">
        <v>2660</v>
      </c>
      <c r="O47" s="1134" t="s">
        <v>7641</v>
      </c>
    </row>
    <row r="48" spans="1:15" s="182" customFormat="1" ht="21.95" customHeight="1" x14ac:dyDescent="0.15">
      <c r="A48" s="151" t="s">
        <v>7644</v>
      </c>
      <c r="B48" s="20" t="s">
        <v>7648</v>
      </c>
      <c r="C48" s="184" t="s">
        <v>4963</v>
      </c>
      <c r="D48" s="184" t="s">
        <v>5153</v>
      </c>
      <c r="E48" s="1134" t="s">
        <v>7650</v>
      </c>
      <c r="F48" s="184" t="s">
        <v>3340</v>
      </c>
      <c r="G48" s="235" t="s">
        <v>7640</v>
      </c>
      <c r="H48" s="1128">
        <v>25063</v>
      </c>
      <c r="I48" s="194">
        <v>0</v>
      </c>
      <c r="J48" s="194">
        <v>30000</v>
      </c>
      <c r="K48" s="185">
        <v>1</v>
      </c>
      <c r="L48" s="183" t="s">
        <v>1948</v>
      </c>
      <c r="M48" s="184" t="s">
        <v>2660</v>
      </c>
      <c r="N48" s="184" t="s">
        <v>2660</v>
      </c>
      <c r="O48" s="1134" t="s">
        <v>7641</v>
      </c>
    </row>
    <row r="49" spans="1:15" s="182" customFormat="1" ht="21.95" customHeight="1" x14ac:dyDescent="0.15">
      <c r="A49" s="151" t="s">
        <v>7644</v>
      </c>
      <c r="B49" s="20" t="s">
        <v>2373</v>
      </c>
      <c r="C49" s="184" t="s">
        <v>4982</v>
      </c>
      <c r="D49" s="184" t="s">
        <v>5153</v>
      </c>
      <c r="E49" s="184" t="s">
        <v>720</v>
      </c>
      <c r="F49" s="184" t="s">
        <v>3328</v>
      </c>
      <c r="G49" s="235" t="s">
        <v>3349</v>
      </c>
      <c r="H49" s="509">
        <v>24066</v>
      </c>
      <c r="I49" s="194">
        <v>0</v>
      </c>
      <c r="J49" s="194">
        <v>78000</v>
      </c>
      <c r="K49" s="185">
        <v>1</v>
      </c>
      <c r="L49" s="183" t="s">
        <v>285</v>
      </c>
      <c r="M49" s="184" t="s">
        <v>3388</v>
      </c>
      <c r="N49" s="184" t="s">
        <v>3388</v>
      </c>
      <c r="O49" s="233"/>
    </row>
    <row r="50" spans="1:15" s="182" customFormat="1" ht="21.95" customHeight="1" x14ac:dyDescent="0.15">
      <c r="A50" s="151" t="s">
        <v>7644</v>
      </c>
      <c r="B50" s="20" t="s">
        <v>2373</v>
      </c>
      <c r="C50" s="184" t="s">
        <v>3371</v>
      </c>
      <c r="D50" s="184" t="s">
        <v>7636</v>
      </c>
      <c r="E50" s="184" t="s">
        <v>7651</v>
      </c>
      <c r="F50" s="184" t="s">
        <v>3332</v>
      </c>
      <c r="G50" s="235" t="s">
        <v>3381</v>
      </c>
      <c r="H50" s="509">
        <v>25131</v>
      </c>
      <c r="I50" s="194">
        <v>0</v>
      </c>
      <c r="J50" s="194">
        <v>19000</v>
      </c>
      <c r="K50" s="185" t="s">
        <v>7638</v>
      </c>
      <c r="L50" s="183" t="s">
        <v>285</v>
      </c>
      <c r="M50" s="184" t="s">
        <v>3388</v>
      </c>
      <c r="N50" s="184" t="s">
        <v>3388</v>
      </c>
      <c r="O50" s="233"/>
    </row>
    <row r="51" spans="1:15" s="182" customFormat="1" ht="21.95" customHeight="1" x14ac:dyDescent="0.15">
      <c r="A51" s="151" t="s">
        <v>7644</v>
      </c>
      <c r="B51" s="20" t="s">
        <v>2373</v>
      </c>
      <c r="C51" s="184" t="s">
        <v>3371</v>
      </c>
      <c r="D51" s="184" t="s">
        <v>7636</v>
      </c>
      <c r="E51" s="184" t="s">
        <v>7651</v>
      </c>
      <c r="F51" s="184" t="s">
        <v>3332</v>
      </c>
      <c r="G51" s="235" t="s">
        <v>3333</v>
      </c>
      <c r="H51" s="509">
        <v>25165</v>
      </c>
      <c r="I51" s="194">
        <v>0</v>
      </c>
      <c r="J51" s="194">
        <v>56920</v>
      </c>
      <c r="K51" s="185">
        <v>1</v>
      </c>
      <c r="L51" s="183" t="s">
        <v>1948</v>
      </c>
      <c r="M51" s="184" t="s">
        <v>3388</v>
      </c>
      <c r="N51" s="184" t="s">
        <v>3388</v>
      </c>
      <c r="O51" s="233"/>
    </row>
    <row r="52" spans="1:15" s="182" customFormat="1" ht="21.95" customHeight="1" x14ac:dyDescent="0.15">
      <c r="A52" s="151" t="s">
        <v>7644</v>
      </c>
      <c r="B52" s="20" t="s">
        <v>7042</v>
      </c>
      <c r="C52" s="184" t="s">
        <v>4982</v>
      </c>
      <c r="D52" s="184" t="s">
        <v>6294</v>
      </c>
      <c r="E52" s="184" t="s">
        <v>4984</v>
      </c>
      <c r="F52" s="224" t="s">
        <v>3340</v>
      </c>
      <c r="G52" s="235" t="s">
        <v>4985</v>
      </c>
      <c r="H52" s="509" t="s">
        <v>4988</v>
      </c>
      <c r="I52" s="194">
        <v>0</v>
      </c>
      <c r="J52" s="194">
        <v>17280</v>
      </c>
      <c r="K52" s="185">
        <v>0.1</v>
      </c>
      <c r="L52" s="183" t="s">
        <v>1147</v>
      </c>
      <c r="M52" s="184" t="s">
        <v>1880</v>
      </c>
      <c r="N52" s="184" t="s">
        <v>1880</v>
      </c>
      <c r="O52" s="233"/>
    </row>
    <row r="53" spans="1:15" s="182" customFormat="1" ht="21.95" customHeight="1" x14ac:dyDescent="0.15">
      <c r="A53" s="151" t="s">
        <v>7644</v>
      </c>
      <c r="B53" s="20" t="s">
        <v>7042</v>
      </c>
      <c r="C53" s="184" t="s">
        <v>4982</v>
      </c>
      <c r="D53" s="184" t="s">
        <v>6294</v>
      </c>
      <c r="E53" s="184" t="s">
        <v>4986</v>
      </c>
      <c r="F53" s="184" t="s">
        <v>3400</v>
      </c>
      <c r="G53" s="235" t="s">
        <v>4987</v>
      </c>
      <c r="H53" s="509" t="s">
        <v>7667</v>
      </c>
      <c r="I53" s="194">
        <v>0</v>
      </c>
      <c r="J53" s="194">
        <v>7500</v>
      </c>
      <c r="K53" s="185">
        <v>0.1</v>
      </c>
      <c r="L53" s="183" t="s">
        <v>1147</v>
      </c>
      <c r="M53" s="184" t="s">
        <v>1880</v>
      </c>
      <c r="N53" s="184" t="s">
        <v>1880</v>
      </c>
      <c r="O53" s="233"/>
    </row>
    <row r="54" spans="1:15" s="182" customFormat="1" ht="21.95" customHeight="1" x14ac:dyDescent="0.15">
      <c r="A54" s="151" t="s">
        <v>7644</v>
      </c>
      <c r="B54" s="20" t="s">
        <v>7652</v>
      </c>
      <c r="C54" s="184" t="s">
        <v>4963</v>
      </c>
      <c r="D54" s="184" t="s">
        <v>5153</v>
      </c>
      <c r="E54" s="1135" t="s">
        <v>7653</v>
      </c>
      <c r="F54" s="184" t="s">
        <v>5078</v>
      </c>
      <c r="G54" s="235" t="s">
        <v>7640</v>
      </c>
      <c r="H54" s="509">
        <v>25043</v>
      </c>
      <c r="I54" s="194">
        <v>0</v>
      </c>
      <c r="J54" s="194">
        <v>30000</v>
      </c>
      <c r="K54" s="185">
        <v>1</v>
      </c>
      <c r="L54" s="183" t="s">
        <v>1948</v>
      </c>
      <c r="M54" s="184" t="s">
        <v>2660</v>
      </c>
      <c r="N54" s="184" t="s">
        <v>2660</v>
      </c>
      <c r="O54" s="233"/>
    </row>
    <row r="55" spans="1:15" s="182" customFormat="1" ht="21.95" customHeight="1" x14ac:dyDescent="0.15">
      <c r="A55" s="151" t="s">
        <v>7655</v>
      </c>
      <c r="B55" s="20" t="s">
        <v>4286</v>
      </c>
      <c r="C55" s="184" t="s">
        <v>4963</v>
      </c>
      <c r="D55" s="184" t="s">
        <v>5153</v>
      </c>
      <c r="E55" s="184" t="s">
        <v>6980</v>
      </c>
      <c r="F55" s="184" t="s">
        <v>5078</v>
      </c>
      <c r="G55" s="235" t="s">
        <v>7640</v>
      </c>
      <c r="H55" s="509">
        <v>25042</v>
      </c>
      <c r="I55" s="194">
        <v>0</v>
      </c>
      <c r="J55" s="194">
        <v>30000</v>
      </c>
      <c r="K55" s="185">
        <v>1</v>
      </c>
      <c r="L55" s="183" t="s">
        <v>1948</v>
      </c>
      <c r="M55" s="184" t="s">
        <v>2660</v>
      </c>
      <c r="N55" s="184" t="s">
        <v>2660</v>
      </c>
      <c r="O55" s="233"/>
    </row>
    <row r="56" spans="1:15" s="182" customFormat="1" ht="21.95" customHeight="1" x14ac:dyDescent="0.15">
      <c r="A56" s="151" t="s">
        <v>7655</v>
      </c>
      <c r="B56" s="20" t="s">
        <v>7656</v>
      </c>
      <c r="C56" s="184" t="s">
        <v>4963</v>
      </c>
      <c r="D56" s="184" t="s">
        <v>5153</v>
      </c>
      <c r="E56" s="1136" t="s">
        <v>7663</v>
      </c>
      <c r="F56" s="184" t="s">
        <v>3328</v>
      </c>
      <c r="G56" s="235" t="s">
        <v>7640</v>
      </c>
      <c r="H56" s="509">
        <v>25070</v>
      </c>
      <c r="I56" s="194">
        <v>0</v>
      </c>
      <c r="J56" s="194">
        <v>20000</v>
      </c>
      <c r="K56" s="185">
        <v>1</v>
      </c>
      <c r="L56" s="183" t="s">
        <v>1948</v>
      </c>
      <c r="M56" s="184" t="s">
        <v>2660</v>
      </c>
      <c r="N56" s="184" t="s">
        <v>2660</v>
      </c>
      <c r="O56" s="1136" t="s">
        <v>7641</v>
      </c>
    </row>
    <row r="57" spans="1:15" s="182" customFormat="1" ht="21.95" customHeight="1" x14ac:dyDescent="0.15">
      <c r="A57" s="151" t="s">
        <v>7655</v>
      </c>
      <c r="B57" s="20" t="s">
        <v>7657</v>
      </c>
      <c r="C57" s="184" t="s">
        <v>4963</v>
      </c>
      <c r="D57" s="184" t="s">
        <v>5153</v>
      </c>
      <c r="E57" s="1136" t="s">
        <v>7664</v>
      </c>
      <c r="F57" s="184" t="s">
        <v>5078</v>
      </c>
      <c r="G57" s="235" t="s">
        <v>7640</v>
      </c>
      <c r="H57" s="509">
        <v>25044</v>
      </c>
      <c r="I57" s="194">
        <v>0</v>
      </c>
      <c r="J57" s="194">
        <v>30000</v>
      </c>
      <c r="K57" s="185">
        <v>1</v>
      </c>
      <c r="L57" s="183" t="s">
        <v>1948</v>
      </c>
      <c r="M57" s="184" t="s">
        <v>2660</v>
      </c>
      <c r="N57" s="184" t="s">
        <v>2660</v>
      </c>
      <c r="O57" s="233"/>
    </row>
    <row r="58" spans="1:15" s="182" customFormat="1" ht="21.95" customHeight="1" x14ac:dyDescent="0.15">
      <c r="A58" s="151" t="s">
        <v>7659</v>
      </c>
      <c r="B58" s="20" t="s">
        <v>1394</v>
      </c>
      <c r="C58" s="184" t="s">
        <v>4941</v>
      </c>
      <c r="D58" s="184" t="s">
        <v>4942</v>
      </c>
      <c r="E58" s="184" t="s">
        <v>7485</v>
      </c>
      <c r="F58" s="184" t="s">
        <v>5078</v>
      </c>
      <c r="G58" s="235" t="s">
        <v>7486</v>
      </c>
      <c r="H58" s="1136">
        <v>25080</v>
      </c>
      <c r="I58" s="194">
        <v>0</v>
      </c>
      <c r="J58" s="194">
        <v>73880</v>
      </c>
      <c r="K58" s="185" t="s">
        <v>7668</v>
      </c>
      <c r="L58" s="183" t="s">
        <v>7669</v>
      </c>
      <c r="M58" s="184" t="s">
        <v>3726</v>
      </c>
      <c r="N58" s="184" t="s">
        <v>3726</v>
      </c>
      <c r="O58" s="233"/>
    </row>
    <row r="59" spans="1:15" s="182" customFormat="1" ht="21.95" customHeight="1" x14ac:dyDescent="0.15">
      <c r="A59" s="151" t="s">
        <v>7660</v>
      </c>
      <c r="B59" s="20" t="s">
        <v>7661</v>
      </c>
      <c r="C59" s="184" t="s">
        <v>3330</v>
      </c>
      <c r="D59" s="184" t="s">
        <v>7665</v>
      </c>
      <c r="E59" s="184" t="s">
        <v>7666</v>
      </c>
      <c r="F59" s="184" t="s">
        <v>3344</v>
      </c>
      <c r="G59" s="235" t="s">
        <v>5653</v>
      </c>
      <c r="H59" s="1136">
        <v>25123</v>
      </c>
      <c r="I59" s="194">
        <v>0</v>
      </c>
      <c r="J59" s="194">
        <v>315000</v>
      </c>
      <c r="K59" s="185">
        <v>0.7</v>
      </c>
      <c r="L59" s="183" t="s">
        <v>1172</v>
      </c>
      <c r="M59" s="184" t="s">
        <v>1784</v>
      </c>
      <c r="N59" s="184" t="s">
        <v>1784</v>
      </c>
      <c r="O59" s="233"/>
    </row>
    <row r="60" spans="1:15" s="182" customFormat="1" ht="21.95" customHeight="1" x14ac:dyDescent="0.15">
      <c r="A60" s="151" t="s">
        <v>7662</v>
      </c>
      <c r="B60" s="20" t="s">
        <v>1394</v>
      </c>
      <c r="C60" s="184" t="s">
        <v>4941</v>
      </c>
      <c r="D60" s="184" t="s">
        <v>4942</v>
      </c>
      <c r="E60" s="184" t="s">
        <v>7485</v>
      </c>
      <c r="F60" s="184" t="s">
        <v>5078</v>
      </c>
      <c r="G60" s="235" t="s">
        <v>7486</v>
      </c>
      <c r="H60" s="1136">
        <v>25080</v>
      </c>
      <c r="I60" s="194">
        <v>144730.01999999999</v>
      </c>
      <c r="J60" s="194">
        <v>0</v>
      </c>
      <c r="K60" s="185" t="s">
        <v>7670</v>
      </c>
      <c r="L60" s="183" t="s">
        <v>7669</v>
      </c>
      <c r="M60" s="184" t="s">
        <v>3726</v>
      </c>
      <c r="N60" s="184" t="s">
        <v>3726</v>
      </c>
      <c r="O60" s="233"/>
    </row>
    <row r="61" spans="1:15" s="182" customFormat="1" ht="21.95" customHeight="1" x14ac:dyDescent="0.15">
      <c r="A61" s="151" t="s">
        <v>7662</v>
      </c>
      <c r="B61" s="20" t="s">
        <v>1394</v>
      </c>
      <c r="C61" s="184" t="s">
        <v>4982</v>
      </c>
      <c r="D61" s="184" t="s">
        <v>5018</v>
      </c>
      <c r="E61" s="184" t="s">
        <v>6172</v>
      </c>
      <c r="F61" s="184" t="s">
        <v>5078</v>
      </c>
      <c r="G61" s="235" t="s">
        <v>5090</v>
      </c>
      <c r="H61" s="1137">
        <v>23088</v>
      </c>
      <c r="I61" s="194">
        <v>91649.99</v>
      </c>
      <c r="J61" s="194">
        <v>0</v>
      </c>
      <c r="K61" s="185" t="s">
        <v>7671</v>
      </c>
      <c r="L61" s="183" t="s">
        <v>7669</v>
      </c>
      <c r="M61" s="184" t="s">
        <v>3726</v>
      </c>
      <c r="N61" s="184" t="s">
        <v>3726</v>
      </c>
      <c r="O61" s="233"/>
    </row>
    <row r="62" spans="1:15" s="182" customFormat="1" ht="21.95" customHeight="1" x14ac:dyDescent="0.15">
      <c r="A62" s="151" t="s">
        <v>7662</v>
      </c>
      <c r="B62" s="20" t="s">
        <v>1394</v>
      </c>
      <c r="C62" s="184" t="s">
        <v>4982</v>
      </c>
      <c r="D62" s="184" t="s">
        <v>5018</v>
      </c>
      <c r="E62" s="184" t="s">
        <v>6100</v>
      </c>
      <c r="F62" s="184" t="s">
        <v>6101</v>
      </c>
      <c r="G62" s="235" t="s">
        <v>6102</v>
      </c>
      <c r="H62" s="1137">
        <v>22031</v>
      </c>
      <c r="I62" s="194">
        <v>67499.990000000005</v>
      </c>
      <c r="J62" s="194">
        <v>0</v>
      </c>
      <c r="K62" s="185">
        <v>0.05</v>
      </c>
      <c r="L62" s="1138" t="s">
        <v>1143</v>
      </c>
      <c r="M62" s="184" t="s">
        <v>6106</v>
      </c>
      <c r="N62" s="184" t="s">
        <v>5255</v>
      </c>
      <c r="O62" s="233"/>
    </row>
    <row r="63" spans="1:15" s="182" customFormat="1" ht="21.95" customHeight="1" x14ac:dyDescent="0.15">
      <c r="A63" s="151" t="s">
        <v>7662</v>
      </c>
      <c r="B63" s="20" t="s">
        <v>1394</v>
      </c>
      <c r="C63" s="945" t="s">
        <v>3351</v>
      </c>
      <c r="D63" s="945" t="s">
        <v>3352</v>
      </c>
      <c r="E63" s="945" t="s">
        <v>3644</v>
      </c>
      <c r="F63" s="419" t="s">
        <v>3328</v>
      </c>
      <c r="G63" s="460" t="s">
        <v>3336</v>
      </c>
      <c r="H63" s="509">
        <v>19050</v>
      </c>
      <c r="I63" s="194">
        <v>6120</v>
      </c>
      <c r="J63" s="194">
        <v>0</v>
      </c>
      <c r="K63" s="185" t="s">
        <v>7672</v>
      </c>
      <c r="L63" s="1138" t="s">
        <v>3734</v>
      </c>
      <c r="M63" s="945" t="s">
        <v>4699</v>
      </c>
      <c r="N63" s="958" t="s">
        <v>3726</v>
      </c>
      <c r="O63" s="233"/>
    </row>
    <row r="64" spans="1:15" s="182" customFormat="1" ht="21.95" customHeight="1" x14ac:dyDescent="0.15">
      <c r="A64" s="151" t="s">
        <v>7673</v>
      </c>
      <c r="B64" s="20" t="s">
        <v>241</v>
      </c>
      <c r="C64" s="947" t="s">
        <v>4418</v>
      </c>
      <c r="D64" s="947" t="s">
        <v>4418</v>
      </c>
      <c r="E64" s="947" t="s">
        <v>4418</v>
      </c>
      <c r="F64" s="947" t="s">
        <v>4418</v>
      </c>
      <c r="G64" s="1004" t="s">
        <v>4418</v>
      </c>
      <c r="H64" s="509">
        <v>24166</v>
      </c>
      <c r="I64" s="194">
        <v>0</v>
      </c>
      <c r="J64" s="194">
        <v>146175.4</v>
      </c>
      <c r="K64" s="185">
        <v>0.05</v>
      </c>
      <c r="L64" s="183" t="s">
        <v>1948</v>
      </c>
      <c r="M64" s="184" t="s">
        <v>162</v>
      </c>
      <c r="N64" s="184" t="s">
        <v>162</v>
      </c>
      <c r="O64" s="1139" t="s">
        <v>7641</v>
      </c>
    </row>
    <row r="65" spans="1:15" s="182" customFormat="1" ht="21.95" customHeight="1" x14ac:dyDescent="0.15">
      <c r="A65" s="151" t="s">
        <v>7674</v>
      </c>
      <c r="B65" s="20" t="s">
        <v>3556</v>
      </c>
      <c r="C65" s="1140" t="s">
        <v>3346</v>
      </c>
      <c r="D65" s="1140" t="s">
        <v>3354</v>
      </c>
      <c r="E65" s="1140" t="s">
        <v>845</v>
      </c>
      <c r="F65" s="267" t="s">
        <v>3328</v>
      </c>
      <c r="G65" s="235" t="s">
        <v>6951</v>
      </c>
      <c r="H65" s="509" t="s">
        <v>6999</v>
      </c>
      <c r="I65" s="194">
        <v>0</v>
      </c>
      <c r="J65" s="194">
        <v>68750</v>
      </c>
      <c r="K65" s="185" t="s">
        <v>6898</v>
      </c>
      <c r="L65" s="183" t="s">
        <v>4706</v>
      </c>
      <c r="M65" s="184" t="s">
        <v>6106</v>
      </c>
      <c r="N65" s="184" t="s">
        <v>5255</v>
      </c>
      <c r="O65" s="233"/>
    </row>
    <row r="66" spans="1:15" s="182" customFormat="1" ht="21.95" customHeight="1" x14ac:dyDescent="0.15">
      <c r="A66" s="151" t="s">
        <v>7675</v>
      </c>
      <c r="B66" s="20" t="s">
        <v>6386</v>
      </c>
      <c r="C66" s="184" t="s">
        <v>4963</v>
      </c>
      <c r="D66" s="184" t="s">
        <v>5028</v>
      </c>
      <c r="E66" s="184" t="s">
        <v>6439</v>
      </c>
      <c r="F66" s="184" t="s">
        <v>5078</v>
      </c>
      <c r="G66" s="239" t="s">
        <v>3349</v>
      </c>
      <c r="H66" s="509">
        <v>24126</v>
      </c>
      <c r="I66" s="194">
        <v>0</v>
      </c>
      <c r="J66" s="194">
        <v>70000</v>
      </c>
      <c r="K66" s="185">
        <v>1</v>
      </c>
      <c r="L66" s="183" t="s">
        <v>285</v>
      </c>
      <c r="M66" s="184" t="s">
        <v>2660</v>
      </c>
      <c r="N66" s="184" t="s">
        <v>2660</v>
      </c>
      <c r="O66" s="233"/>
    </row>
    <row r="67" spans="1:15" s="182" customFormat="1" ht="21.95" customHeight="1" x14ac:dyDescent="0.15">
      <c r="A67" s="151" t="s">
        <v>7675</v>
      </c>
      <c r="B67" s="20" t="s">
        <v>7676</v>
      </c>
      <c r="C67" s="279" t="s">
        <v>3351</v>
      </c>
      <c r="D67" s="279" t="s">
        <v>3717</v>
      </c>
      <c r="E67" s="1141" t="s">
        <v>5485</v>
      </c>
      <c r="F67" s="184" t="s">
        <v>3332</v>
      </c>
      <c r="G67" s="235" t="s">
        <v>3381</v>
      </c>
      <c r="H67" s="509">
        <v>25161</v>
      </c>
      <c r="I67" s="194">
        <v>0</v>
      </c>
      <c r="J67" s="194">
        <v>70000</v>
      </c>
      <c r="K67" s="185">
        <v>1</v>
      </c>
      <c r="L67" s="183" t="s">
        <v>285</v>
      </c>
      <c r="M67" s="184" t="s">
        <v>3726</v>
      </c>
      <c r="N67" s="184" t="s">
        <v>3726</v>
      </c>
      <c r="O67" s="233"/>
    </row>
    <row r="68" spans="1:15" s="182" customFormat="1" ht="21.95" customHeight="1" x14ac:dyDescent="0.15">
      <c r="A68" s="151" t="s">
        <v>7677</v>
      </c>
      <c r="B68" s="20" t="s">
        <v>6364</v>
      </c>
      <c r="C68" s="1142" t="s">
        <v>5148</v>
      </c>
      <c r="D68" s="1142" t="s">
        <v>5098</v>
      </c>
      <c r="E68" s="1142" t="s">
        <v>5149</v>
      </c>
      <c r="F68" s="184" t="s">
        <v>5078</v>
      </c>
      <c r="G68" s="235" t="s">
        <v>4923</v>
      </c>
      <c r="H68" s="1136">
        <v>25171</v>
      </c>
      <c r="I68" s="194">
        <v>0</v>
      </c>
      <c r="J68" s="194">
        <v>46075</v>
      </c>
      <c r="K68" s="185">
        <v>0.95</v>
      </c>
      <c r="L68" s="183" t="s">
        <v>1147</v>
      </c>
      <c r="M68" s="184" t="s">
        <v>170</v>
      </c>
      <c r="N68" s="184" t="s">
        <v>170</v>
      </c>
      <c r="O68" s="233"/>
    </row>
    <row r="69" spans="1:15" s="182" customFormat="1" ht="21.95" customHeight="1" x14ac:dyDescent="0.15">
      <c r="A69" s="151" t="s">
        <v>7678</v>
      </c>
      <c r="B69" s="20" t="s">
        <v>6549</v>
      </c>
      <c r="C69" s="184" t="s">
        <v>4941</v>
      </c>
      <c r="D69" s="184" t="s">
        <v>4942</v>
      </c>
      <c r="E69" s="184" t="s">
        <v>6552</v>
      </c>
      <c r="F69" s="184" t="s">
        <v>5078</v>
      </c>
      <c r="G69" s="235" t="s">
        <v>5249</v>
      </c>
      <c r="H69" s="509">
        <v>24148</v>
      </c>
      <c r="I69" s="194">
        <v>0</v>
      </c>
      <c r="J69" s="194">
        <v>7500</v>
      </c>
      <c r="K69" s="185">
        <v>0.05</v>
      </c>
      <c r="L69" s="183" t="s">
        <v>7680</v>
      </c>
      <c r="M69" s="184" t="s">
        <v>3726</v>
      </c>
      <c r="N69" s="184" t="s">
        <v>3726</v>
      </c>
      <c r="O69" s="233"/>
    </row>
    <row r="70" spans="1:15" s="182" customFormat="1" ht="21.95" customHeight="1" x14ac:dyDescent="0.15">
      <c r="A70" s="151" t="s">
        <v>7678</v>
      </c>
      <c r="B70" s="20" t="s">
        <v>7679</v>
      </c>
      <c r="C70" s="184" t="s">
        <v>3330</v>
      </c>
      <c r="D70" s="184" t="s">
        <v>7629</v>
      </c>
      <c r="E70" s="184" t="s">
        <v>7681</v>
      </c>
      <c r="F70" s="184" t="s">
        <v>3332</v>
      </c>
      <c r="G70" s="235" t="s">
        <v>6975</v>
      </c>
      <c r="H70" s="509">
        <v>25126</v>
      </c>
      <c r="I70" s="194">
        <v>0</v>
      </c>
      <c r="J70" s="194">
        <v>86143.5</v>
      </c>
      <c r="K70" s="185">
        <v>0.9</v>
      </c>
      <c r="L70" s="183" t="s">
        <v>1147</v>
      </c>
      <c r="M70" s="184" t="s">
        <v>3726</v>
      </c>
      <c r="N70" s="184" t="s">
        <v>3726</v>
      </c>
      <c r="O70" s="233"/>
    </row>
    <row r="71" spans="1:15" s="182" customFormat="1" ht="21.95" customHeight="1" x14ac:dyDescent="0.15">
      <c r="A71" s="151" t="s">
        <v>7678</v>
      </c>
      <c r="B71" s="20" t="s">
        <v>7007</v>
      </c>
      <c r="C71" s="1143" t="s">
        <v>3363</v>
      </c>
      <c r="D71" s="1143" t="s">
        <v>3354</v>
      </c>
      <c r="E71" s="1143" t="s">
        <v>5865</v>
      </c>
      <c r="F71" s="184" t="s">
        <v>5078</v>
      </c>
      <c r="G71" s="235" t="s">
        <v>6914</v>
      </c>
      <c r="H71" s="1135">
        <v>25046</v>
      </c>
      <c r="I71" s="194">
        <v>0</v>
      </c>
      <c r="J71" s="194">
        <v>65000</v>
      </c>
      <c r="K71" s="185" t="s">
        <v>7682</v>
      </c>
      <c r="L71" s="183" t="s">
        <v>285</v>
      </c>
      <c r="M71" s="184" t="s">
        <v>2660</v>
      </c>
      <c r="N71" s="184" t="s">
        <v>2660</v>
      </c>
      <c r="O71" s="233"/>
    </row>
    <row r="72" spans="1:15" s="182" customFormat="1" ht="21.95" customHeight="1" x14ac:dyDescent="0.15">
      <c r="A72" s="151" t="s">
        <v>7683</v>
      </c>
      <c r="B72" s="20" t="s">
        <v>627</v>
      </c>
      <c r="C72" s="945" t="s">
        <v>3664</v>
      </c>
      <c r="D72" s="945" t="s">
        <v>3516</v>
      </c>
      <c r="E72" s="952" t="s">
        <v>2694</v>
      </c>
      <c r="F72" s="952" t="s">
        <v>3332</v>
      </c>
      <c r="G72" s="430" t="s">
        <v>6655</v>
      </c>
      <c r="H72" s="509">
        <v>25018</v>
      </c>
      <c r="I72" s="194">
        <v>0</v>
      </c>
      <c r="J72" s="194">
        <v>73696</v>
      </c>
      <c r="K72" s="185">
        <v>0.5</v>
      </c>
      <c r="L72" s="183" t="s">
        <v>285</v>
      </c>
      <c r="M72" s="184" t="s">
        <v>170</v>
      </c>
      <c r="N72" s="184" t="s">
        <v>170</v>
      </c>
      <c r="O72" s="233"/>
    </row>
    <row r="73" spans="1:15" s="182" customFormat="1" ht="21.95" customHeight="1" x14ac:dyDescent="0.15">
      <c r="A73" s="151" t="s">
        <v>7683</v>
      </c>
      <c r="B73" s="20" t="s">
        <v>1869</v>
      </c>
      <c r="C73" s="945" t="s">
        <v>3664</v>
      </c>
      <c r="D73" s="945" t="s">
        <v>3516</v>
      </c>
      <c r="E73" s="952" t="s">
        <v>2687</v>
      </c>
      <c r="F73" s="952" t="s">
        <v>3332</v>
      </c>
      <c r="G73" s="430" t="s">
        <v>6655</v>
      </c>
      <c r="H73" s="509">
        <v>25020</v>
      </c>
      <c r="I73" s="194">
        <v>0</v>
      </c>
      <c r="J73" s="194">
        <v>72765</v>
      </c>
      <c r="K73" s="185">
        <v>0.5</v>
      </c>
      <c r="L73" s="183" t="s">
        <v>285</v>
      </c>
      <c r="M73" s="184" t="s">
        <v>170</v>
      </c>
      <c r="N73" s="184" t="s">
        <v>170</v>
      </c>
      <c r="O73" s="233"/>
    </row>
    <row r="74" spans="1:15" s="182" customFormat="1" ht="21.95" customHeight="1" x14ac:dyDescent="0.15">
      <c r="A74" s="151" t="s">
        <v>7683</v>
      </c>
      <c r="B74" s="20" t="s">
        <v>1562</v>
      </c>
      <c r="C74" s="945" t="s">
        <v>3664</v>
      </c>
      <c r="D74" s="945" t="s">
        <v>3516</v>
      </c>
      <c r="E74" s="952" t="s">
        <v>7684</v>
      </c>
      <c r="F74" s="952" t="s">
        <v>3332</v>
      </c>
      <c r="G74" s="430" t="s">
        <v>6655</v>
      </c>
      <c r="H74" s="509">
        <v>25019</v>
      </c>
      <c r="I74" s="194">
        <v>0</v>
      </c>
      <c r="J74" s="194">
        <v>70000</v>
      </c>
      <c r="K74" s="185">
        <v>0.5</v>
      </c>
      <c r="L74" s="183" t="s">
        <v>285</v>
      </c>
      <c r="M74" s="184" t="s">
        <v>170</v>
      </c>
      <c r="N74" s="184" t="s">
        <v>170</v>
      </c>
      <c r="O74" s="233"/>
    </row>
    <row r="75" spans="1:15" s="182" customFormat="1" ht="21.95" customHeight="1" x14ac:dyDescent="0.15">
      <c r="A75" s="151" t="s">
        <v>7685</v>
      </c>
      <c r="B75" s="20" t="s">
        <v>2111</v>
      </c>
      <c r="C75" s="236" t="s">
        <v>3346</v>
      </c>
      <c r="D75" s="236" t="s">
        <v>3352</v>
      </c>
      <c r="E75" s="236" t="s">
        <v>3715</v>
      </c>
      <c r="F75" s="184" t="s">
        <v>3332</v>
      </c>
      <c r="G75" s="235" t="s">
        <v>7692</v>
      </c>
      <c r="H75" s="509">
        <v>25185</v>
      </c>
      <c r="I75" s="194">
        <v>0</v>
      </c>
      <c r="J75" s="194">
        <v>53000</v>
      </c>
      <c r="K75" s="185">
        <v>0.5</v>
      </c>
      <c r="L75" s="183" t="s">
        <v>285</v>
      </c>
      <c r="M75" s="184" t="s">
        <v>155</v>
      </c>
      <c r="N75" s="184" t="s">
        <v>155</v>
      </c>
      <c r="O75" s="233"/>
    </row>
    <row r="76" spans="1:15" s="182" customFormat="1" ht="21.95" customHeight="1" x14ac:dyDescent="0.15">
      <c r="A76" s="151" t="s">
        <v>7685</v>
      </c>
      <c r="B76" s="20" t="s">
        <v>6924</v>
      </c>
      <c r="C76" s="184" t="s">
        <v>4982</v>
      </c>
      <c r="D76" s="184" t="s">
        <v>4942</v>
      </c>
      <c r="E76" s="184" t="s">
        <v>6931</v>
      </c>
      <c r="F76" s="184" t="s">
        <v>3332</v>
      </c>
      <c r="G76" s="235" t="s">
        <v>7692</v>
      </c>
      <c r="H76" s="1145">
        <v>25187</v>
      </c>
      <c r="I76" s="194">
        <v>0</v>
      </c>
      <c r="J76" s="194">
        <v>53000</v>
      </c>
      <c r="K76" s="185">
        <v>0.5</v>
      </c>
      <c r="L76" s="183" t="s">
        <v>285</v>
      </c>
      <c r="M76" s="184" t="s">
        <v>155</v>
      </c>
      <c r="N76" s="184" t="s">
        <v>155</v>
      </c>
      <c r="O76" s="233"/>
    </row>
    <row r="77" spans="1:15" s="182" customFormat="1" ht="21.95" customHeight="1" x14ac:dyDescent="0.15">
      <c r="A77" s="151" t="s">
        <v>7685</v>
      </c>
      <c r="B77" s="20" t="s">
        <v>7686</v>
      </c>
      <c r="C77" s="184" t="s">
        <v>3330</v>
      </c>
      <c r="D77" s="184" t="s">
        <v>3837</v>
      </c>
      <c r="E77" s="184" t="s">
        <v>7698</v>
      </c>
      <c r="F77" s="184" t="s">
        <v>3344</v>
      </c>
      <c r="G77" s="235" t="s">
        <v>7699</v>
      </c>
      <c r="H77" s="1145">
        <v>26037</v>
      </c>
      <c r="I77" s="194">
        <v>0</v>
      </c>
      <c r="J77" s="194">
        <v>70000</v>
      </c>
      <c r="K77" s="185">
        <v>1</v>
      </c>
      <c r="L77" s="183" t="s">
        <v>4706</v>
      </c>
      <c r="M77" s="184" t="s">
        <v>3726</v>
      </c>
      <c r="N77" s="184" t="s">
        <v>3726</v>
      </c>
      <c r="O77" s="233"/>
    </row>
    <row r="78" spans="1:15" s="182" customFormat="1" ht="21.95" customHeight="1" x14ac:dyDescent="0.15">
      <c r="A78" s="151" t="s">
        <v>7687</v>
      </c>
      <c r="B78" s="20" t="s">
        <v>7688</v>
      </c>
      <c r="C78" s="947" t="s">
        <v>4418</v>
      </c>
      <c r="D78" s="947" t="s">
        <v>4418</v>
      </c>
      <c r="E78" s="947" t="s">
        <v>4418</v>
      </c>
      <c r="F78" s="947" t="s">
        <v>4418</v>
      </c>
      <c r="G78" s="1004" t="s">
        <v>4418</v>
      </c>
      <c r="H78" s="1144">
        <v>22112</v>
      </c>
      <c r="I78" s="194">
        <v>0</v>
      </c>
      <c r="J78" s="194">
        <v>94500</v>
      </c>
      <c r="K78" s="185">
        <v>0.05</v>
      </c>
      <c r="L78" s="183" t="s">
        <v>1948</v>
      </c>
      <c r="M78" s="184" t="s">
        <v>162</v>
      </c>
      <c r="N78" s="184" t="s">
        <v>162</v>
      </c>
      <c r="O78" s="1145" t="s">
        <v>7641</v>
      </c>
    </row>
    <row r="79" spans="1:15" s="182" customFormat="1" ht="21.95" customHeight="1" x14ac:dyDescent="0.15">
      <c r="A79" s="151" t="s">
        <v>7689</v>
      </c>
      <c r="B79" s="20" t="s">
        <v>2361</v>
      </c>
      <c r="C79" s="184" t="s">
        <v>4982</v>
      </c>
      <c r="D79" s="184" t="s">
        <v>4964</v>
      </c>
      <c r="E79" s="184" t="s">
        <v>5856</v>
      </c>
      <c r="F79" s="184" t="s">
        <v>3328</v>
      </c>
      <c r="G79" s="235" t="s">
        <v>5042</v>
      </c>
      <c r="H79" s="509">
        <v>21087</v>
      </c>
      <c r="I79" s="194">
        <v>0</v>
      </c>
      <c r="J79" s="194">
        <v>4401</v>
      </c>
      <c r="K79" s="185">
        <v>0.05</v>
      </c>
      <c r="L79" s="183" t="s">
        <v>1143</v>
      </c>
      <c r="M79" s="945" t="s">
        <v>3434</v>
      </c>
      <c r="N79" s="945" t="s">
        <v>3434</v>
      </c>
      <c r="O79" s="233"/>
    </row>
    <row r="80" spans="1:15" s="182" customFormat="1" ht="21.95" customHeight="1" x14ac:dyDescent="0.15">
      <c r="A80" s="151" t="s">
        <v>7689</v>
      </c>
      <c r="B80" s="20" t="s">
        <v>6923</v>
      </c>
      <c r="C80" s="184" t="s">
        <v>4963</v>
      </c>
      <c r="D80" s="184" t="s">
        <v>5028</v>
      </c>
      <c r="E80" s="184" t="s">
        <v>7135</v>
      </c>
      <c r="F80" s="184" t="s">
        <v>4944</v>
      </c>
      <c r="G80" s="243" t="s">
        <v>5030</v>
      </c>
      <c r="H80" s="1145">
        <v>26031</v>
      </c>
      <c r="I80" s="194">
        <v>0</v>
      </c>
      <c r="J80" s="194">
        <v>22500</v>
      </c>
      <c r="K80" s="185">
        <v>0.5</v>
      </c>
      <c r="L80" s="183" t="s">
        <v>285</v>
      </c>
      <c r="M80" s="184" t="s">
        <v>2660</v>
      </c>
      <c r="N80" s="184" t="s">
        <v>2660</v>
      </c>
      <c r="O80" s="233"/>
    </row>
    <row r="81" spans="1:15" s="182" customFormat="1" ht="21.95" customHeight="1" x14ac:dyDescent="0.15">
      <c r="A81" s="151" t="s">
        <v>7690</v>
      </c>
      <c r="B81" s="20" t="s">
        <v>215</v>
      </c>
      <c r="C81" s="236" t="s">
        <v>3346</v>
      </c>
      <c r="D81" s="236" t="s">
        <v>3352</v>
      </c>
      <c r="E81" s="236" t="s">
        <v>987</v>
      </c>
      <c r="F81" s="184" t="s">
        <v>3332</v>
      </c>
      <c r="G81" s="235" t="s">
        <v>7692</v>
      </c>
      <c r="H81" s="509">
        <v>25186</v>
      </c>
      <c r="I81" s="194">
        <v>0</v>
      </c>
      <c r="J81" s="194">
        <v>53000</v>
      </c>
      <c r="K81" s="185">
        <v>0.5</v>
      </c>
      <c r="L81" s="183" t="s">
        <v>285</v>
      </c>
      <c r="M81" s="184" t="s">
        <v>155</v>
      </c>
      <c r="N81" s="184" t="s">
        <v>155</v>
      </c>
      <c r="O81" s="233"/>
    </row>
    <row r="82" spans="1:15" s="182" customFormat="1" ht="21.95" customHeight="1" x14ac:dyDescent="0.15">
      <c r="A82" s="151" t="s">
        <v>7691</v>
      </c>
      <c r="B82" s="20" t="s">
        <v>2936</v>
      </c>
      <c r="C82" s="1145" t="s">
        <v>4963</v>
      </c>
      <c r="D82" s="1145" t="s">
        <v>4942</v>
      </c>
      <c r="E82" s="1145" t="s">
        <v>697</v>
      </c>
      <c r="F82" s="184" t="s">
        <v>5078</v>
      </c>
      <c r="G82" s="235" t="s">
        <v>7316</v>
      </c>
      <c r="H82" s="509">
        <v>25183</v>
      </c>
      <c r="I82" s="194">
        <v>0</v>
      </c>
      <c r="J82" s="194">
        <v>30000</v>
      </c>
      <c r="K82" s="185">
        <v>1</v>
      </c>
      <c r="L82" s="183" t="s">
        <v>1948</v>
      </c>
      <c r="M82" s="184" t="s">
        <v>3957</v>
      </c>
      <c r="N82" s="184" t="s">
        <v>3957</v>
      </c>
      <c r="O82" s="233"/>
    </row>
    <row r="83" spans="1:15" s="182" customFormat="1" ht="21.95" customHeight="1" x14ac:dyDescent="0.15">
      <c r="A83" s="151" t="s">
        <v>7693</v>
      </c>
      <c r="B83" s="20" t="s">
        <v>219</v>
      </c>
      <c r="C83" s="1146" t="s">
        <v>4982</v>
      </c>
      <c r="D83" s="1146" t="s">
        <v>4942</v>
      </c>
      <c r="E83" s="1146" t="s">
        <v>7696</v>
      </c>
      <c r="F83" s="184" t="s">
        <v>5078</v>
      </c>
      <c r="G83" s="235" t="s">
        <v>7692</v>
      </c>
      <c r="H83" s="509">
        <v>25184</v>
      </c>
      <c r="I83" s="194">
        <v>0</v>
      </c>
      <c r="J83" s="194">
        <v>53000</v>
      </c>
      <c r="K83" s="185">
        <v>0.5</v>
      </c>
      <c r="L83" s="183" t="s">
        <v>285</v>
      </c>
      <c r="M83" s="184" t="s">
        <v>3433</v>
      </c>
      <c r="N83" s="184" t="s">
        <v>3433</v>
      </c>
      <c r="O83" s="233"/>
    </row>
    <row r="84" spans="1:15" s="182" customFormat="1" ht="21.95" customHeight="1" x14ac:dyDescent="0.15">
      <c r="A84" s="151" t="s">
        <v>7694</v>
      </c>
      <c r="B84" s="20" t="s">
        <v>7695</v>
      </c>
      <c r="C84" s="1146" t="s">
        <v>4982</v>
      </c>
      <c r="D84" s="1146" t="s">
        <v>4942</v>
      </c>
      <c r="E84" s="1146" t="s">
        <v>7697</v>
      </c>
      <c r="F84" s="184" t="s">
        <v>5078</v>
      </c>
      <c r="G84" s="235" t="s">
        <v>7692</v>
      </c>
      <c r="H84" s="509">
        <v>25188</v>
      </c>
      <c r="I84" s="194">
        <v>0</v>
      </c>
      <c r="J84" s="194">
        <v>53000</v>
      </c>
      <c r="K84" s="185">
        <v>0.5</v>
      </c>
      <c r="L84" s="183" t="s">
        <v>285</v>
      </c>
      <c r="M84" s="184" t="s">
        <v>3433</v>
      </c>
      <c r="N84" s="184" t="s">
        <v>3433</v>
      </c>
      <c r="O84" s="233"/>
    </row>
    <row r="85" spans="1:15" s="182" customFormat="1" ht="21.95" customHeight="1" x14ac:dyDescent="0.15">
      <c r="A85" s="151" t="s">
        <v>7700</v>
      </c>
      <c r="B85" s="20" t="s">
        <v>4702</v>
      </c>
      <c r="C85" s="945" t="s">
        <v>3664</v>
      </c>
      <c r="D85" s="945" t="s">
        <v>3516</v>
      </c>
      <c r="E85" s="952" t="s">
        <v>2691</v>
      </c>
      <c r="F85" s="952" t="s">
        <v>3332</v>
      </c>
      <c r="G85" s="430" t="s">
        <v>6655</v>
      </c>
      <c r="H85" s="509">
        <v>25021</v>
      </c>
      <c r="I85" s="194">
        <v>0</v>
      </c>
      <c r="J85" s="194">
        <v>70000</v>
      </c>
      <c r="K85" s="185">
        <v>0.5</v>
      </c>
      <c r="L85" s="183" t="s">
        <v>4706</v>
      </c>
      <c r="M85" s="184" t="s">
        <v>4708</v>
      </c>
      <c r="N85" s="184" t="s">
        <v>4708</v>
      </c>
      <c r="O85" s="233"/>
    </row>
    <row r="86" spans="1:15" s="182" customFormat="1" ht="21.95" customHeight="1" x14ac:dyDescent="0.15">
      <c r="A86" s="151" t="s">
        <v>7701</v>
      </c>
      <c r="B86" s="20" t="s">
        <v>7702</v>
      </c>
      <c r="C86" s="1148" t="s">
        <v>4963</v>
      </c>
      <c r="D86" s="1148" t="s">
        <v>5018</v>
      </c>
      <c r="E86" s="1148" t="s">
        <v>5907</v>
      </c>
      <c r="F86" s="184" t="s">
        <v>5078</v>
      </c>
      <c r="G86" s="235" t="s">
        <v>6914</v>
      </c>
      <c r="H86" s="509">
        <v>25050</v>
      </c>
      <c r="I86" s="194">
        <v>0</v>
      </c>
      <c r="J86" s="194">
        <v>100000</v>
      </c>
      <c r="K86" s="185" t="s">
        <v>7706</v>
      </c>
      <c r="L86" s="183" t="s">
        <v>4706</v>
      </c>
      <c r="M86" s="184" t="s">
        <v>3957</v>
      </c>
      <c r="N86" s="184" t="s">
        <v>3957</v>
      </c>
      <c r="O86" s="233"/>
    </row>
    <row r="87" spans="1:15" s="182" customFormat="1" ht="21.95" customHeight="1" x14ac:dyDescent="0.15">
      <c r="A87" s="151" t="s">
        <v>7701</v>
      </c>
      <c r="B87" s="20" t="s">
        <v>7702</v>
      </c>
      <c r="C87" s="1149" t="s">
        <v>4963</v>
      </c>
      <c r="D87" s="1149" t="s">
        <v>5018</v>
      </c>
      <c r="E87" s="1149" t="s">
        <v>5907</v>
      </c>
      <c r="F87" s="184" t="s">
        <v>5078</v>
      </c>
      <c r="G87" s="235" t="s">
        <v>7634</v>
      </c>
      <c r="H87" s="509">
        <v>25149</v>
      </c>
      <c r="I87" s="194">
        <v>0</v>
      </c>
      <c r="J87" s="194">
        <v>40050</v>
      </c>
      <c r="K87" s="185">
        <v>0.9</v>
      </c>
      <c r="L87" s="183" t="s">
        <v>4711</v>
      </c>
      <c r="M87" s="184" t="s">
        <v>3957</v>
      </c>
      <c r="N87" s="184" t="s">
        <v>3957</v>
      </c>
      <c r="O87" s="233"/>
    </row>
    <row r="88" spans="1:15" s="182" customFormat="1" ht="21.95" customHeight="1" x14ac:dyDescent="0.15">
      <c r="A88" s="151" t="s">
        <v>7701</v>
      </c>
      <c r="B88" s="20" t="s">
        <v>7449</v>
      </c>
      <c r="C88" s="399" t="s">
        <v>4941</v>
      </c>
      <c r="D88" s="399" t="s">
        <v>4942</v>
      </c>
      <c r="E88" s="399" t="s">
        <v>5657</v>
      </c>
      <c r="F88" s="184" t="s">
        <v>5078</v>
      </c>
      <c r="G88" s="239" t="s">
        <v>3566</v>
      </c>
      <c r="H88" s="509">
        <v>23131</v>
      </c>
      <c r="I88" s="194">
        <v>0</v>
      </c>
      <c r="J88" s="194">
        <v>27200</v>
      </c>
      <c r="K88" s="185" t="s">
        <v>4546</v>
      </c>
      <c r="L88" s="183" t="s">
        <v>4706</v>
      </c>
      <c r="M88" s="184" t="s">
        <v>3726</v>
      </c>
      <c r="N88" s="184" t="s">
        <v>3726</v>
      </c>
      <c r="O88" s="233"/>
    </row>
    <row r="89" spans="1:15" s="182" customFormat="1" ht="21.95" customHeight="1" x14ac:dyDescent="0.15">
      <c r="A89" s="151" t="s">
        <v>7701</v>
      </c>
      <c r="B89" s="20" t="s">
        <v>7703</v>
      </c>
      <c r="C89" s="224" t="s">
        <v>3351</v>
      </c>
      <c r="D89" s="224" t="s">
        <v>3326</v>
      </c>
      <c r="E89" s="224" t="s">
        <v>4695</v>
      </c>
      <c r="F89" s="184" t="s">
        <v>3328</v>
      </c>
      <c r="G89" s="235" t="s">
        <v>3349</v>
      </c>
      <c r="H89" s="509">
        <v>25007</v>
      </c>
      <c r="I89" s="194">
        <v>0</v>
      </c>
      <c r="J89" s="194">
        <v>60000</v>
      </c>
      <c r="K89" s="185">
        <v>1</v>
      </c>
      <c r="L89" s="183" t="s">
        <v>4706</v>
      </c>
      <c r="M89" s="184" t="s">
        <v>3726</v>
      </c>
      <c r="N89" s="184" t="s">
        <v>3726</v>
      </c>
      <c r="O89" s="233"/>
    </row>
    <row r="90" spans="1:15" s="182" customFormat="1" ht="21.95" customHeight="1" x14ac:dyDescent="0.15">
      <c r="A90" s="151" t="s">
        <v>7705</v>
      </c>
      <c r="B90" s="20" t="s">
        <v>7704</v>
      </c>
      <c r="C90" s="1150" t="s">
        <v>3363</v>
      </c>
      <c r="D90" s="1150" t="s">
        <v>3354</v>
      </c>
      <c r="E90" s="1150" t="s">
        <v>5865</v>
      </c>
      <c r="F90" s="184" t="s">
        <v>5078</v>
      </c>
      <c r="G90" s="235" t="s">
        <v>6914</v>
      </c>
      <c r="H90" s="1147">
        <v>25046</v>
      </c>
      <c r="I90" s="194">
        <v>0</v>
      </c>
      <c r="J90" s="194">
        <v>70000</v>
      </c>
      <c r="K90" s="185" t="s">
        <v>7707</v>
      </c>
      <c r="L90" s="183" t="s">
        <v>4706</v>
      </c>
      <c r="M90" s="184" t="s">
        <v>3957</v>
      </c>
      <c r="N90" s="184" t="s">
        <v>3957</v>
      </c>
      <c r="O90" s="233"/>
    </row>
    <row r="91" spans="1:15" s="182" customFormat="1" ht="21.95" customHeight="1" x14ac:dyDescent="0.15">
      <c r="A91" s="151" t="s">
        <v>7708</v>
      </c>
      <c r="B91" s="20" t="s">
        <v>7362</v>
      </c>
      <c r="C91" s="184" t="s">
        <v>4941</v>
      </c>
      <c r="D91" s="184" t="s">
        <v>5541</v>
      </c>
      <c r="E91" s="184" t="s">
        <v>6070</v>
      </c>
      <c r="F91" s="184" t="s">
        <v>5078</v>
      </c>
      <c r="G91" s="235" t="s">
        <v>6218</v>
      </c>
      <c r="H91" s="509">
        <v>23150</v>
      </c>
      <c r="I91" s="194">
        <v>0</v>
      </c>
      <c r="J91" s="194">
        <v>29000</v>
      </c>
      <c r="K91" s="185">
        <v>1</v>
      </c>
      <c r="L91" s="183" t="s">
        <v>4707</v>
      </c>
      <c r="M91" s="184" t="s">
        <v>3726</v>
      </c>
      <c r="N91" s="184" t="s">
        <v>3726</v>
      </c>
      <c r="O91" s="233"/>
    </row>
    <row r="92" spans="1:15" s="182" customFormat="1" ht="21.95" customHeight="1" x14ac:dyDescent="0.15">
      <c r="A92" s="151" t="s">
        <v>7708</v>
      </c>
      <c r="B92" s="20" t="s">
        <v>7709</v>
      </c>
      <c r="C92" s="1151" t="s">
        <v>4982</v>
      </c>
      <c r="D92" s="1151" t="s">
        <v>4942</v>
      </c>
      <c r="E92" s="1151" t="s">
        <v>6653</v>
      </c>
      <c r="F92" s="184" t="s">
        <v>3332</v>
      </c>
      <c r="G92" s="235" t="s">
        <v>7692</v>
      </c>
      <c r="H92" s="509">
        <v>25189</v>
      </c>
      <c r="I92" s="194">
        <v>0</v>
      </c>
      <c r="J92" s="194">
        <v>53000</v>
      </c>
      <c r="K92" s="185">
        <v>0.5</v>
      </c>
      <c r="L92" s="183" t="s">
        <v>4706</v>
      </c>
      <c r="M92" s="184" t="s">
        <v>3433</v>
      </c>
      <c r="N92" s="184" t="s">
        <v>3433</v>
      </c>
      <c r="O92" s="233"/>
    </row>
    <row r="93" spans="1:15" s="182" customFormat="1" ht="21.95" customHeight="1" x14ac:dyDescent="0.15">
      <c r="A93" s="151" t="s">
        <v>7708</v>
      </c>
      <c r="B93" s="20" t="s">
        <v>7710</v>
      </c>
      <c r="C93" s="184" t="s">
        <v>3985</v>
      </c>
      <c r="D93" s="184" t="s">
        <v>7711</v>
      </c>
      <c r="E93" s="184" t="s">
        <v>7712</v>
      </c>
      <c r="F93" s="184" t="s">
        <v>5078</v>
      </c>
      <c r="G93" s="235" t="s">
        <v>7713</v>
      </c>
      <c r="H93" s="509">
        <v>26014</v>
      </c>
      <c r="I93" s="194">
        <v>0</v>
      </c>
      <c r="J93" s="194">
        <v>30000</v>
      </c>
      <c r="K93" s="185">
        <v>1</v>
      </c>
      <c r="L93" s="183" t="s">
        <v>4707</v>
      </c>
      <c r="M93" s="184" t="s">
        <v>3957</v>
      </c>
      <c r="N93" s="184" t="s">
        <v>3957</v>
      </c>
      <c r="O93" s="233"/>
    </row>
    <row r="94" spans="1:15" s="182" customFormat="1" ht="21.95" customHeight="1" x14ac:dyDescent="0.15">
      <c r="A94" s="151" t="s">
        <v>7714</v>
      </c>
      <c r="B94" s="460" t="s">
        <v>7715</v>
      </c>
      <c r="C94" s="945" t="s">
        <v>3337</v>
      </c>
      <c r="D94" s="391" t="s">
        <v>3352</v>
      </c>
      <c r="E94" s="958" t="s">
        <v>4270</v>
      </c>
      <c r="F94" s="418" t="s">
        <v>4293</v>
      </c>
      <c r="G94" s="460" t="s">
        <v>4138</v>
      </c>
      <c r="H94" s="1147">
        <v>19028</v>
      </c>
      <c r="I94" s="194">
        <v>0.76</v>
      </c>
      <c r="J94" s="194">
        <v>0</v>
      </c>
      <c r="K94" s="185" t="s">
        <v>7716</v>
      </c>
      <c r="L94" s="183" t="s">
        <v>4724</v>
      </c>
      <c r="M94" s="945" t="s">
        <v>4957</v>
      </c>
      <c r="N94" s="1095" t="s">
        <v>3726</v>
      </c>
      <c r="O94" s="233"/>
    </row>
    <row r="95" spans="1:15" s="182" customFormat="1" ht="21.95" customHeight="1" x14ac:dyDescent="0.15">
      <c r="A95" s="151" t="s">
        <v>7714</v>
      </c>
      <c r="B95" s="277" t="s">
        <v>6770</v>
      </c>
      <c r="C95" s="1152" t="s">
        <v>5567</v>
      </c>
      <c r="D95" s="1152" t="s">
        <v>5018</v>
      </c>
      <c r="E95" s="1152" t="s">
        <v>7717</v>
      </c>
      <c r="F95" s="184" t="s">
        <v>5078</v>
      </c>
      <c r="G95" s="235" t="s">
        <v>5090</v>
      </c>
      <c r="H95" s="1147">
        <v>24080</v>
      </c>
      <c r="I95" s="194">
        <v>196249.24</v>
      </c>
      <c r="J95" s="194">
        <v>0</v>
      </c>
      <c r="K95" s="185" t="s">
        <v>7718</v>
      </c>
      <c r="L95" s="183" t="s">
        <v>4711</v>
      </c>
      <c r="M95" s="184" t="s">
        <v>693</v>
      </c>
      <c r="N95" s="184" t="s">
        <v>693</v>
      </c>
      <c r="O95" s="233"/>
    </row>
    <row r="96" spans="1:15" s="182" customFormat="1" ht="21.95" customHeight="1" x14ac:dyDescent="0.15">
      <c r="A96" s="151" t="s">
        <v>7714</v>
      </c>
      <c r="B96" s="277" t="s">
        <v>6770</v>
      </c>
      <c r="C96" s="1152" t="s">
        <v>5567</v>
      </c>
      <c r="D96" s="1152" t="s">
        <v>5018</v>
      </c>
      <c r="E96" s="1152" t="s">
        <v>7582</v>
      </c>
      <c r="F96" s="184" t="s">
        <v>5078</v>
      </c>
      <c r="G96" s="235" t="s">
        <v>5090</v>
      </c>
      <c r="H96" s="1147">
        <v>24081</v>
      </c>
      <c r="I96" s="194">
        <v>3750</v>
      </c>
      <c r="J96" s="194">
        <v>0</v>
      </c>
      <c r="K96" s="185" t="s">
        <v>7719</v>
      </c>
      <c r="L96" s="183" t="s">
        <v>4824</v>
      </c>
      <c r="M96" s="184" t="s">
        <v>693</v>
      </c>
      <c r="N96" s="184" t="s">
        <v>693</v>
      </c>
      <c r="O96" s="233"/>
    </row>
    <row r="97" spans="1:15" s="182" customFormat="1" ht="21.95" customHeight="1" x14ac:dyDescent="0.15">
      <c r="A97" s="151" t="s">
        <v>7720</v>
      </c>
      <c r="B97" s="20" t="s">
        <v>5742</v>
      </c>
      <c r="C97" s="1153" t="s">
        <v>6216</v>
      </c>
      <c r="D97" s="1153" t="s">
        <v>5760</v>
      </c>
      <c r="E97" s="1153" t="s">
        <v>7724</v>
      </c>
      <c r="F97" s="184" t="s">
        <v>5078</v>
      </c>
      <c r="G97" s="235" t="s">
        <v>6198</v>
      </c>
      <c r="H97" s="1153">
        <v>24117</v>
      </c>
      <c r="I97" s="194">
        <v>0</v>
      </c>
      <c r="J97" s="194">
        <v>4500</v>
      </c>
      <c r="K97" s="185">
        <v>0.1</v>
      </c>
      <c r="L97" s="183" t="s">
        <v>4724</v>
      </c>
      <c r="M97" s="184" t="s">
        <v>6038</v>
      </c>
      <c r="N97" s="184" t="s">
        <v>6038</v>
      </c>
      <c r="O97" s="233"/>
    </row>
    <row r="98" spans="1:15" s="182" customFormat="1" ht="21.75" customHeight="1" x14ac:dyDescent="0.15">
      <c r="A98" s="151" t="s">
        <v>7721</v>
      </c>
      <c r="B98" s="20" t="s">
        <v>5742</v>
      </c>
      <c r="C98" s="1153" t="s">
        <v>6216</v>
      </c>
      <c r="D98" s="1153" t="s">
        <v>5760</v>
      </c>
      <c r="E98" s="1153" t="s">
        <v>7725</v>
      </c>
      <c r="F98" s="184" t="s">
        <v>5078</v>
      </c>
      <c r="G98" s="235" t="s">
        <v>6198</v>
      </c>
      <c r="H98" s="1153">
        <v>24120</v>
      </c>
      <c r="I98" s="194">
        <v>0</v>
      </c>
      <c r="J98" s="194">
        <v>4500</v>
      </c>
      <c r="K98" s="185">
        <v>0.1</v>
      </c>
      <c r="L98" s="183" t="s">
        <v>4724</v>
      </c>
      <c r="M98" s="184" t="s">
        <v>6038</v>
      </c>
      <c r="N98" s="184" t="s">
        <v>6038</v>
      </c>
      <c r="O98" s="233"/>
    </row>
    <row r="99" spans="1:15" s="182" customFormat="1" ht="21.95" customHeight="1" x14ac:dyDescent="0.15">
      <c r="A99" s="151" t="s">
        <v>7722</v>
      </c>
      <c r="B99" s="20" t="s">
        <v>7313</v>
      </c>
      <c r="C99" s="184" t="s">
        <v>4941</v>
      </c>
      <c r="D99" s="184" t="s">
        <v>4942</v>
      </c>
      <c r="E99" s="184" t="s">
        <v>7331</v>
      </c>
      <c r="F99" s="184" t="s">
        <v>4944</v>
      </c>
      <c r="G99" s="235" t="s">
        <v>7332</v>
      </c>
      <c r="H99" s="1153" t="s">
        <v>7323</v>
      </c>
      <c r="I99" s="194">
        <v>0</v>
      </c>
      <c r="J99" s="194">
        <v>6062.2200000000103</v>
      </c>
      <c r="K99" s="185" t="s">
        <v>7737</v>
      </c>
      <c r="L99" s="183" t="s">
        <v>5005</v>
      </c>
      <c r="M99" s="184" t="s">
        <v>3726</v>
      </c>
      <c r="N99" s="184" t="s">
        <v>3726</v>
      </c>
      <c r="O99" s="233"/>
    </row>
    <row r="100" spans="1:15" s="182" customFormat="1" ht="21.95" customHeight="1" x14ac:dyDescent="0.15">
      <c r="A100" s="151" t="s">
        <v>7722</v>
      </c>
      <c r="B100" s="20" t="s">
        <v>7313</v>
      </c>
      <c r="C100" s="184" t="s">
        <v>4941</v>
      </c>
      <c r="D100" s="184" t="s">
        <v>4942</v>
      </c>
      <c r="E100" s="184" t="s">
        <v>7333</v>
      </c>
      <c r="F100" s="184" t="s">
        <v>5078</v>
      </c>
      <c r="G100" s="235" t="s">
        <v>7334</v>
      </c>
      <c r="H100" s="1157" t="s">
        <v>7324</v>
      </c>
      <c r="I100" s="194">
        <v>0</v>
      </c>
      <c r="J100" s="194">
        <v>23052.2</v>
      </c>
      <c r="K100" s="185" t="s">
        <v>7736</v>
      </c>
      <c r="L100" s="183" t="s">
        <v>5005</v>
      </c>
      <c r="M100" s="184" t="s">
        <v>3726</v>
      </c>
      <c r="N100" s="184" t="s">
        <v>3726</v>
      </c>
      <c r="O100" s="233"/>
    </row>
    <row r="101" spans="1:15" s="182" customFormat="1" ht="21.95" customHeight="1" x14ac:dyDescent="0.15">
      <c r="A101" s="151" t="s">
        <v>7722</v>
      </c>
      <c r="B101" s="20" t="s">
        <v>7313</v>
      </c>
      <c r="C101" s="184" t="s">
        <v>4941</v>
      </c>
      <c r="D101" s="184" t="s">
        <v>4942</v>
      </c>
      <c r="E101" s="184" t="s">
        <v>7335</v>
      </c>
      <c r="F101" s="184" t="s">
        <v>4944</v>
      </c>
      <c r="G101" s="235" t="s">
        <v>7332</v>
      </c>
      <c r="H101" s="1157" t="s">
        <v>7325</v>
      </c>
      <c r="I101" s="194">
        <v>0</v>
      </c>
      <c r="J101" s="194">
        <v>7157.4</v>
      </c>
      <c r="K101" s="185" t="s">
        <v>7736</v>
      </c>
      <c r="L101" s="183" t="s">
        <v>5005</v>
      </c>
      <c r="M101" s="184" t="s">
        <v>3726</v>
      </c>
      <c r="N101" s="184" t="s">
        <v>3726</v>
      </c>
      <c r="O101" s="233"/>
    </row>
    <row r="102" spans="1:15" s="182" customFormat="1" ht="21.95" customHeight="1" x14ac:dyDescent="0.15">
      <c r="A102" s="151" t="s">
        <v>7722</v>
      </c>
      <c r="B102" s="20" t="s">
        <v>7313</v>
      </c>
      <c r="C102" s="184" t="s">
        <v>4941</v>
      </c>
      <c r="D102" s="184" t="s">
        <v>4942</v>
      </c>
      <c r="E102" s="184" t="s">
        <v>7336</v>
      </c>
      <c r="F102" s="184" t="s">
        <v>5078</v>
      </c>
      <c r="G102" s="235" t="s">
        <v>7337</v>
      </c>
      <c r="H102" s="1157" t="s">
        <v>7326</v>
      </c>
      <c r="I102" s="194">
        <v>0</v>
      </c>
      <c r="J102" s="194">
        <v>15886.9</v>
      </c>
      <c r="K102" s="185" t="s">
        <v>7736</v>
      </c>
      <c r="L102" s="183" t="s">
        <v>5005</v>
      </c>
      <c r="M102" s="184" t="s">
        <v>3726</v>
      </c>
      <c r="N102" s="184" t="s">
        <v>3726</v>
      </c>
      <c r="O102" s="233"/>
    </row>
    <row r="103" spans="1:15" s="182" customFormat="1" ht="21.95" customHeight="1" x14ac:dyDescent="0.15">
      <c r="A103" s="151" t="s">
        <v>7722</v>
      </c>
      <c r="B103" s="20" t="s">
        <v>7313</v>
      </c>
      <c r="C103" s="184" t="s">
        <v>4941</v>
      </c>
      <c r="D103" s="184" t="s">
        <v>4942</v>
      </c>
      <c r="E103" s="184" t="s">
        <v>7338</v>
      </c>
      <c r="F103" s="184" t="s">
        <v>5078</v>
      </c>
      <c r="G103" s="235" t="s">
        <v>7334</v>
      </c>
      <c r="H103" s="1157" t="s">
        <v>7327</v>
      </c>
      <c r="I103" s="194">
        <v>0</v>
      </c>
      <c r="J103" s="194">
        <v>28352.784</v>
      </c>
      <c r="K103" s="185" t="s">
        <v>7736</v>
      </c>
      <c r="L103" s="183" t="s">
        <v>5005</v>
      </c>
      <c r="M103" s="184" t="s">
        <v>3726</v>
      </c>
      <c r="N103" s="184" t="s">
        <v>3726</v>
      </c>
      <c r="O103" s="233"/>
    </row>
    <row r="104" spans="1:15" s="182" customFormat="1" ht="21.95" customHeight="1" x14ac:dyDescent="0.15">
      <c r="A104" s="151" t="s">
        <v>7722</v>
      </c>
      <c r="B104" s="20" t="s">
        <v>7313</v>
      </c>
      <c r="C104" s="184" t="s">
        <v>4941</v>
      </c>
      <c r="D104" s="184" t="s">
        <v>4942</v>
      </c>
      <c r="E104" s="184" t="s">
        <v>7339</v>
      </c>
      <c r="F104" s="184" t="s">
        <v>4944</v>
      </c>
      <c r="G104" s="235" t="s">
        <v>3345</v>
      </c>
      <c r="H104" s="1157" t="s">
        <v>7328</v>
      </c>
      <c r="I104" s="194">
        <v>0</v>
      </c>
      <c r="J104" s="194">
        <v>6297.2479999999996</v>
      </c>
      <c r="K104" s="185" t="s">
        <v>7736</v>
      </c>
      <c r="L104" s="183" t="s">
        <v>5005</v>
      </c>
      <c r="M104" s="184" t="s">
        <v>3726</v>
      </c>
      <c r="N104" s="184" t="s">
        <v>3726</v>
      </c>
      <c r="O104" s="233"/>
    </row>
    <row r="105" spans="1:15" s="182" customFormat="1" ht="21.95" customHeight="1" x14ac:dyDescent="0.15">
      <c r="A105" s="151" t="s">
        <v>7722</v>
      </c>
      <c r="B105" s="20" t="s">
        <v>7313</v>
      </c>
      <c r="C105" s="184" t="s">
        <v>4941</v>
      </c>
      <c r="D105" s="184" t="s">
        <v>4942</v>
      </c>
      <c r="E105" s="184" t="s">
        <v>7340</v>
      </c>
      <c r="F105" s="184" t="s">
        <v>4944</v>
      </c>
      <c r="G105" s="235" t="s">
        <v>3345</v>
      </c>
      <c r="H105" s="1157" t="s">
        <v>7329</v>
      </c>
      <c r="I105" s="194">
        <v>0</v>
      </c>
      <c r="J105" s="194">
        <v>6297.2480000000005</v>
      </c>
      <c r="K105" s="185" t="s">
        <v>7736</v>
      </c>
      <c r="L105" s="183" t="s">
        <v>5005</v>
      </c>
      <c r="M105" s="184" t="s">
        <v>3726</v>
      </c>
      <c r="N105" s="184" t="s">
        <v>3726</v>
      </c>
      <c r="O105" s="233"/>
    </row>
    <row r="106" spans="1:15" s="182" customFormat="1" ht="21.95" customHeight="1" x14ac:dyDescent="0.15">
      <c r="A106" s="151" t="s">
        <v>7722</v>
      </c>
      <c r="B106" s="20" t="s">
        <v>7313</v>
      </c>
      <c r="C106" s="184" t="s">
        <v>4941</v>
      </c>
      <c r="D106" s="184" t="s">
        <v>4942</v>
      </c>
      <c r="E106" s="184" t="s">
        <v>7341</v>
      </c>
      <c r="F106" s="184" t="s">
        <v>4944</v>
      </c>
      <c r="G106" s="235" t="s">
        <v>7332</v>
      </c>
      <c r="H106" s="1157" t="s">
        <v>7330</v>
      </c>
      <c r="I106" s="194">
        <v>0</v>
      </c>
      <c r="J106" s="194">
        <v>6794</v>
      </c>
      <c r="K106" s="185" t="s">
        <v>7736</v>
      </c>
      <c r="L106" s="183" t="s">
        <v>5005</v>
      </c>
      <c r="M106" s="184" t="s">
        <v>3726</v>
      </c>
      <c r="N106" s="184" t="s">
        <v>3726</v>
      </c>
      <c r="O106" s="233"/>
    </row>
    <row r="107" spans="1:15" s="182" customFormat="1" ht="21.95" customHeight="1" x14ac:dyDescent="0.15">
      <c r="A107" s="151" t="s">
        <v>7723</v>
      </c>
      <c r="B107" s="20" t="s">
        <v>4678</v>
      </c>
      <c r="C107" s="391" t="s">
        <v>3337</v>
      </c>
      <c r="D107" s="393" t="s">
        <v>3702</v>
      </c>
      <c r="E107" s="391" t="s">
        <v>4679</v>
      </c>
      <c r="F107" s="184" t="s">
        <v>5078</v>
      </c>
      <c r="G107" s="235" t="s">
        <v>7258</v>
      </c>
      <c r="H107" s="1153">
        <v>23081</v>
      </c>
      <c r="I107" s="194">
        <v>0</v>
      </c>
      <c r="J107" s="194">
        <v>70000</v>
      </c>
      <c r="K107" s="185" t="s">
        <v>3105</v>
      </c>
      <c r="L107" s="183" t="s">
        <v>4706</v>
      </c>
      <c r="M107" s="184" t="s">
        <v>3726</v>
      </c>
      <c r="N107" s="184" t="s">
        <v>3726</v>
      </c>
      <c r="O107" s="233"/>
    </row>
    <row r="108" spans="1:15" s="182" customFormat="1" ht="21.95" customHeight="1" x14ac:dyDescent="0.15">
      <c r="A108" s="151" t="s">
        <v>7726</v>
      </c>
      <c r="B108" s="20" t="s">
        <v>635</v>
      </c>
      <c r="C108" s="224" t="s">
        <v>3363</v>
      </c>
      <c r="D108" s="224" t="s">
        <v>3352</v>
      </c>
      <c r="E108" s="224" t="s">
        <v>4411</v>
      </c>
      <c r="F108" s="224" t="s">
        <v>3328</v>
      </c>
      <c r="G108" s="235" t="s">
        <v>7316</v>
      </c>
      <c r="H108" s="509">
        <v>25182</v>
      </c>
      <c r="I108" s="194">
        <v>0</v>
      </c>
      <c r="J108" s="194">
        <v>30000</v>
      </c>
      <c r="K108" s="185">
        <v>1</v>
      </c>
      <c r="L108" s="183" t="s">
        <v>4707</v>
      </c>
      <c r="M108" s="184" t="s">
        <v>3957</v>
      </c>
      <c r="N108" s="184" t="s">
        <v>3957</v>
      </c>
      <c r="O108" s="233"/>
    </row>
    <row r="109" spans="1:15" s="182" customFormat="1" ht="21.95" customHeight="1" x14ac:dyDescent="0.15">
      <c r="A109" s="151" t="s">
        <v>7727</v>
      </c>
      <c r="B109" s="20" t="s">
        <v>7728</v>
      </c>
      <c r="C109" s="1154" t="s">
        <v>3351</v>
      </c>
      <c r="D109" s="1154" t="s">
        <v>3463</v>
      </c>
      <c r="E109" s="1154" t="s">
        <v>7732</v>
      </c>
      <c r="F109" s="184" t="s">
        <v>5078</v>
      </c>
      <c r="G109" s="235" t="s">
        <v>7350</v>
      </c>
      <c r="H109" s="1153">
        <v>25109</v>
      </c>
      <c r="I109" s="194">
        <v>0</v>
      </c>
      <c r="J109" s="194">
        <v>86143.5</v>
      </c>
      <c r="K109" s="185">
        <v>0.9</v>
      </c>
      <c r="L109" s="183" t="s">
        <v>4711</v>
      </c>
      <c r="M109" s="184" t="s">
        <v>3726</v>
      </c>
      <c r="N109" s="184" t="s">
        <v>3726</v>
      </c>
      <c r="O109" s="233"/>
    </row>
    <row r="110" spans="1:15" s="182" customFormat="1" ht="22.5" customHeight="1" x14ac:dyDescent="0.15">
      <c r="A110" s="151" t="s">
        <v>7727</v>
      </c>
      <c r="B110" s="20" t="s">
        <v>7729</v>
      </c>
      <c r="C110" s="184" t="s">
        <v>3330</v>
      </c>
      <c r="D110" s="184" t="s">
        <v>7665</v>
      </c>
      <c r="E110" s="184" t="s">
        <v>7666</v>
      </c>
      <c r="F110" s="184" t="s">
        <v>3344</v>
      </c>
      <c r="G110" s="235" t="s">
        <v>5653</v>
      </c>
      <c r="H110" s="509">
        <v>25123</v>
      </c>
      <c r="I110" s="194">
        <v>0</v>
      </c>
      <c r="J110" s="194">
        <v>90000</v>
      </c>
      <c r="K110" s="185">
        <v>0.2</v>
      </c>
      <c r="L110" s="183" t="s">
        <v>4711</v>
      </c>
      <c r="M110" s="184" t="s">
        <v>3726</v>
      </c>
      <c r="N110" s="184" t="s">
        <v>3726</v>
      </c>
      <c r="O110" s="233"/>
    </row>
    <row r="111" spans="1:15" s="182" customFormat="1" ht="21.95" customHeight="1" x14ac:dyDescent="0.15">
      <c r="A111" s="151" t="s">
        <v>7730</v>
      </c>
      <c r="B111" s="20" t="s">
        <v>7731</v>
      </c>
      <c r="C111" s="1154" t="s">
        <v>4982</v>
      </c>
      <c r="D111" s="1154" t="s">
        <v>5018</v>
      </c>
      <c r="E111" s="1154" t="s">
        <v>6778</v>
      </c>
      <c r="F111" s="184" t="s">
        <v>5078</v>
      </c>
      <c r="G111" s="235" t="s">
        <v>7486</v>
      </c>
      <c r="H111" s="509">
        <v>24130</v>
      </c>
      <c r="I111" s="194">
        <v>0</v>
      </c>
      <c r="J111" s="194">
        <v>195000</v>
      </c>
      <c r="K111" s="185">
        <v>0.5</v>
      </c>
      <c r="L111" s="183" t="s">
        <v>4694</v>
      </c>
      <c r="M111" s="184" t="s">
        <v>6106</v>
      </c>
      <c r="N111" s="184" t="s">
        <v>5255</v>
      </c>
      <c r="O111" s="233"/>
    </row>
    <row r="112" spans="1:15" s="182" customFormat="1" ht="21.95" customHeight="1" x14ac:dyDescent="0.15">
      <c r="A112" s="151" t="s">
        <v>7733</v>
      </c>
      <c r="B112" s="20" t="s">
        <v>4744</v>
      </c>
      <c r="C112" s="1156" t="s">
        <v>4963</v>
      </c>
      <c r="D112" s="1156" t="s">
        <v>5018</v>
      </c>
      <c r="E112" s="1156" t="s">
        <v>5906</v>
      </c>
      <c r="F112" s="184" t="s">
        <v>5078</v>
      </c>
      <c r="G112" s="235" t="s">
        <v>6914</v>
      </c>
      <c r="H112" s="1155">
        <v>25049</v>
      </c>
      <c r="I112" s="194">
        <v>0</v>
      </c>
      <c r="J112" s="194">
        <v>49500</v>
      </c>
      <c r="K112" s="185">
        <v>0.3</v>
      </c>
      <c r="L112" s="183" t="s">
        <v>4706</v>
      </c>
      <c r="M112" s="184" t="s">
        <v>3957</v>
      </c>
      <c r="N112" s="184" t="s">
        <v>3957</v>
      </c>
      <c r="O112" s="233"/>
    </row>
    <row r="113" spans="1:15" s="182" customFormat="1" ht="21.95" customHeight="1" x14ac:dyDescent="0.15">
      <c r="A113" s="151" t="s">
        <v>7733</v>
      </c>
      <c r="B113" s="20" t="s">
        <v>4744</v>
      </c>
      <c r="C113" s="1156" t="s">
        <v>4963</v>
      </c>
      <c r="D113" s="1156" t="s">
        <v>5018</v>
      </c>
      <c r="E113" s="1156" t="s">
        <v>5906</v>
      </c>
      <c r="F113" s="184" t="s">
        <v>5078</v>
      </c>
      <c r="G113" s="235" t="s">
        <v>7634</v>
      </c>
      <c r="H113" s="1155">
        <v>25148</v>
      </c>
      <c r="I113" s="194">
        <v>0</v>
      </c>
      <c r="J113" s="194">
        <v>10050</v>
      </c>
      <c r="K113" s="185" t="s">
        <v>7735</v>
      </c>
      <c r="L113" s="183" t="s">
        <v>4711</v>
      </c>
      <c r="M113" s="184" t="s">
        <v>3957</v>
      </c>
      <c r="N113" s="184" t="s">
        <v>3957</v>
      </c>
      <c r="O113" s="233"/>
    </row>
    <row r="114" spans="1:15" s="182" customFormat="1" ht="21.95" customHeight="1" x14ac:dyDescent="0.15">
      <c r="A114" s="151" t="s">
        <v>7733</v>
      </c>
      <c r="B114" s="20" t="s">
        <v>7297</v>
      </c>
      <c r="C114" s="184" t="s">
        <v>7533</v>
      </c>
      <c r="D114" s="184" t="s">
        <v>6906</v>
      </c>
      <c r="E114" s="184" t="s">
        <v>5761</v>
      </c>
      <c r="F114" s="184" t="s">
        <v>3332</v>
      </c>
      <c r="G114" s="235" t="s">
        <v>7734</v>
      </c>
      <c r="H114" s="1153">
        <v>26046</v>
      </c>
      <c r="I114" s="194">
        <v>0</v>
      </c>
      <c r="J114" s="194">
        <v>20000</v>
      </c>
      <c r="K114" s="185">
        <v>1</v>
      </c>
      <c r="L114" s="183" t="s">
        <v>4707</v>
      </c>
      <c r="M114" s="184" t="s">
        <v>3957</v>
      </c>
      <c r="N114" s="184" t="s">
        <v>3957</v>
      </c>
      <c r="O114" s="233"/>
    </row>
    <row r="115" spans="1:15" s="182" customFormat="1" ht="21.95" customHeight="1" x14ac:dyDescent="0.15">
      <c r="A115" s="151" t="s">
        <v>7754</v>
      </c>
      <c r="B115" s="20" t="s">
        <v>5414</v>
      </c>
      <c r="C115" s="184" t="s">
        <v>4941</v>
      </c>
      <c r="D115" s="184" t="s">
        <v>5098</v>
      </c>
      <c r="E115" s="184" t="s">
        <v>5415</v>
      </c>
      <c r="F115" s="418" t="s">
        <v>3328</v>
      </c>
      <c r="G115" s="239" t="s">
        <v>3566</v>
      </c>
      <c r="H115" s="509">
        <v>23026</v>
      </c>
      <c r="I115" s="194">
        <v>0</v>
      </c>
      <c r="J115" s="194">
        <v>70000</v>
      </c>
      <c r="K115" s="185" t="s">
        <v>3105</v>
      </c>
      <c r="L115" s="183" t="s">
        <v>4706</v>
      </c>
      <c r="M115" s="184" t="s">
        <v>5771</v>
      </c>
      <c r="N115" s="184" t="s">
        <v>5771</v>
      </c>
      <c r="O115" s="233"/>
    </row>
    <row r="116" spans="1:15" s="182" customFormat="1" ht="21.95" customHeight="1" x14ac:dyDescent="0.15">
      <c r="A116" s="151" t="s">
        <v>7738</v>
      </c>
      <c r="B116" s="20" t="s">
        <v>7702</v>
      </c>
      <c r="C116" s="1159" t="s">
        <v>4963</v>
      </c>
      <c r="D116" s="1159" t="s">
        <v>5018</v>
      </c>
      <c r="E116" s="1159" t="s">
        <v>5907</v>
      </c>
      <c r="F116" s="184" t="s">
        <v>5078</v>
      </c>
      <c r="G116" s="235" t="s">
        <v>6914</v>
      </c>
      <c r="H116" s="509">
        <v>25050</v>
      </c>
      <c r="I116" s="194">
        <v>0</v>
      </c>
      <c r="J116" s="194">
        <v>25000</v>
      </c>
      <c r="K116" s="185" t="s">
        <v>7744</v>
      </c>
      <c r="L116" s="183" t="s">
        <v>4706</v>
      </c>
      <c r="M116" s="184" t="s">
        <v>3957</v>
      </c>
      <c r="N116" s="184" t="s">
        <v>3957</v>
      </c>
      <c r="O116" s="233"/>
    </row>
    <row r="117" spans="1:15" s="182" customFormat="1" ht="21.95" customHeight="1" x14ac:dyDescent="0.15">
      <c r="A117" s="151" t="s">
        <v>7738</v>
      </c>
      <c r="B117" s="20" t="s">
        <v>5175</v>
      </c>
      <c r="C117" s="224" t="s">
        <v>3334</v>
      </c>
      <c r="D117" s="224" t="s">
        <v>3326</v>
      </c>
      <c r="E117" s="224" t="s">
        <v>3942</v>
      </c>
      <c r="F117" s="207" t="s">
        <v>3328</v>
      </c>
      <c r="G117" s="235" t="s">
        <v>7634</v>
      </c>
      <c r="H117" s="509">
        <v>25138</v>
      </c>
      <c r="I117" s="194">
        <v>0</v>
      </c>
      <c r="J117" s="194">
        <v>415700</v>
      </c>
      <c r="K117" s="185" t="s">
        <v>7745</v>
      </c>
      <c r="L117" s="183" t="s">
        <v>4711</v>
      </c>
      <c r="M117" s="184" t="s">
        <v>4708</v>
      </c>
      <c r="N117" s="184" t="s">
        <v>4708</v>
      </c>
      <c r="O117" s="233"/>
    </row>
    <row r="118" spans="1:15" s="182" customFormat="1" ht="21.95" customHeight="1" x14ac:dyDescent="0.15">
      <c r="A118" s="151" t="s">
        <v>7739</v>
      </c>
      <c r="B118" s="20" t="s">
        <v>5123</v>
      </c>
      <c r="C118" s="1160" t="s">
        <v>4982</v>
      </c>
      <c r="D118" s="1160" t="s">
        <v>5018</v>
      </c>
      <c r="E118" s="1160" t="s">
        <v>5335</v>
      </c>
      <c r="F118" s="184" t="s">
        <v>3328</v>
      </c>
      <c r="G118" s="235" t="s">
        <v>6951</v>
      </c>
      <c r="H118" s="509" t="s">
        <v>7127</v>
      </c>
      <c r="I118" s="194">
        <v>0</v>
      </c>
      <c r="J118" s="194">
        <v>68750</v>
      </c>
      <c r="K118" s="185" t="s">
        <v>6249</v>
      </c>
      <c r="L118" s="183" t="s">
        <v>4706</v>
      </c>
      <c r="M118" s="184" t="s">
        <v>6106</v>
      </c>
      <c r="N118" s="184" t="s">
        <v>5255</v>
      </c>
      <c r="O118" s="233"/>
    </row>
    <row r="119" spans="1:15" s="182" customFormat="1" ht="21.95" customHeight="1" x14ac:dyDescent="0.15">
      <c r="A119" s="151" t="s">
        <v>7740</v>
      </c>
      <c r="B119" s="20" t="s">
        <v>7731</v>
      </c>
      <c r="C119" s="1160" t="s">
        <v>4982</v>
      </c>
      <c r="D119" s="1160" t="s">
        <v>5018</v>
      </c>
      <c r="E119" s="1160" t="s">
        <v>6778</v>
      </c>
      <c r="F119" s="184" t="s">
        <v>5078</v>
      </c>
      <c r="G119" s="235" t="s">
        <v>7486</v>
      </c>
      <c r="H119" s="509">
        <v>24130</v>
      </c>
      <c r="I119" s="194">
        <v>0</v>
      </c>
      <c r="J119" s="194">
        <v>156000</v>
      </c>
      <c r="K119" s="185">
        <v>0.4</v>
      </c>
      <c r="L119" s="183" t="s">
        <v>7746</v>
      </c>
      <c r="M119" s="184" t="s">
        <v>6106</v>
      </c>
      <c r="N119" s="184" t="s">
        <v>5255</v>
      </c>
      <c r="O119" s="233"/>
    </row>
    <row r="120" spans="1:15" s="182" customFormat="1" ht="21.95" customHeight="1" x14ac:dyDescent="0.15">
      <c r="A120" s="151" t="s">
        <v>7740</v>
      </c>
      <c r="B120" s="20" t="s">
        <v>7390</v>
      </c>
      <c r="C120" s="184" t="s">
        <v>4963</v>
      </c>
      <c r="D120" s="184" t="s">
        <v>5153</v>
      </c>
      <c r="E120" s="184" t="s">
        <v>7747</v>
      </c>
      <c r="F120" s="184" t="s">
        <v>5078</v>
      </c>
      <c r="G120" s="235" t="s">
        <v>7393</v>
      </c>
      <c r="H120" s="509">
        <v>25111</v>
      </c>
      <c r="I120" s="194">
        <v>0</v>
      </c>
      <c r="J120" s="194">
        <v>112500</v>
      </c>
      <c r="K120" s="185">
        <v>0.3</v>
      </c>
      <c r="L120" s="183" t="s">
        <v>4694</v>
      </c>
      <c r="M120" s="184" t="s">
        <v>3957</v>
      </c>
      <c r="N120" s="184" t="s">
        <v>3957</v>
      </c>
      <c r="O120" s="233"/>
    </row>
    <row r="121" spans="1:15" s="182" customFormat="1" ht="21.95" customHeight="1" x14ac:dyDescent="0.15">
      <c r="A121" s="151" t="s">
        <v>7740</v>
      </c>
      <c r="B121" s="20" t="s">
        <v>7390</v>
      </c>
      <c r="C121" s="184" t="s">
        <v>4963</v>
      </c>
      <c r="D121" s="184" t="s">
        <v>5153</v>
      </c>
      <c r="E121" s="184" t="s">
        <v>6815</v>
      </c>
      <c r="F121" s="184" t="s">
        <v>5078</v>
      </c>
      <c r="G121" s="235" t="s">
        <v>7393</v>
      </c>
      <c r="H121" s="509">
        <v>25112</v>
      </c>
      <c r="I121" s="194">
        <v>0</v>
      </c>
      <c r="J121" s="194">
        <v>56250</v>
      </c>
      <c r="K121" s="185">
        <v>0.3</v>
      </c>
      <c r="L121" s="183" t="s">
        <v>4694</v>
      </c>
      <c r="M121" s="184" t="s">
        <v>3957</v>
      </c>
      <c r="N121" s="184" t="s">
        <v>3957</v>
      </c>
      <c r="O121" s="233"/>
    </row>
    <row r="122" spans="1:15" s="182" customFormat="1" ht="21.95" customHeight="1" x14ac:dyDescent="0.15">
      <c r="A122" s="151" t="s">
        <v>7740</v>
      </c>
      <c r="B122" s="20" t="s">
        <v>7390</v>
      </c>
      <c r="C122" s="184" t="s">
        <v>4963</v>
      </c>
      <c r="D122" s="184" t="s">
        <v>5153</v>
      </c>
      <c r="E122" s="184" t="s">
        <v>7748</v>
      </c>
      <c r="F122" s="184" t="s">
        <v>5078</v>
      </c>
      <c r="G122" s="235" t="s">
        <v>5333</v>
      </c>
      <c r="H122" s="509">
        <v>25113</v>
      </c>
      <c r="I122" s="194">
        <v>0</v>
      </c>
      <c r="J122" s="194">
        <v>112500</v>
      </c>
      <c r="K122" s="185">
        <v>0.3</v>
      </c>
      <c r="L122" s="183" t="s">
        <v>4694</v>
      </c>
      <c r="M122" s="184" t="s">
        <v>3957</v>
      </c>
      <c r="N122" s="184" t="s">
        <v>3957</v>
      </c>
      <c r="O122" s="233"/>
    </row>
    <row r="123" spans="1:15" s="182" customFormat="1" ht="21.95" customHeight="1" x14ac:dyDescent="0.15">
      <c r="A123" s="151" t="s">
        <v>7740</v>
      </c>
      <c r="B123" s="20" t="s">
        <v>7390</v>
      </c>
      <c r="C123" s="184" t="s">
        <v>4963</v>
      </c>
      <c r="D123" s="184" t="s">
        <v>5153</v>
      </c>
      <c r="E123" s="184" t="s">
        <v>7749</v>
      </c>
      <c r="F123" s="184" t="s">
        <v>5078</v>
      </c>
      <c r="G123" s="235" t="s">
        <v>5333</v>
      </c>
      <c r="H123" s="509">
        <v>25114</v>
      </c>
      <c r="I123" s="194">
        <v>0</v>
      </c>
      <c r="J123" s="194">
        <v>56250</v>
      </c>
      <c r="K123" s="185">
        <v>0.3</v>
      </c>
      <c r="L123" s="183" t="s">
        <v>4694</v>
      </c>
      <c r="M123" s="184" t="s">
        <v>3957</v>
      </c>
      <c r="N123" s="184" t="s">
        <v>3957</v>
      </c>
      <c r="O123" s="233"/>
    </row>
    <row r="124" spans="1:15" s="182" customFormat="1" ht="21.95" customHeight="1" x14ac:dyDescent="0.15">
      <c r="A124" s="151" t="s">
        <v>7740</v>
      </c>
      <c r="B124" s="20" t="s">
        <v>7390</v>
      </c>
      <c r="C124" s="184" t="s">
        <v>4963</v>
      </c>
      <c r="D124" s="184" t="s">
        <v>5153</v>
      </c>
      <c r="E124" s="184" t="s">
        <v>7750</v>
      </c>
      <c r="F124" s="184" t="s">
        <v>5078</v>
      </c>
      <c r="G124" s="235" t="s">
        <v>7393</v>
      </c>
      <c r="H124" s="509">
        <v>25115</v>
      </c>
      <c r="I124" s="194">
        <v>0</v>
      </c>
      <c r="J124" s="194">
        <v>112500</v>
      </c>
      <c r="K124" s="185">
        <v>0.3</v>
      </c>
      <c r="L124" s="183" t="s">
        <v>4694</v>
      </c>
      <c r="M124" s="184" t="s">
        <v>3957</v>
      </c>
      <c r="N124" s="184" t="s">
        <v>3957</v>
      </c>
      <c r="O124" s="233"/>
    </row>
    <row r="125" spans="1:15" s="182" customFormat="1" ht="21.95" customHeight="1" x14ac:dyDescent="0.15">
      <c r="A125" s="151" t="s">
        <v>7741</v>
      </c>
      <c r="B125" s="20" t="s">
        <v>7742</v>
      </c>
      <c r="C125" s="184" t="s">
        <v>3371</v>
      </c>
      <c r="D125" s="184" t="s">
        <v>3547</v>
      </c>
      <c r="E125" s="184" t="s">
        <v>7244</v>
      </c>
      <c r="F125" s="184" t="s">
        <v>3344</v>
      </c>
      <c r="G125" s="235" t="s">
        <v>7245</v>
      </c>
      <c r="H125" s="1158">
        <v>25124</v>
      </c>
      <c r="I125" s="194">
        <v>0</v>
      </c>
      <c r="J125" s="194">
        <v>65000</v>
      </c>
      <c r="K125" s="185" t="s">
        <v>3105</v>
      </c>
      <c r="L125" s="183" t="s">
        <v>4706</v>
      </c>
      <c r="M125" s="184" t="s">
        <v>7751</v>
      </c>
      <c r="N125" s="184" t="s">
        <v>7751</v>
      </c>
      <c r="O125" s="233"/>
    </row>
    <row r="126" spans="1:15" s="182" customFormat="1" ht="21.95" customHeight="1" x14ac:dyDescent="0.15">
      <c r="A126" s="151" t="s">
        <v>7741</v>
      </c>
      <c r="B126" s="20" t="s">
        <v>7704</v>
      </c>
      <c r="C126" s="1160" t="s">
        <v>3363</v>
      </c>
      <c r="D126" s="1160" t="s">
        <v>3354</v>
      </c>
      <c r="E126" s="1160" t="s">
        <v>5865</v>
      </c>
      <c r="F126" s="184" t="s">
        <v>5078</v>
      </c>
      <c r="G126" s="235" t="s">
        <v>6914</v>
      </c>
      <c r="H126" s="1158">
        <v>25046</v>
      </c>
      <c r="I126" s="194">
        <v>0</v>
      </c>
      <c r="J126" s="194">
        <v>30000</v>
      </c>
      <c r="K126" s="185" t="s">
        <v>7752</v>
      </c>
      <c r="L126" s="183" t="s">
        <v>7753</v>
      </c>
      <c r="M126" s="184" t="s">
        <v>3957</v>
      </c>
      <c r="N126" s="184" t="s">
        <v>3957</v>
      </c>
      <c r="O126" s="233"/>
    </row>
    <row r="127" spans="1:15" s="182" customFormat="1" ht="21.95" customHeight="1" x14ac:dyDescent="0.15">
      <c r="A127" s="151" t="s">
        <v>7741</v>
      </c>
      <c r="B127" s="20" t="s">
        <v>7743</v>
      </c>
      <c r="C127" s="1160" t="s">
        <v>4963</v>
      </c>
      <c r="D127" s="1160" t="s">
        <v>5018</v>
      </c>
      <c r="E127" s="1160" t="s">
        <v>5904</v>
      </c>
      <c r="F127" s="184" t="s">
        <v>5078</v>
      </c>
      <c r="G127" s="235" t="s">
        <v>6914</v>
      </c>
      <c r="H127" s="509">
        <v>25047</v>
      </c>
      <c r="I127" s="194">
        <v>0</v>
      </c>
      <c r="J127" s="194">
        <v>165000</v>
      </c>
      <c r="K127" s="185">
        <v>1</v>
      </c>
      <c r="L127" s="183" t="s">
        <v>4706</v>
      </c>
      <c r="M127" s="184" t="s">
        <v>3957</v>
      </c>
      <c r="N127" s="184" t="s">
        <v>3957</v>
      </c>
      <c r="O127" s="233"/>
    </row>
    <row r="128" spans="1:15" s="182" customFormat="1" ht="21.95" customHeight="1" x14ac:dyDescent="0.15">
      <c r="A128" s="151" t="s">
        <v>7741</v>
      </c>
      <c r="B128" s="20" t="s">
        <v>7715</v>
      </c>
      <c r="C128" s="1161" t="s">
        <v>5567</v>
      </c>
      <c r="D128" s="1161" t="s">
        <v>5018</v>
      </c>
      <c r="E128" s="1161" t="s">
        <v>7717</v>
      </c>
      <c r="F128" s="184" t="s">
        <v>5078</v>
      </c>
      <c r="G128" s="235" t="s">
        <v>5090</v>
      </c>
      <c r="H128" s="509">
        <v>24080</v>
      </c>
      <c r="I128" s="194">
        <v>70000</v>
      </c>
      <c r="J128" s="194">
        <v>0</v>
      </c>
      <c r="K128" s="185" t="s">
        <v>7755</v>
      </c>
      <c r="L128" s="183" t="s">
        <v>4711</v>
      </c>
      <c r="M128" s="184" t="s">
        <v>693</v>
      </c>
      <c r="N128" s="184" t="s">
        <v>693</v>
      </c>
      <c r="O128" s="233"/>
    </row>
    <row r="129" spans="1:15" s="182" customFormat="1" ht="21.95" customHeight="1" x14ac:dyDescent="0.15">
      <c r="A129" s="151" t="s">
        <v>7756</v>
      </c>
      <c r="B129" s="20" t="s">
        <v>7545</v>
      </c>
      <c r="C129" s="1162" t="s">
        <v>5156</v>
      </c>
      <c r="D129" s="1162" t="s">
        <v>5153</v>
      </c>
      <c r="E129" s="1162" t="s">
        <v>5863</v>
      </c>
      <c r="F129" s="184" t="s">
        <v>5078</v>
      </c>
      <c r="G129" s="235" t="s">
        <v>7634</v>
      </c>
      <c r="H129" s="509">
        <v>25139</v>
      </c>
      <c r="I129" s="194">
        <v>0</v>
      </c>
      <c r="J129" s="194">
        <v>415700</v>
      </c>
      <c r="K129" s="185" t="s">
        <v>7762</v>
      </c>
      <c r="L129" s="183" t="s">
        <v>4711</v>
      </c>
      <c r="M129" s="184" t="s">
        <v>4708</v>
      </c>
      <c r="N129" s="184" t="s">
        <v>4708</v>
      </c>
      <c r="O129" s="233"/>
    </row>
    <row r="130" spans="1:15" s="182" customFormat="1" ht="21.95" customHeight="1" x14ac:dyDescent="0.15">
      <c r="A130" s="151" t="s">
        <v>7757</v>
      </c>
      <c r="B130" s="20" t="s">
        <v>7758</v>
      </c>
      <c r="C130" s="184" t="s">
        <v>4982</v>
      </c>
      <c r="D130" s="184" t="s">
        <v>5153</v>
      </c>
      <c r="E130" s="184" t="s">
        <v>6537</v>
      </c>
      <c r="F130" s="184" t="s">
        <v>3355</v>
      </c>
      <c r="G130" s="235" t="s">
        <v>3367</v>
      </c>
      <c r="H130" s="509">
        <v>25210</v>
      </c>
      <c r="I130" s="194">
        <v>0</v>
      </c>
      <c r="J130" s="194">
        <v>20700</v>
      </c>
      <c r="K130" s="185">
        <v>0.9</v>
      </c>
      <c r="L130" s="183" t="s">
        <v>4711</v>
      </c>
      <c r="M130" s="184" t="s">
        <v>3434</v>
      </c>
      <c r="N130" s="184" t="s">
        <v>3434</v>
      </c>
      <c r="O130" s="233"/>
    </row>
    <row r="131" spans="1:15" s="182" customFormat="1" ht="21.95" customHeight="1" x14ac:dyDescent="0.15">
      <c r="A131" s="151" t="s">
        <v>7759</v>
      </c>
      <c r="B131" s="20" t="s">
        <v>7297</v>
      </c>
      <c r="C131" s="1162" t="s">
        <v>5567</v>
      </c>
      <c r="D131" s="1162" t="s">
        <v>5760</v>
      </c>
      <c r="E131" s="1162" t="s">
        <v>5761</v>
      </c>
      <c r="F131" s="184" t="s">
        <v>3328</v>
      </c>
      <c r="G131" s="235" t="s">
        <v>5030</v>
      </c>
      <c r="H131" s="509">
        <v>26044</v>
      </c>
      <c r="I131" s="194">
        <v>0</v>
      </c>
      <c r="J131" s="194">
        <v>80000</v>
      </c>
      <c r="K131" s="185">
        <v>1</v>
      </c>
      <c r="L131" s="183" t="s">
        <v>4706</v>
      </c>
      <c r="M131" s="184" t="s">
        <v>3957</v>
      </c>
      <c r="N131" s="184" t="s">
        <v>3957</v>
      </c>
      <c r="O131" s="233"/>
    </row>
    <row r="132" spans="1:15" s="182" customFormat="1" ht="21.95" customHeight="1" x14ac:dyDescent="0.15">
      <c r="A132" s="151" t="s">
        <v>7759</v>
      </c>
      <c r="B132" s="20" t="s">
        <v>4789</v>
      </c>
      <c r="C132" s="184" t="s">
        <v>4982</v>
      </c>
      <c r="D132" s="184" t="s">
        <v>6294</v>
      </c>
      <c r="E132" s="184" t="s">
        <v>4984</v>
      </c>
      <c r="F132" s="184" t="s">
        <v>4944</v>
      </c>
      <c r="G132" s="235" t="s">
        <v>7763</v>
      </c>
      <c r="H132" s="1162">
        <v>25103</v>
      </c>
      <c r="I132" s="194">
        <v>0</v>
      </c>
      <c r="J132" s="194">
        <v>31200</v>
      </c>
      <c r="K132" s="185">
        <v>0.4</v>
      </c>
      <c r="L132" s="183" t="s">
        <v>4727</v>
      </c>
      <c r="M132" s="184" t="s">
        <v>3434</v>
      </c>
      <c r="N132" s="184" t="s">
        <v>3434</v>
      </c>
      <c r="O132" s="233"/>
    </row>
    <row r="133" spans="1:15" s="182" customFormat="1" ht="21.95" customHeight="1" x14ac:dyDescent="0.15">
      <c r="A133" s="151" t="s">
        <v>7760</v>
      </c>
      <c r="B133" s="20" t="s">
        <v>7764</v>
      </c>
      <c r="C133" s="399" t="s">
        <v>4982</v>
      </c>
      <c r="D133" s="399" t="s">
        <v>6220</v>
      </c>
      <c r="E133" s="399" t="s">
        <v>6221</v>
      </c>
      <c r="F133" s="184" t="s">
        <v>5078</v>
      </c>
      <c r="G133" s="235" t="s">
        <v>6222</v>
      </c>
      <c r="H133" s="509">
        <v>23097</v>
      </c>
      <c r="I133" s="194">
        <v>148800</v>
      </c>
      <c r="J133" s="194">
        <v>0</v>
      </c>
      <c r="K133" s="185">
        <v>0.8</v>
      </c>
      <c r="L133" s="183" t="s">
        <v>6535</v>
      </c>
      <c r="M133" s="184" t="s">
        <v>6038</v>
      </c>
      <c r="N133" s="184" t="s">
        <v>5835</v>
      </c>
      <c r="O133" s="233"/>
    </row>
    <row r="134" spans="1:15" s="182" customFormat="1" ht="21.95" customHeight="1" x14ac:dyDescent="0.15">
      <c r="A134" s="151" t="s">
        <v>7760</v>
      </c>
      <c r="B134" s="20" t="s">
        <v>7761</v>
      </c>
      <c r="C134" s="945" t="s">
        <v>3371</v>
      </c>
      <c r="D134" s="945" t="s">
        <v>3572</v>
      </c>
      <c r="E134" s="952" t="s">
        <v>7766</v>
      </c>
      <c r="F134" s="292" t="s">
        <v>3328</v>
      </c>
      <c r="G134" s="235" t="s">
        <v>4371</v>
      </c>
      <c r="H134" s="1162" t="s">
        <v>7765</v>
      </c>
      <c r="I134" s="194">
        <v>0</v>
      </c>
      <c r="J134" s="194">
        <v>55000</v>
      </c>
      <c r="K134" s="185">
        <v>1</v>
      </c>
      <c r="L134" s="183" t="s">
        <v>4707</v>
      </c>
      <c r="M134" s="184" t="s">
        <v>3433</v>
      </c>
      <c r="N134" s="184" t="s">
        <v>3433</v>
      </c>
      <c r="O134" s="233"/>
    </row>
    <row r="135" spans="1:15" s="182" customFormat="1" ht="21.95" customHeight="1" x14ac:dyDescent="0.15">
      <c r="A135" s="151" t="s">
        <v>7760</v>
      </c>
      <c r="B135" s="20" t="s">
        <v>5337</v>
      </c>
      <c r="C135" s="184" t="s">
        <v>4982</v>
      </c>
      <c r="D135" s="184" t="s">
        <v>5018</v>
      </c>
      <c r="E135" s="184" t="s">
        <v>5959</v>
      </c>
      <c r="F135" s="184" t="s">
        <v>5078</v>
      </c>
      <c r="G135" s="235" t="s">
        <v>6951</v>
      </c>
      <c r="H135" s="509" t="s">
        <v>7054</v>
      </c>
      <c r="I135" s="194">
        <v>0</v>
      </c>
      <c r="J135" s="194">
        <v>68750</v>
      </c>
      <c r="K135" s="185" t="s">
        <v>6249</v>
      </c>
      <c r="L135" s="183" t="s">
        <v>4706</v>
      </c>
      <c r="M135" s="184" t="s">
        <v>6106</v>
      </c>
      <c r="N135" s="184" t="s">
        <v>5255</v>
      </c>
      <c r="O135" s="233"/>
    </row>
    <row r="136" spans="1:15" s="182" customFormat="1" ht="21.95" customHeight="1" x14ac:dyDescent="0.15">
      <c r="A136" s="151" t="s">
        <v>7760</v>
      </c>
      <c r="B136" s="20" t="s">
        <v>4677</v>
      </c>
      <c r="C136" s="224" t="s">
        <v>3363</v>
      </c>
      <c r="D136" s="224" t="s">
        <v>3457</v>
      </c>
      <c r="E136" s="224" t="s">
        <v>3458</v>
      </c>
      <c r="F136" s="207" t="s">
        <v>3328</v>
      </c>
      <c r="G136" s="235" t="s">
        <v>3370</v>
      </c>
      <c r="H136" s="1162">
        <v>25066</v>
      </c>
      <c r="I136" s="194">
        <v>0</v>
      </c>
      <c r="J136" s="194">
        <v>40500</v>
      </c>
      <c r="K136" s="222">
        <v>0.22500000000000001</v>
      </c>
      <c r="L136" s="183" t="s">
        <v>4706</v>
      </c>
      <c r="M136" s="184" t="s">
        <v>3957</v>
      </c>
      <c r="N136" s="184" t="s">
        <v>3957</v>
      </c>
      <c r="O136" s="233"/>
    </row>
    <row r="137" spans="1:15" s="182" customFormat="1" ht="21.95" customHeight="1" x14ac:dyDescent="0.15">
      <c r="A137" s="151" t="s">
        <v>7767</v>
      </c>
      <c r="B137" s="20" t="s">
        <v>5162</v>
      </c>
      <c r="C137" s="184" t="s">
        <v>4941</v>
      </c>
      <c r="D137" s="184" t="s">
        <v>4942</v>
      </c>
      <c r="E137" s="184" t="s">
        <v>7075</v>
      </c>
      <c r="F137" s="184" t="s">
        <v>5078</v>
      </c>
      <c r="G137" s="235" t="s">
        <v>3375</v>
      </c>
      <c r="H137" s="509">
        <v>24044</v>
      </c>
      <c r="I137" s="194">
        <v>230796</v>
      </c>
      <c r="J137" s="194">
        <v>0</v>
      </c>
      <c r="K137" s="185">
        <v>0.6</v>
      </c>
      <c r="L137" s="183" t="s">
        <v>4694</v>
      </c>
      <c r="M137" s="184" t="s">
        <v>3726</v>
      </c>
      <c r="N137" s="184" t="s">
        <v>3726</v>
      </c>
      <c r="O137" s="233"/>
    </row>
    <row r="138" spans="1:15" s="182" customFormat="1" ht="21.95" customHeight="1" x14ac:dyDescent="0.15">
      <c r="A138" s="151" t="s">
        <v>7768</v>
      </c>
      <c r="B138" s="20" t="s">
        <v>7769</v>
      </c>
      <c r="C138" s="391" t="s">
        <v>3337</v>
      </c>
      <c r="D138" s="393" t="s">
        <v>3702</v>
      </c>
      <c r="E138" s="391" t="s">
        <v>4587</v>
      </c>
      <c r="F138" s="184" t="s">
        <v>5078</v>
      </c>
      <c r="G138" s="235" t="s">
        <v>7258</v>
      </c>
      <c r="H138" s="1163">
        <v>23080</v>
      </c>
      <c r="I138" s="194">
        <v>0</v>
      </c>
      <c r="J138" s="194">
        <v>70000</v>
      </c>
      <c r="K138" s="185" t="s">
        <v>3105</v>
      </c>
      <c r="L138" s="183" t="s">
        <v>4706</v>
      </c>
      <c r="M138" s="184" t="s">
        <v>3726</v>
      </c>
      <c r="N138" s="184" t="s">
        <v>3726</v>
      </c>
      <c r="O138" s="233"/>
    </row>
    <row r="139" spans="1:15" s="182" customFormat="1" ht="21.95" customHeight="1" x14ac:dyDescent="0.15">
      <c r="A139" s="151"/>
      <c r="B139" s="20"/>
      <c r="C139" s="20"/>
      <c r="D139" s="20"/>
      <c r="E139" s="30"/>
      <c r="F139" s="30"/>
      <c r="G139" s="30"/>
      <c r="H139" s="1146"/>
      <c r="I139" s="194"/>
      <c r="J139" s="194"/>
      <c r="K139" s="185"/>
      <c r="L139" s="183"/>
      <c r="M139" s="184"/>
      <c r="N139" s="184"/>
      <c r="O139" s="233"/>
    </row>
    <row r="140" spans="1:15" s="182" customFormat="1" ht="21.95" customHeight="1" x14ac:dyDescent="0.15">
      <c r="A140" s="151"/>
      <c r="B140" s="20"/>
      <c r="C140" s="20"/>
      <c r="D140" s="20"/>
      <c r="E140" s="30"/>
      <c r="F140" s="30"/>
      <c r="G140" s="30"/>
      <c r="H140" s="1125"/>
      <c r="I140" s="194"/>
      <c r="J140" s="194"/>
      <c r="K140" s="185"/>
      <c r="L140" s="183"/>
      <c r="M140" s="184"/>
      <c r="N140" s="184"/>
      <c r="O140" s="233"/>
    </row>
    <row r="141" spans="1:15" s="182" customFormat="1" ht="21.95" customHeight="1" x14ac:dyDescent="0.15">
      <c r="A141" s="151"/>
      <c r="B141" s="20"/>
      <c r="C141" s="20"/>
      <c r="D141" s="20"/>
      <c r="E141" s="30"/>
      <c r="F141" s="30"/>
      <c r="G141" s="30"/>
      <c r="H141" s="1125"/>
      <c r="I141" s="194"/>
      <c r="J141" s="194"/>
      <c r="K141" s="185"/>
      <c r="L141" s="183"/>
      <c r="M141" s="184"/>
      <c r="N141" s="184"/>
      <c r="O141" s="233"/>
    </row>
    <row r="142" spans="1:15" s="182" customFormat="1" ht="21.75" customHeight="1" x14ac:dyDescent="0.15">
      <c r="A142" s="151"/>
      <c r="B142" s="20"/>
      <c r="C142" s="20"/>
      <c r="D142" s="20"/>
      <c r="E142" s="30"/>
      <c r="F142" s="30"/>
      <c r="G142" s="30"/>
      <c r="H142" s="1125"/>
      <c r="I142" s="194"/>
      <c r="J142" s="194"/>
      <c r="K142" s="185"/>
      <c r="L142" s="183"/>
      <c r="M142" s="184"/>
      <c r="N142" s="184"/>
      <c r="O142" s="233"/>
    </row>
    <row r="143" spans="1:15" x14ac:dyDescent="0.15">
      <c r="A143" s="1165" t="s">
        <v>7593</v>
      </c>
      <c r="B143" s="1166"/>
      <c r="C143" s="1166"/>
      <c r="D143" s="1166"/>
      <c r="E143" s="1166"/>
      <c r="F143" s="1166"/>
      <c r="G143" s="1166"/>
      <c r="H143" s="1167"/>
      <c r="I143" s="230">
        <f>SUM(I3:I142)</f>
        <v>959596</v>
      </c>
      <c r="J143" s="230">
        <f>SUM(J3:J142)</f>
        <v>8044302.4000000004</v>
      </c>
    </row>
    <row r="154" spans="9:9" x14ac:dyDescent="0.15">
      <c r="I154" s="1100"/>
    </row>
    <row r="155" spans="9:9" x14ac:dyDescent="0.15">
      <c r="I155" s="1100"/>
    </row>
  </sheetData>
  <autoFilter ref="A2:O23" xr:uid="{942BD51C-DD4D-41F8-8B6A-3CAFDCE8D5C7}"/>
  <mergeCells count="2">
    <mergeCell ref="A1:O1"/>
    <mergeCell ref="A143:H143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F1BB1-5B93-4E7D-8EEC-2D694797196F}">
  <dimension ref="A1:O584"/>
  <sheetViews>
    <sheetView zoomScaleNormal="100" workbookViewId="0">
      <selection activeCell="J476" sqref="J476:J555"/>
    </sheetView>
  </sheetViews>
  <sheetFormatPr defaultRowHeight="13.5" x14ac:dyDescent="0.15"/>
  <cols>
    <col min="1" max="1" width="10.75" customWidth="1"/>
    <col min="2" max="2" width="24.625" customWidth="1"/>
    <col min="3" max="4" width="10.625" customWidth="1"/>
    <col min="5" max="5" width="17.5" customWidth="1"/>
    <col min="6" max="6" width="15" customWidth="1"/>
    <col min="7" max="7" width="24.875" customWidth="1"/>
    <col min="8" max="11" width="15.375" customWidth="1"/>
    <col min="12" max="12" width="18" customWidth="1"/>
    <col min="13" max="13" width="10.75" customWidth="1"/>
    <col min="14" max="14" width="10.875" customWidth="1"/>
    <col min="15" max="15" width="45.625" customWidth="1"/>
  </cols>
  <sheetData>
    <row r="1" spans="1:15" s="176" customFormat="1" ht="40.5" customHeight="1" x14ac:dyDescent="0.15">
      <c r="A1" s="1164" t="s">
        <v>6883</v>
      </c>
      <c r="B1" s="1164"/>
      <c r="C1" s="1164"/>
      <c r="D1" s="1164"/>
      <c r="E1" s="1164"/>
      <c r="F1" s="1164"/>
      <c r="G1" s="1164"/>
      <c r="H1" s="1164"/>
      <c r="I1" s="1164"/>
      <c r="J1" s="1164"/>
      <c r="K1" s="1164"/>
      <c r="L1" s="1164"/>
      <c r="M1" s="1164"/>
      <c r="N1" s="1164"/>
      <c r="O1" s="1164"/>
    </row>
    <row r="2" spans="1:15" s="176" customFormat="1" ht="21.75" customHeight="1" x14ac:dyDescent="0.15">
      <c r="A2" s="16" t="s">
        <v>1755</v>
      </c>
      <c r="B2" s="16" t="s">
        <v>128</v>
      </c>
      <c r="C2" s="245" t="s">
        <v>3322</v>
      </c>
      <c r="D2" s="245" t="s">
        <v>3321</v>
      </c>
      <c r="E2" s="245" t="s">
        <v>1756</v>
      </c>
      <c r="F2" s="245" t="s">
        <v>3323</v>
      </c>
      <c r="G2" s="245" t="s">
        <v>3324</v>
      </c>
      <c r="H2" s="16" t="s">
        <v>130</v>
      </c>
      <c r="I2" s="193" t="s">
        <v>1757</v>
      </c>
      <c r="J2" s="193" t="s">
        <v>1758</v>
      </c>
      <c r="K2" s="16" t="s">
        <v>1759</v>
      </c>
      <c r="L2" s="16" t="s">
        <v>1760</v>
      </c>
      <c r="M2" s="16" t="s">
        <v>3243</v>
      </c>
      <c r="N2" s="16" t="s">
        <v>3244</v>
      </c>
      <c r="O2" s="16" t="s">
        <v>509</v>
      </c>
    </row>
    <row r="3" spans="1:15" s="182" customFormat="1" ht="21.95" customHeight="1" x14ac:dyDescent="0.15">
      <c r="A3" s="151" t="s">
        <v>6885</v>
      </c>
      <c r="B3" s="20" t="s">
        <v>6886</v>
      </c>
      <c r="C3" s="1028" t="s">
        <v>3346</v>
      </c>
      <c r="D3" s="1028" t="s">
        <v>3347</v>
      </c>
      <c r="E3" s="1028" t="s">
        <v>3348</v>
      </c>
      <c r="F3" s="184" t="s">
        <v>3400</v>
      </c>
      <c r="G3" s="235" t="s">
        <v>5086</v>
      </c>
      <c r="H3" s="509" t="s">
        <v>6893</v>
      </c>
      <c r="I3" s="194">
        <v>0</v>
      </c>
      <c r="J3" s="194">
        <v>67500</v>
      </c>
      <c r="K3" s="185">
        <v>0.9</v>
      </c>
      <c r="L3" s="183" t="s">
        <v>1948</v>
      </c>
      <c r="M3" s="184" t="s">
        <v>6038</v>
      </c>
      <c r="N3" s="184" t="s">
        <v>6038</v>
      </c>
      <c r="O3" s="1027"/>
    </row>
    <row r="4" spans="1:15" s="182" customFormat="1" ht="21.95" customHeight="1" x14ac:dyDescent="0.15">
      <c r="A4" s="151" t="s">
        <v>6885</v>
      </c>
      <c r="B4" s="20" t="s">
        <v>6886</v>
      </c>
      <c r="C4" s="1028" t="s">
        <v>3346</v>
      </c>
      <c r="D4" s="1028" t="s">
        <v>3347</v>
      </c>
      <c r="E4" s="1028" t="s">
        <v>3350</v>
      </c>
      <c r="F4" s="184" t="s">
        <v>3400</v>
      </c>
      <c r="G4" s="235" t="s">
        <v>5086</v>
      </c>
      <c r="H4" s="509" t="s">
        <v>6894</v>
      </c>
      <c r="I4" s="194">
        <v>0</v>
      </c>
      <c r="J4" s="194">
        <v>67500</v>
      </c>
      <c r="K4" s="185">
        <v>0.9</v>
      </c>
      <c r="L4" s="183" t="s">
        <v>1948</v>
      </c>
      <c r="M4" s="184" t="s">
        <v>6038</v>
      </c>
      <c r="N4" s="184" t="s">
        <v>6038</v>
      </c>
      <c r="O4" s="1028"/>
    </row>
    <row r="5" spans="1:15" s="182" customFormat="1" ht="30.75" customHeight="1" x14ac:dyDescent="0.15">
      <c r="A5" s="151" t="s">
        <v>6885</v>
      </c>
      <c r="B5" s="849" t="s">
        <v>6887</v>
      </c>
      <c r="C5" s="184" t="s">
        <v>4982</v>
      </c>
      <c r="D5" s="184" t="s">
        <v>5028</v>
      </c>
      <c r="E5" s="184" t="s">
        <v>6872</v>
      </c>
      <c r="F5" s="184" t="s">
        <v>5078</v>
      </c>
      <c r="G5" s="235" t="s">
        <v>5090</v>
      </c>
      <c r="H5" s="509" t="s">
        <v>6871</v>
      </c>
      <c r="I5" s="194">
        <v>195000</v>
      </c>
      <c r="J5" s="194">
        <v>0</v>
      </c>
      <c r="K5" s="185" t="s">
        <v>6895</v>
      </c>
      <c r="L5" s="183" t="s">
        <v>5768</v>
      </c>
      <c r="M5" s="184" t="s">
        <v>693</v>
      </c>
      <c r="N5" s="184" t="s">
        <v>693</v>
      </c>
      <c r="O5" s="1027"/>
    </row>
    <row r="6" spans="1:15" s="182" customFormat="1" ht="21.95" customHeight="1" x14ac:dyDescent="0.15">
      <c r="A6" s="151" t="s">
        <v>6888</v>
      </c>
      <c r="B6" s="20" t="s">
        <v>6648</v>
      </c>
      <c r="C6" s="1029" t="s">
        <v>4982</v>
      </c>
      <c r="D6" s="1029" t="s">
        <v>4942</v>
      </c>
      <c r="E6" s="1029" t="s">
        <v>6653</v>
      </c>
      <c r="F6" s="184" t="s">
        <v>3332</v>
      </c>
      <c r="G6" s="235" t="s">
        <v>3329</v>
      </c>
      <c r="H6" s="509">
        <v>24063</v>
      </c>
      <c r="I6" s="194">
        <v>0</v>
      </c>
      <c r="J6" s="194">
        <v>135000</v>
      </c>
      <c r="K6" s="185">
        <v>0.3</v>
      </c>
      <c r="L6" s="183" t="s">
        <v>1172</v>
      </c>
      <c r="M6" s="184" t="s">
        <v>693</v>
      </c>
      <c r="N6" s="184" t="s">
        <v>693</v>
      </c>
      <c r="O6" s="1027"/>
    </row>
    <row r="7" spans="1:15" s="182" customFormat="1" ht="21.95" customHeight="1" x14ac:dyDescent="0.15">
      <c r="A7" s="151" t="s">
        <v>6889</v>
      </c>
      <c r="B7" s="20" t="s">
        <v>6364</v>
      </c>
      <c r="C7" s="399" t="s">
        <v>5148</v>
      </c>
      <c r="D7" s="399" t="s">
        <v>5098</v>
      </c>
      <c r="E7" s="399" t="s">
        <v>5149</v>
      </c>
      <c r="F7" s="184" t="s">
        <v>5078</v>
      </c>
      <c r="G7" s="235" t="s">
        <v>5030</v>
      </c>
      <c r="H7" s="509">
        <v>23176</v>
      </c>
      <c r="I7" s="194">
        <v>0</v>
      </c>
      <c r="J7" s="194">
        <v>80000</v>
      </c>
      <c r="K7" s="185">
        <v>1</v>
      </c>
      <c r="L7" s="183" t="s">
        <v>285</v>
      </c>
      <c r="M7" s="183" t="s">
        <v>170</v>
      </c>
      <c r="N7" s="183" t="s">
        <v>170</v>
      </c>
      <c r="O7" s="1027"/>
    </row>
    <row r="8" spans="1:15" s="182" customFormat="1" ht="21.95" customHeight="1" x14ac:dyDescent="0.15">
      <c r="A8" s="151" t="s">
        <v>6890</v>
      </c>
      <c r="B8" s="20" t="s">
        <v>563</v>
      </c>
      <c r="C8" s="1031" t="s">
        <v>3325</v>
      </c>
      <c r="D8" s="1031" t="s">
        <v>3457</v>
      </c>
      <c r="E8" s="1032" t="s">
        <v>83</v>
      </c>
      <c r="F8" s="1031" t="s">
        <v>3328</v>
      </c>
      <c r="G8" s="1033" t="s">
        <v>3349</v>
      </c>
      <c r="H8" s="509">
        <v>24037</v>
      </c>
      <c r="I8" s="194">
        <v>0</v>
      </c>
      <c r="J8" s="194">
        <v>52000</v>
      </c>
      <c r="K8" s="185">
        <v>1</v>
      </c>
      <c r="L8" s="183" t="s">
        <v>285</v>
      </c>
      <c r="M8" s="183" t="s">
        <v>2660</v>
      </c>
      <c r="N8" s="183" t="s">
        <v>2660</v>
      </c>
      <c r="O8" s="1027"/>
    </row>
    <row r="9" spans="1:15" s="182" customFormat="1" ht="21.95" customHeight="1" x14ac:dyDescent="0.15">
      <c r="A9" s="151" t="s">
        <v>6890</v>
      </c>
      <c r="B9" s="20" t="s">
        <v>6353</v>
      </c>
      <c r="C9" s="399" t="s">
        <v>4982</v>
      </c>
      <c r="D9" s="399" t="s">
        <v>5098</v>
      </c>
      <c r="E9" s="399" t="s">
        <v>6317</v>
      </c>
      <c r="F9" s="184" t="s">
        <v>6254</v>
      </c>
      <c r="G9" s="235" t="s">
        <v>5300</v>
      </c>
      <c r="H9" s="509">
        <v>23154</v>
      </c>
      <c r="I9" s="194">
        <v>0</v>
      </c>
      <c r="J9" s="194">
        <v>31190</v>
      </c>
      <c r="K9" s="185">
        <v>0.05</v>
      </c>
      <c r="L9" s="183" t="s">
        <v>6896</v>
      </c>
      <c r="M9" s="183" t="s">
        <v>162</v>
      </c>
      <c r="N9" s="183" t="s">
        <v>162</v>
      </c>
      <c r="O9" s="1027"/>
    </row>
    <row r="10" spans="1:15" s="182" customFormat="1" ht="21.95" customHeight="1" x14ac:dyDescent="0.15">
      <c r="A10" s="151" t="s">
        <v>6891</v>
      </c>
      <c r="B10" s="20" t="s">
        <v>6892</v>
      </c>
      <c r="C10" s="399" t="s">
        <v>3368</v>
      </c>
      <c r="D10" s="399" t="s">
        <v>3369</v>
      </c>
      <c r="E10" s="399" t="s">
        <v>3466</v>
      </c>
      <c r="F10" s="184" t="s">
        <v>5078</v>
      </c>
      <c r="G10" s="235" t="s">
        <v>5030</v>
      </c>
      <c r="H10" s="509">
        <v>23025</v>
      </c>
      <c r="I10" s="194">
        <v>0</v>
      </c>
      <c r="J10" s="194">
        <v>75000</v>
      </c>
      <c r="K10" s="222">
        <v>0.9375</v>
      </c>
      <c r="L10" s="183" t="s">
        <v>285</v>
      </c>
      <c r="M10" s="183" t="s">
        <v>6038</v>
      </c>
      <c r="N10" s="183" t="s">
        <v>3388</v>
      </c>
      <c r="O10" s="1027"/>
    </row>
    <row r="11" spans="1:15" s="182" customFormat="1" ht="21.95" customHeight="1" x14ac:dyDescent="0.15">
      <c r="A11" s="151" t="s">
        <v>6891</v>
      </c>
      <c r="B11" s="20" t="s">
        <v>6892</v>
      </c>
      <c r="C11" s="1030" t="s">
        <v>3368</v>
      </c>
      <c r="D11" s="1030" t="s">
        <v>3369</v>
      </c>
      <c r="E11" s="1030" t="s">
        <v>3466</v>
      </c>
      <c r="F11" s="184" t="s">
        <v>5078</v>
      </c>
      <c r="G11" s="235" t="s">
        <v>6198</v>
      </c>
      <c r="H11" s="509">
        <v>24120</v>
      </c>
      <c r="I11" s="194">
        <v>0</v>
      </c>
      <c r="J11" s="194">
        <v>40500</v>
      </c>
      <c r="K11" s="185">
        <v>0.9</v>
      </c>
      <c r="L11" s="183" t="s">
        <v>1147</v>
      </c>
      <c r="M11" s="183" t="s">
        <v>6038</v>
      </c>
      <c r="N11" s="183" t="s">
        <v>3388</v>
      </c>
      <c r="O11" s="1027"/>
    </row>
    <row r="12" spans="1:15" s="182" customFormat="1" ht="21.95" customHeight="1" x14ac:dyDescent="0.15">
      <c r="A12" s="151" t="s">
        <v>6891</v>
      </c>
      <c r="B12" s="20" t="s">
        <v>6892</v>
      </c>
      <c r="C12" s="945" t="s">
        <v>3627</v>
      </c>
      <c r="D12" s="945" t="s">
        <v>6906</v>
      </c>
      <c r="E12" s="952" t="s">
        <v>6907</v>
      </c>
      <c r="F12" s="184" t="s">
        <v>5078</v>
      </c>
      <c r="G12" s="235" t="s">
        <v>6198</v>
      </c>
      <c r="H12" s="509">
        <v>24117</v>
      </c>
      <c r="I12" s="194">
        <v>0</v>
      </c>
      <c r="J12" s="194">
        <v>40500</v>
      </c>
      <c r="K12" s="185">
        <v>0.9</v>
      </c>
      <c r="L12" s="183" t="s">
        <v>1147</v>
      </c>
      <c r="M12" s="183" t="s">
        <v>6038</v>
      </c>
      <c r="N12" s="183" t="s">
        <v>3388</v>
      </c>
      <c r="O12" s="1035"/>
    </row>
    <row r="13" spans="1:15" s="182" customFormat="1" ht="21.95" customHeight="1" x14ac:dyDescent="0.15">
      <c r="A13" s="151" t="s">
        <v>6897</v>
      </c>
      <c r="B13" s="20" t="s">
        <v>195</v>
      </c>
      <c r="C13" s="944" t="s">
        <v>3985</v>
      </c>
      <c r="D13" s="944" t="s">
        <v>3405</v>
      </c>
      <c r="E13" s="944" t="s">
        <v>6041</v>
      </c>
      <c r="F13" s="945" t="s">
        <v>3328</v>
      </c>
      <c r="G13" s="460" t="s">
        <v>3566</v>
      </c>
      <c r="H13" s="509">
        <v>20179</v>
      </c>
      <c r="I13" s="194">
        <v>0</v>
      </c>
      <c r="J13" s="194">
        <v>50000</v>
      </c>
      <c r="K13" s="185" t="s">
        <v>6898</v>
      </c>
      <c r="L13" s="183" t="s">
        <v>285</v>
      </c>
      <c r="M13" s="183" t="s">
        <v>1880</v>
      </c>
      <c r="N13" s="183" t="s">
        <v>1880</v>
      </c>
      <c r="O13" s="1034"/>
    </row>
    <row r="14" spans="1:15" s="182" customFormat="1" ht="21.95" customHeight="1" x14ac:dyDescent="0.15">
      <c r="A14" s="151" t="s">
        <v>6899</v>
      </c>
      <c r="B14" s="20" t="s">
        <v>6900</v>
      </c>
      <c r="C14" s="399" t="s">
        <v>3363</v>
      </c>
      <c r="D14" s="399" t="s">
        <v>3354</v>
      </c>
      <c r="E14" s="399" t="s">
        <v>5865</v>
      </c>
      <c r="F14" s="184" t="s">
        <v>5078</v>
      </c>
      <c r="G14" s="235" t="s">
        <v>5658</v>
      </c>
      <c r="H14" s="638">
        <v>22128</v>
      </c>
      <c r="I14" s="194">
        <v>0</v>
      </c>
      <c r="J14" s="194">
        <v>11900</v>
      </c>
      <c r="K14" s="185">
        <v>0.1</v>
      </c>
      <c r="L14" s="183" t="s">
        <v>1948</v>
      </c>
      <c r="M14" s="184" t="s">
        <v>2660</v>
      </c>
      <c r="N14" s="184" t="s">
        <v>2660</v>
      </c>
      <c r="O14" s="1035"/>
    </row>
    <row r="15" spans="1:15" s="182" customFormat="1" ht="21.95" customHeight="1" x14ac:dyDescent="0.15">
      <c r="A15" s="151" t="s">
        <v>6899</v>
      </c>
      <c r="B15" s="20" t="s">
        <v>6731</v>
      </c>
      <c r="C15" s="184" t="s">
        <v>4963</v>
      </c>
      <c r="D15" s="184" t="s">
        <v>4964</v>
      </c>
      <c r="E15" s="184" t="s">
        <v>4965</v>
      </c>
      <c r="F15" s="184" t="s">
        <v>3332</v>
      </c>
      <c r="G15" s="235" t="s">
        <v>5030</v>
      </c>
      <c r="H15" s="509">
        <v>23159</v>
      </c>
      <c r="I15" s="194">
        <v>0</v>
      </c>
      <c r="J15" s="194">
        <v>100000</v>
      </c>
      <c r="K15" s="185">
        <v>1</v>
      </c>
      <c r="L15" s="183" t="s">
        <v>285</v>
      </c>
      <c r="M15" s="184" t="s">
        <v>5765</v>
      </c>
      <c r="N15" s="184" t="s">
        <v>5765</v>
      </c>
      <c r="O15" s="1036"/>
    </row>
    <row r="16" spans="1:15" s="182" customFormat="1" ht="21.95" customHeight="1" x14ac:dyDescent="0.15">
      <c r="A16" s="151" t="s">
        <v>6901</v>
      </c>
      <c r="B16" s="20" t="s">
        <v>4578</v>
      </c>
      <c r="C16" s="391" t="s">
        <v>3337</v>
      </c>
      <c r="D16" s="393" t="s">
        <v>3702</v>
      </c>
      <c r="E16" s="391" t="s">
        <v>4587</v>
      </c>
      <c r="F16" s="184" t="s">
        <v>5078</v>
      </c>
      <c r="G16" s="235" t="s">
        <v>6198</v>
      </c>
      <c r="H16" s="509">
        <v>23174</v>
      </c>
      <c r="I16" s="194">
        <v>0</v>
      </c>
      <c r="J16" s="194">
        <v>20000</v>
      </c>
      <c r="K16" s="185">
        <v>1</v>
      </c>
      <c r="L16" s="183" t="s">
        <v>1948</v>
      </c>
      <c r="M16" s="184" t="s">
        <v>5255</v>
      </c>
      <c r="N16" s="184" t="s">
        <v>5255</v>
      </c>
      <c r="O16" s="1036"/>
    </row>
    <row r="17" spans="1:15" s="182" customFormat="1" ht="21.95" customHeight="1" x14ac:dyDescent="0.15">
      <c r="A17" s="151" t="s">
        <v>6902</v>
      </c>
      <c r="B17" s="20" t="s">
        <v>6903</v>
      </c>
      <c r="C17" s="1038" t="s">
        <v>4982</v>
      </c>
      <c r="D17" s="1038" t="s">
        <v>5541</v>
      </c>
      <c r="E17" s="1038" t="s">
        <v>5713</v>
      </c>
      <c r="F17" s="184" t="s">
        <v>4944</v>
      </c>
      <c r="G17" s="235" t="s">
        <v>6913</v>
      </c>
      <c r="H17" s="509" t="s">
        <v>6908</v>
      </c>
      <c r="I17" s="194">
        <v>0</v>
      </c>
      <c r="J17" s="194">
        <v>11687.5</v>
      </c>
      <c r="K17" s="185">
        <v>0.25</v>
      </c>
      <c r="L17" s="183" t="s">
        <v>285</v>
      </c>
      <c r="M17" s="184" t="s">
        <v>162</v>
      </c>
      <c r="N17" s="184" t="s">
        <v>162</v>
      </c>
      <c r="O17" s="1036"/>
    </row>
    <row r="18" spans="1:15" s="182" customFormat="1" ht="21.95" customHeight="1" x14ac:dyDescent="0.15">
      <c r="A18" s="151" t="s">
        <v>6902</v>
      </c>
      <c r="B18" s="20" t="s">
        <v>6903</v>
      </c>
      <c r="C18" s="1038" t="s">
        <v>3346</v>
      </c>
      <c r="D18" s="1038" t="s">
        <v>3347</v>
      </c>
      <c r="E18" s="30" t="s">
        <v>3542</v>
      </c>
      <c r="F18" s="184" t="s">
        <v>5078</v>
      </c>
      <c r="G18" s="235" t="s">
        <v>6914</v>
      </c>
      <c r="H18" s="509" t="s">
        <v>6909</v>
      </c>
      <c r="I18" s="194">
        <v>0</v>
      </c>
      <c r="J18" s="194">
        <v>11687.5</v>
      </c>
      <c r="K18" s="185">
        <v>0.25</v>
      </c>
      <c r="L18" s="183" t="s">
        <v>285</v>
      </c>
      <c r="M18" s="184" t="s">
        <v>162</v>
      </c>
      <c r="N18" s="184" t="s">
        <v>162</v>
      </c>
      <c r="O18" s="1037"/>
    </row>
    <row r="19" spans="1:15" s="182" customFormat="1" ht="21.95" customHeight="1" x14ac:dyDescent="0.15">
      <c r="A19" s="151" t="s">
        <v>6902</v>
      </c>
      <c r="B19" s="20" t="s">
        <v>6903</v>
      </c>
      <c r="C19" s="1038" t="s">
        <v>3346</v>
      </c>
      <c r="D19" s="1038" t="s">
        <v>3347</v>
      </c>
      <c r="E19" s="184" t="s">
        <v>5397</v>
      </c>
      <c r="F19" s="184" t="s">
        <v>4944</v>
      </c>
      <c r="G19" s="235" t="s">
        <v>6913</v>
      </c>
      <c r="H19" s="509" t="s">
        <v>6910</v>
      </c>
      <c r="I19" s="194">
        <v>0</v>
      </c>
      <c r="J19" s="194">
        <v>11687.5</v>
      </c>
      <c r="K19" s="185">
        <v>0.25</v>
      </c>
      <c r="L19" s="183" t="s">
        <v>285</v>
      </c>
      <c r="M19" s="184" t="s">
        <v>162</v>
      </c>
      <c r="N19" s="184" t="s">
        <v>162</v>
      </c>
      <c r="O19" s="1037"/>
    </row>
    <row r="20" spans="1:15" s="182" customFormat="1" ht="21.95" customHeight="1" x14ac:dyDescent="0.15">
      <c r="A20" s="151" t="s">
        <v>6902</v>
      </c>
      <c r="B20" s="20" t="s">
        <v>6903</v>
      </c>
      <c r="C20" s="1038" t="s">
        <v>3346</v>
      </c>
      <c r="D20" s="1038" t="s">
        <v>3347</v>
      </c>
      <c r="E20" s="1038" t="s">
        <v>6915</v>
      </c>
      <c r="F20" s="184" t="s">
        <v>5078</v>
      </c>
      <c r="G20" s="235" t="s">
        <v>6914</v>
      </c>
      <c r="H20" s="509" t="s">
        <v>6911</v>
      </c>
      <c r="I20" s="194">
        <v>0</v>
      </c>
      <c r="J20" s="194">
        <v>11687.5</v>
      </c>
      <c r="K20" s="185">
        <v>0.25</v>
      </c>
      <c r="L20" s="183" t="s">
        <v>285</v>
      </c>
      <c r="M20" s="184" t="s">
        <v>162</v>
      </c>
      <c r="N20" s="184" t="s">
        <v>162</v>
      </c>
      <c r="O20" s="1037"/>
    </row>
    <row r="21" spans="1:15" s="182" customFormat="1" ht="21.95" customHeight="1" x14ac:dyDescent="0.15">
      <c r="A21" s="151" t="s">
        <v>6902</v>
      </c>
      <c r="B21" s="20" t="s">
        <v>6903</v>
      </c>
      <c r="C21" s="1038" t="s">
        <v>3346</v>
      </c>
      <c r="D21" s="1038" t="s">
        <v>3347</v>
      </c>
      <c r="E21" s="1038" t="s">
        <v>6916</v>
      </c>
      <c r="F21" s="184" t="s">
        <v>5078</v>
      </c>
      <c r="G21" s="235" t="s">
        <v>6914</v>
      </c>
      <c r="H21" s="509" t="s">
        <v>6912</v>
      </c>
      <c r="I21" s="194">
        <v>0</v>
      </c>
      <c r="J21" s="194">
        <v>11687.5</v>
      </c>
      <c r="K21" s="185">
        <v>0.25</v>
      </c>
      <c r="L21" s="183" t="s">
        <v>285</v>
      </c>
      <c r="M21" s="184" t="s">
        <v>162</v>
      </c>
      <c r="N21" s="184" t="s">
        <v>162</v>
      </c>
      <c r="O21" s="1037"/>
    </row>
    <row r="22" spans="1:15" s="182" customFormat="1" ht="21.95" customHeight="1" x14ac:dyDescent="0.15">
      <c r="A22" s="151" t="s">
        <v>6904</v>
      </c>
      <c r="B22" s="20" t="s">
        <v>6905</v>
      </c>
      <c r="C22" s="184" t="s">
        <v>4963</v>
      </c>
      <c r="D22" s="184" t="s">
        <v>5018</v>
      </c>
      <c r="E22" s="184" t="s">
        <v>6881</v>
      </c>
      <c r="F22" s="184" t="s">
        <v>5078</v>
      </c>
      <c r="G22" s="235" t="s">
        <v>5658</v>
      </c>
      <c r="H22" s="509">
        <v>24069</v>
      </c>
      <c r="I22" s="194">
        <v>0</v>
      </c>
      <c r="J22" s="194">
        <v>40000</v>
      </c>
      <c r="K22" s="185" t="s">
        <v>6917</v>
      </c>
      <c r="L22" s="183" t="s">
        <v>1948</v>
      </c>
      <c r="M22" s="184" t="s">
        <v>2660</v>
      </c>
      <c r="N22" s="184" t="s">
        <v>2660</v>
      </c>
      <c r="O22" s="1036"/>
    </row>
    <row r="23" spans="1:15" s="182" customFormat="1" ht="21.95" customHeight="1" x14ac:dyDescent="0.15">
      <c r="A23" s="151" t="s">
        <v>6904</v>
      </c>
      <c r="B23" s="20" t="s">
        <v>6364</v>
      </c>
      <c r="C23" s="1038" t="s">
        <v>5148</v>
      </c>
      <c r="D23" s="1038" t="s">
        <v>5098</v>
      </c>
      <c r="E23" s="1038" t="s">
        <v>5149</v>
      </c>
      <c r="F23" s="184" t="s">
        <v>5078</v>
      </c>
      <c r="G23" s="235" t="s">
        <v>4923</v>
      </c>
      <c r="H23" s="509">
        <v>24168</v>
      </c>
      <c r="I23" s="194">
        <v>0</v>
      </c>
      <c r="J23" s="194">
        <v>54625</v>
      </c>
      <c r="K23" s="185">
        <v>0.95</v>
      </c>
      <c r="L23" s="183" t="s">
        <v>1147</v>
      </c>
      <c r="M23" s="184" t="s">
        <v>170</v>
      </c>
      <c r="N23" s="184" t="s">
        <v>170</v>
      </c>
      <c r="O23" s="1036"/>
    </row>
    <row r="24" spans="1:15" s="182" customFormat="1" ht="21.95" customHeight="1" x14ac:dyDescent="0.15">
      <c r="A24" s="151" t="s">
        <v>6904</v>
      </c>
      <c r="B24" s="20" t="s">
        <v>3711</v>
      </c>
      <c r="C24" s="1039" t="s">
        <v>4982</v>
      </c>
      <c r="D24" s="1039" t="s">
        <v>5294</v>
      </c>
      <c r="E24" s="1039" t="s">
        <v>5295</v>
      </c>
      <c r="F24" s="184" t="s">
        <v>3328</v>
      </c>
      <c r="G24" s="235" t="s">
        <v>5030</v>
      </c>
      <c r="H24" s="509">
        <v>24162</v>
      </c>
      <c r="I24" s="194">
        <v>0</v>
      </c>
      <c r="J24" s="194">
        <v>30000</v>
      </c>
      <c r="K24" s="185">
        <v>0.5</v>
      </c>
      <c r="L24" s="183" t="s">
        <v>285</v>
      </c>
      <c r="M24" s="184" t="s">
        <v>4399</v>
      </c>
      <c r="N24" s="184" t="s">
        <v>4399</v>
      </c>
      <c r="O24" s="1036"/>
    </row>
    <row r="25" spans="1:15" s="182" customFormat="1" ht="21.95" customHeight="1" x14ac:dyDescent="0.15">
      <c r="A25" s="151" t="s">
        <v>6918</v>
      </c>
      <c r="B25" s="20" t="s">
        <v>6511</v>
      </c>
      <c r="C25" s="184" t="s">
        <v>4963</v>
      </c>
      <c r="D25" s="184" t="s">
        <v>5028</v>
      </c>
      <c r="E25" s="184" t="s">
        <v>5722</v>
      </c>
      <c r="F25" s="224" t="s">
        <v>3328</v>
      </c>
      <c r="G25" s="235" t="s">
        <v>6836</v>
      </c>
      <c r="H25" s="509">
        <v>24092</v>
      </c>
      <c r="I25" s="194">
        <v>0</v>
      </c>
      <c r="J25" s="194">
        <v>20000</v>
      </c>
      <c r="K25" s="185">
        <v>1</v>
      </c>
      <c r="L25" s="183" t="s">
        <v>4707</v>
      </c>
      <c r="M25" s="184" t="s">
        <v>3957</v>
      </c>
      <c r="N25" s="184" t="s">
        <v>3957</v>
      </c>
      <c r="O25" s="1040"/>
    </row>
    <row r="26" spans="1:15" s="182" customFormat="1" ht="21.95" customHeight="1" x14ac:dyDescent="0.15">
      <c r="A26" s="151" t="s">
        <v>6919</v>
      </c>
      <c r="B26" s="20" t="s">
        <v>6923</v>
      </c>
      <c r="C26" s="184" t="s">
        <v>4963</v>
      </c>
      <c r="D26" s="184" t="s">
        <v>6434</v>
      </c>
      <c r="E26" s="184" t="s">
        <v>6435</v>
      </c>
      <c r="F26" s="184" t="s">
        <v>4944</v>
      </c>
      <c r="G26" s="235" t="s">
        <v>5030</v>
      </c>
      <c r="H26" s="509" t="s">
        <v>6927</v>
      </c>
      <c r="I26" s="194">
        <v>0</v>
      </c>
      <c r="J26" s="194">
        <v>22500</v>
      </c>
      <c r="K26" s="185">
        <v>0.5</v>
      </c>
      <c r="L26" s="183" t="s">
        <v>4706</v>
      </c>
      <c r="M26" s="184" t="s">
        <v>3957</v>
      </c>
      <c r="N26" s="184" t="s">
        <v>3957</v>
      </c>
      <c r="O26" s="1040"/>
    </row>
    <row r="27" spans="1:15" s="182" customFormat="1" ht="21.95" customHeight="1" x14ac:dyDescent="0.15">
      <c r="A27" s="151" t="s">
        <v>6919</v>
      </c>
      <c r="B27" s="20" t="s">
        <v>6923</v>
      </c>
      <c r="C27" s="184" t="s">
        <v>4963</v>
      </c>
      <c r="D27" s="184" t="s">
        <v>6434</v>
      </c>
      <c r="E27" s="184" t="s">
        <v>6436</v>
      </c>
      <c r="F27" s="184" t="s">
        <v>4944</v>
      </c>
      <c r="G27" s="235" t="s">
        <v>5030</v>
      </c>
      <c r="H27" s="509" t="s">
        <v>6928</v>
      </c>
      <c r="I27" s="194">
        <v>0</v>
      </c>
      <c r="J27" s="194">
        <v>22500</v>
      </c>
      <c r="K27" s="185">
        <v>0.5</v>
      </c>
      <c r="L27" s="183" t="s">
        <v>4706</v>
      </c>
      <c r="M27" s="184" t="s">
        <v>3957</v>
      </c>
      <c r="N27" s="184" t="s">
        <v>3957</v>
      </c>
      <c r="O27" s="1040"/>
    </row>
    <row r="28" spans="1:15" s="182" customFormat="1" ht="21.95" customHeight="1" x14ac:dyDescent="0.15">
      <c r="A28" s="151" t="s">
        <v>6919</v>
      </c>
      <c r="B28" s="20" t="s">
        <v>6923</v>
      </c>
      <c r="C28" s="184" t="s">
        <v>4963</v>
      </c>
      <c r="D28" s="184" t="s">
        <v>6434</v>
      </c>
      <c r="E28" s="184" t="s">
        <v>6437</v>
      </c>
      <c r="F28" s="184" t="s">
        <v>4944</v>
      </c>
      <c r="G28" s="235" t="s">
        <v>5030</v>
      </c>
      <c r="H28" s="509" t="s">
        <v>6929</v>
      </c>
      <c r="I28" s="194">
        <v>0</v>
      </c>
      <c r="J28" s="194">
        <v>22500</v>
      </c>
      <c r="K28" s="185">
        <v>0.5</v>
      </c>
      <c r="L28" s="183" t="s">
        <v>4706</v>
      </c>
      <c r="M28" s="184" t="s">
        <v>3957</v>
      </c>
      <c r="N28" s="184" t="s">
        <v>3957</v>
      </c>
      <c r="O28" s="1040"/>
    </row>
    <row r="29" spans="1:15" s="182" customFormat="1" ht="21.95" customHeight="1" x14ac:dyDescent="0.15">
      <c r="A29" s="151" t="s">
        <v>6919</v>
      </c>
      <c r="B29" s="20" t="s">
        <v>6923</v>
      </c>
      <c r="C29" s="184" t="s">
        <v>4963</v>
      </c>
      <c r="D29" s="184" t="s">
        <v>6434</v>
      </c>
      <c r="E29" s="184" t="s">
        <v>6438</v>
      </c>
      <c r="F29" s="184" t="s">
        <v>4944</v>
      </c>
      <c r="G29" s="235" t="s">
        <v>5030</v>
      </c>
      <c r="H29" s="509" t="s">
        <v>6930</v>
      </c>
      <c r="I29" s="194">
        <v>0</v>
      </c>
      <c r="J29" s="194">
        <v>22500</v>
      </c>
      <c r="K29" s="185">
        <v>0.5</v>
      </c>
      <c r="L29" s="183" t="s">
        <v>4706</v>
      </c>
      <c r="M29" s="184" t="s">
        <v>3957</v>
      </c>
      <c r="N29" s="184" t="s">
        <v>3957</v>
      </c>
      <c r="O29" s="1040"/>
    </row>
    <row r="30" spans="1:15" s="182" customFormat="1" ht="21.95" customHeight="1" x14ac:dyDescent="0.15">
      <c r="A30" s="151" t="s">
        <v>6920</v>
      </c>
      <c r="B30" s="20" t="s">
        <v>6633</v>
      </c>
      <c r="C30" s="184" t="s">
        <v>3985</v>
      </c>
      <c r="D30" s="184" t="s">
        <v>3572</v>
      </c>
      <c r="E30" s="184" t="s">
        <v>5697</v>
      </c>
      <c r="F30" s="224" t="s">
        <v>3328</v>
      </c>
      <c r="G30" s="235" t="s">
        <v>6836</v>
      </c>
      <c r="H30" s="509">
        <v>24085</v>
      </c>
      <c r="I30" s="194">
        <v>0</v>
      </c>
      <c r="J30" s="194">
        <v>20000</v>
      </c>
      <c r="K30" s="185">
        <v>1</v>
      </c>
      <c r="L30" s="183" t="s">
        <v>4707</v>
      </c>
      <c r="M30" s="184" t="s">
        <v>3957</v>
      </c>
      <c r="N30" s="184" t="s">
        <v>3957</v>
      </c>
      <c r="O30" s="1040"/>
    </row>
    <row r="31" spans="1:15" s="182" customFormat="1" ht="21.95" customHeight="1" x14ac:dyDescent="0.15">
      <c r="A31" s="151" t="s">
        <v>6920</v>
      </c>
      <c r="B31" s="20" t="s">
        <v>6924</v>
      </c>
      <c r="C31" s="184" t="s">
        <v>4982</v>
      </c>
      <c r="D31" s="184" t="s">
        <v>4942</v>
      </c>
      <c r="E31" s="184" t="s">
        <v>6931</v>
      </c>
      <c r="F31" s="184" t="s">
        <v>5078</v>
      </c>
      <c r="G31" s="235" t="s">
        <v>6020</v>
      </c>
      <c r="H31" s="509">
        <v>24001</v>
      </c>
      <c r="I31" s="194">
        <v>0</v>
      </c>
      <c r="J31" s="194">
        <v>326160</v>
      </c>
      <c r="K31" s="185">
        <v>0.9</v>
      </c>
      <c r="L31" s="183" t="s">
        <v>6932</v>
      </c>
      <c r="M31" s="184" t="s">
        <v>3433</v>
      </c>
      <c r="N31" s="184" t="s">
        <v>3433</v>
      </c>
      <c r="O31" s="1040"/>
    </row>
    <row r="32" spans="1:15" s="182" customFormat="1" ht="21.95" customHeight="1" x14ac:dyDescent="0.15">
      <c r="A32" s="151" t="s">
        <v>6920</v>
      </c>
      <c r="B32" s="20" t="s">
        <v>6925</v>
      </c>
      <c r="C32" s="184" t="s">
        <v>4941</v>
      </c>
      <c r="D32" s="184" t="s">
        <v>4942</v>
      </c>
      <c r="E32" s="184" t="s">
        <v>6933</v>
      </c>
      <c r="F32" s="184" t="s">
        <v>4944</v>
      </c>
      <c r="G32" s="235" t="s">
        <v>6504</v>
      </c>
      <c r="H32" s="509">
        <v>24075</v>
      </c>
      <c r="I32" s="194">
        <v>0</v>
      </c>
      <c r="J32" s="194">
        <v>61750</v>
      </c>
      <c r="K32" s="185">
        <v>0.95</v>
      </c>
      <c r="L32" s="183" t="s">
        <v>4697</v>
      </c>
      <c r="M32" s="184" t="s">
        <v>3726</v>
      </c>
      <c r="N32" s="184" t="s">
        <v>3726</v>
      </c>
      <c r="O32" s="1040"/>
    </row>
    <row r="33" spans="1:15" s="182" customFormat="1" ht="21.95" customHeight="1" x14ac:dyDescent="0.15">
      <c r="A33" s="151" t="s">
        <v>6920</v>
      </c>
      <c r="B33" s="20" t="s">
        <v>6386</v>
      </c>
      <c r="C33" s="184" t="s">
        <v>4963</v>
      </c>
      <c r="D33" s="184" t="s">
        <v>5028</v>
      </c>
      <c r="E33" s="184" t="s">
        <v>6439</v>
      </c>
      <c r="F33" s="184" t="s">
        <v>5078</v>
      </c>
      <c r="G33" s="239" t="s">
        <v>3349</v>
      </c>
      <c r="H33" s="509">
        <v>23095</v>
      </c>
      <c r="I33" s="194">
        <v>0</v>
      </c>
      <c r="J33" s="194">
        <v>100000</v>
      </c>
      <c r="K33" s="185">
        <v>1</v>
      </c>
      <c r="L33" s="183" t="s">
        <v>4706</v>
      </c>
      <c r="M33" s="184" t="s">
        <v>3957</v>
      </c>
      <c r="N33" s="184" t="s">
        <v>3957</v>
      </c>
      <c r="O33" s="1040"/>
    </row>
    <row r="34" spans="1:15" s="182" customFormat="1" ht="21.95" customHeight="1" x14ac:dyDescent="0.15">
      <c r="A34" s="151" t="s">
        <v>6921</v>
      </c>
      <c r="B34" s="20" t="s">
        <v>248</v>
      </c>
      <c r="C34" s="945" t="s">
        <v>3985</v>
      </c>
      <c r="D34" s="945" t="s">
        <v>3837</v>
      </c>
      <c r="E34" s="952" t="s">
        <v>34</v>
      </c>
      <c r="F34" s="224" t="s">
        <v>3328</v>
      </c>
      <c r="G34" s="239" t="s">
        <v>3566</v>
      </c>
      <c r="H34" s="509">
        <v>24119</v>
      </c>
      <c r="I34" s="194">
        <v>0</v>
      </c>
      <c r="J34" s="194">
        <v>51000</v>
      </c>
      <c r="K34" s="185">
        <v>0.2</v>
      </c>
      <c r="L34" s="183" t="s">
        <v>4706</v>
      </c>
      <c r="M34" s="184" t="s">
        <v>3957</v>
      </c>
      <c r="N34" s="184" t="s">
        <v>3957</v>
      </c>
      <c r="O34" s="1040"/>
    </row>
    <row r="35" spans="1:15" s="182" customFormat="1" ht="21.95" customHeight="1" x14ac:dyDescent="0.15">
      <c r="A35" s="151" t="s">
        <v>6922</v>
      </c>
      <c r="B35" s="20" t="s">
        <v>6926</v>
      </c>
      <c r="C35" s="184" t="s">
        <v>4963</v>
      </c>
      <c r="D35" s="1041" t="s">
        <v>5028</v>
      </c>
      <c r="E35" s="184" t="s">
        <v>6435</v>
      </c>
      <c r="F35" s="184" t="s">
        <v>4944</v>
      </c>
      <c r="G35" s="235" t="s">
        <v>6836</v>
      </c>
      <c r="H35" s="509">
        <v>24090</v>
      </c>
      <c r="I35" s="194">
        <v>0</v>
      </c>
      <c r="J35" s="194">
        <v>20000</v>
      </c>
      <c r="K35" s="185">
        <v>1</v>
      </c>
      <c r="L35" s="183" t="s">
        <v>4707</v>
      </c>
      <c r="M35" s="184" t="s">
        <v>3957</v>
      </c>
      <c r="N35" s="184" t="s">
        <v>3957</v>
      </c>
      <c r="O35" s="1040"/>
    </row>
    <row r="36" spans="1:15" s="182" customFormat="1" ht="21.95" customHeight="1" x14ac:dyDescent="0.15">
      <c r="A36" s="151" t="s">
        <v>6934</v>
      </c>
      <c r="B36" s="20" t="s">
        <v>4292</v>
      </c>
      <c r="C36" s="945" t="s">
        <v>3371</v>
      </c>
      <c r="D36" s="945" t="s">
        <v>3415</v>
      </c>
      <c r="E36" s="952" t="s">
        <v>6857</v>
      </c>
      <c r="F36" s="952" t="s">
        <v>5198</v>
      </c>
      <c r="G36" s="430" t="s">
        <v>5530</v>
      </c>
      <c r="H36" s="509">
        <v>24020</v>
      </c>
      <c r="I36" s="194">
        <v>661440</v>
      </c>
      <c r="J36" s="194">
        <v>0</v>
      </c>
      <c r="K36" s="575" t="s">
        <v>6941</v>
      </c>
      <c r="L36" s="183" t="s">
        <v>4694</v>
      </c>
      <c r="M36" s="184" t="s">
        <v>3433</v>
      </c>
      <c r="N36" s="184" t="s">
        <v>3433</v>
      </c>
      <c r="O36" s="1043" t="s">
        <v>6942</v>
      </c>
    </row>
    <row r="37" spans="1:15" s="182" customFormat="1" ht="21.95" customHeight="1" x14ac:dyDescent="0.15">
      <c r="A37" s="151" t="s">
        <v>6934</v>
      </c>
      <c r="B37" s="20" t="s">
        <v>4292</v>
      </c>
      <c r="C37" s="945" t="s">
        <v>3371</v>
      </c>
      <c r="D37" s="945" t="s">
        <v>5541</v>
      </c>
      <c r="E37" s="952" t="s">
        <v>6719</v>
      </c>
      <c r="F37" s="952" t="s">
        <v>5198</v>
      </c>
      <c r="G37" s="430" t="s">
        <v>6255</v>
      </c>
      <c r="H37" s="509">
        <v>24051</v>
      </c>
      <c r="I37" s="194">
        <v>18240</v>
      </c>
      <c r="J37" s="194">
        <v>0</v>
      </c>
      <c r="K37" s="185">
        <v>0.95</v>
      </c>
      <c r="L37" s="183" t="s">
        <v>4694</v>
      </c>
      <c r="M37" s="184" t="s">
        <v>3433</v>
      </c>
      <c r="N37" s="184" t="s">
        <v>3433</v>
      </c>
      <c r="O37" s="1043" t="s">
        <v>6942</v>
      </c>
    </row>
    <row r="38" spans="1:15" s="182" customFormat="1" ht="47.25" customHeight="1" x14ac:dyDescent="0.15">
      <c r="A38" s="151" t="s">
        <v>6935</v>
      </c>
      <c r="B38" s="849" t="s">
        <v>6943</v>
      </c>
      <c r="C38" s="184" t="s">
        <v>4982</v>
      </c>
      <c r="D38" s="184" t="s">
        <v>5098</v>
      </c>
      <c r="E38" s="184" t="s">
        <v>5099</v>
      </c>
      <c r="F38" s="184" t="s">
        <v>4944</v>
      </c>
      <c r="G38" s="235" t="s">
        <v>5100</v>
      </c>
      <c r="H38" s="509">
        <v>21109</v>
      </c>
      <c r="I38" s="194">
        <v>0</v>
      </c>
      <c r="J38" s="194">
        <v>9520</v>
      </c>
      <c r="K38" s="185">
        <v>0.1</v>
      </c>
      <c r="L38" s="183" t="s">
        <v>4724</v>
      </c>
      <c r="M38" s="184" t="s">
        <v>3434</v>
      </c>
      <c r="N38" s="184" t="s">
        <v>3434</v>
      </c>
      <c r="O38" s="1042"/>
    </row>
    <row r="39" spans="1:15" s="182" customFormat="1" ht="21.95" customHeight="1" x14ac:dyDescent="0.15">
      <c r="A39" s="151" t="s">
        <v>6935</v>
      </c>
      <c r="B39" s="20" t="s">
        <v>6560</v>
      </c>
      <c r="C39" s="1043" t="s">
        <v>4963</v>
      </c>
      <c r="D39" s="1043" t="s">
        <v>5028</v>
      </c>
      <c r="E39" s="1043" t="s">
        <v>5358</v>
      </c>
      <c r="F39" s="184" t="s">
        <v>5078</v>
      </c>
      <c r="G39" s="235" t="s">
        <v>6836</v>
      </c>
      <c r="H39" s="509">
        <v>24087</v>
      </c>
      <c r="I39" s="194">
        <v>0</v>
      </c>
      <c r="J39" s="194">
        <v>20000</v>
      </c>
      <c r="K39" s="185">
        <v>1</v>
      </c>
      <c r="L39" s="183" t="s">
        <v>4707</v>
      </c>
      <c r="M39" s="184" t="s">
        <v>3957</v>
      </c>
      <c r="N39" s="184" t="s">
        <v>3957</v>
      </c>
      <c r="O39" s="1042"/>
    </row>
    <row r="40" spans="1:15" s="182" customFormat="1" ht="21.95" customHeight="1" x14ac:dyDescent="0.15">
      <c r="A40" s="151" t="s">
        <v>6935</v>
      </c>
      <c r="B40" s="20" t="s">
        <v>6925</v>
      </c>
      <c r="C40" s="184" t="s">
        <v>4941</v>
      </c>
      <c r="D40" s="184" t="s">
        <v>4942</v>
      </c>
      <c r="E40" s="184" t="s">
        <v>6418</v>
      </c>
      <c r="F40" s="184" t="s">
        <v>5078</v>
      </c>
      <c r="G40" s="235" t="s">
        <v>6946</v>
      </c>
      <c r="H40" s="509" t="s">
        <v>6944</v>
      </c>
      <c r="I40" s="194">
        <v>0</v>
      </c>
      <c r="J40" s="194">
        <v>90250</v>
      </c>
      <c r="K40" s="185">
        <v>0.95</v>
      </c>
      <c r="L40" s="183" t="s">
        <v>4697</v>
      </c>
      <c r="M40" s="184" t="s">
        <v>3726</v>
      </c>
      <c r="N40" s="184" t="s">
        <v>3726</v>
      </c>
      <c r="O40" s="1042"/>
    </row>
    <row r="41" spans="1:15" s="182" customFormat="1" ht="21.95" customHeight="1" x14ac:dyDescent="0.15">
      <c r="A41" s="151" t="s">
        <v>6935</v>
      </c>
      <c r="B41" s="20" t="s">
        <v>6925</v>
      </c>
      <c r="C41" s="184" t="s">
        <v>4941</v>
      </c>
      <c r="D41" s="184" t="s">
        <v>4942</v>
      </c>
      <c r="E41" s="184" t="s">
        <v>6947</v>
      </c>
      <c r="F41" s="184" t="s">
        <v>5078</v>
      </c>
      <c r="G41" s="235" t="s">
        <v>6946</v>
      </c>
      <c r="H41" s="509" t="s">
        <v>6945</v>
      </c>
      <c r="I41" s="194">
        <v>0</v>
      </c>
      <c r="J41" s="194">
        <v>90250</v>
      </c>
      <c r="K41" s="185">
        <v>0.95</v>
      </c>
      <c r="L41" s="183" t="s">
        <v>4697</v>
      </c>
      <c r="M41" s="184" t="s">
        <v>3726</v>
      </c>
      <c r="N41" s="184" t="s">
        <v>3726</v>
      </c>
      <c r="O41" s="1043"/>
    </row>
    <row r="42" spans="1:15" s="182" customFormat="1" ht="21.95" customHeight="1" x14ac:dyDescent="0.15">
      <c r="A42" s="151" t="s">
        <v>6935</v>
      </c>
      <c r="B42" s="20" t="s">
        <v>455</v>
      </c>
      <c r="C42" s="399" t="s">
        <v>4982</v>
      </c>
      <c r="D42" s="399" t="s">
        <v>5422</v>
      </c>
      <c r="E42" s="399" t="s">
        <v>5506</v>
      </c>
      <c r="F42" s="184" t="s">
        <v>5078</v>
      </c>
      <c r="G42" s="239" t="s">
        <v>5240</v>
      </c>
      <c r="H42" s="509">
        <v>22163</v>
      </c>
      <c r="I42" s="194">
        <v>0</v>
      </c>
      <c r="J42" s="194">
        <v>28000</v>
      </c>
      <c r="K42" s="185">
        <v>1</v>
      </c>
      <c r="L42" s="183" t="s">
        <v>4707</v>
      </c>
      <c r="M42" s="184" t="s">
        <v>3433</v>
      </c>
      <c r="N42" s="184" t="s">
        <v>3433</v>
      </c>
      <c r="O42" s="1042"/>
    </row>
    <row r="43" spans="1:15" s="182" customFormat="1" ht="21.95" customHeight="1" x14ac:dyDescent="0.15">
      <c r="A43" s="151" t="s">
        <v>6935</v>
      </c>
      <c r="B43" s="20" t="s">
        <v>1318</v>
      </c>
      <c r="C43" s="399" t="s">
        <v>4982</v>
      </c>
      <c r="D43" s="184" t="s">
        <v>5422</v>
      </c>
      <c r="E43" s="399" t="s">
        <v>5828</v>
      </c>
      <c r="F43" s="419" t="s">
        <v>3328</v>
      </c>
      <c r="G43" s="239" t="s">
        <v>5240</v>
      </c>
      <c r="H43" s="509">
        <v>22164</v>
      </c>
      <c r="I43" s="194">
        <v>0</v>
      </c>
      <c r="J43" s="194">
        <v>28000</v>
      </c>
      <c r="K43" s="185">
        <v>1</v>
      </c>
      <c r="L43" s="183" t="s">
        <v>4707</v>
      </c>
      <c r="M43" s="184" t="s">
        <v>3433</v>
      </c>
      <c r="N43" s="184" t="s">
        <v>3433</v>
      </c>
      <c r="O43" s="1042"/>
    </row>
    <row r="44" spans="1:15" s="182" customFormat="1" ht="21.95" customHeight="1" x14ac:dyDescent="0.15">
      <c r="A44" s="151" t="s">
        <v>6936</v>
      </c>
      <c r="B44" s="20" t="s">
        <v>6937</v>
      </c>
      <c r="C44" s="184" t="s">
        <v>4941</v>
      </c>
      <c r="D44" s="184" t="s">
        <v>4942</v>
      </c>
      <c r="E44" s="184" t="s">
        <v>5704</v>
      </c>
      <c r="F44" s="184" t="s">
        <v>5078</v>
      </c>
      <c r="G44" s="235" t="s">
        <v>5705</v>
      </c>
      <c r="H44" s="509">
        <v>22126</v>
      </c>
      <c r="I44" s="194">
        <v>0</v>
      </c>
      <c r="J44" s="194">
        <v>65400</v>
      </c>
      <c r="K44" s="185">
        <v>0.3</v>
      </c>
      <c r="L44" s="183" t="s">
        <v>4724</v>
      </c>
      <c r="M44" s="184" t="s">
        <v>3726</v>
      </c>
      <c r="N44" s="184" t="s">
        <v>3726</v>
      </c>
      <c r="O44" s="1042"/>
    </row>
    <row r="45" spans="1:15" s="182" customFormat="1" ht="21.95" customHeight="1" x14ac:dyDescent="0.15">
      <c r="A45" s="151" t="s">
        <v>6936</v>
      </c>
      <c r="B45" s="20" t="s">
        <v>6938</v>
      </c>
      <c r="C45" s="391" t="s">
        <v>3351</v>
      </c>
      <c r="D45" s="393" t="s">
        <v>3354</v>
      </c>
      <c r="E45" s="394" t="s">
        <v>5874</v>
      </c>
      <c r="F45" s="224" t="s">
        <v>4178</v>
      </c>
      <c r="G45" s="235" t="s">
        <v>3386</v>
      </c>
      <c r="H45" s="509">
        <v>21185</v>
      </c>
      <c r="I45" s="194">
        <v>0</v>
      </c>
      <c r="J45" s="194">
        <v>54000</v>
      </c>
      <c r="K45" s="185">
        <v>0.9</v>
      </c>
      <c r="L45" s="183" t="s">
        <v>4711</v>
      </c>
      <c r="M45" s="184" t="s">
        <v>3726</v>
      </c>
      <c r="N45" s="184" t="s">
        <v>3726</v>
      </c>
      <c r="O45" s="1042"/>
    </row>
    <row r="46" spans="1:15" s="182" customFormat="1" ht="21.95" customHeight="1" x14ac:dyDescent="0.15">
      <c r="A46" s="151" t="s">
        <v>6939</v>
      </c>
      <c r="B46" s="20" t="s">
        <v>224</v>
      </c>
      <c r="C46" s="184" t="s">
        <v>4963</v>
      </c>
      <c r="D46" s="184" t="s">
        <v>5028</v>
      </c>
      <c r="E46" s="184" t="s">
        <v>5029</v>
      </c>
      <c r="F46" s="224" t="s">
        <v>3328</v>
      </c>
      <c r="G46" s="235" t="s">
        <v>6836</v>
      </c>
      <c r="H46" s="509">
        <v>24084</v>
      </c>
      <c r="I46" s="194">
        <v>0</v>
      </c>
      <c r="J46" s="194">
        <v>20000</v>
      </c>
      <c r="K46" s="185">
        <v>1</v>
      </c>
      <c r="L46" s="183" t="s">
        <v>4707</v>
      </c>
      <c r="M46" s="184" t="s">
        <v>3957</v>
      </c>
      <c r="N46" s="184" t="s">
        <v>3957</v>
      </c>
      <c r="O46" s="1042"/>
    </row>
    <row r="47" spans="1:15" s="182" customFormat="1" ht="42" customHeight="1" x14ac:dyDescent="0.15">
      <c r="A47" s="151" t="s">
        <v>6940</v>
      </c>
      <c r="B47" s="849" t="s">
        <v>5970</v>
      </c>
      <c r="C47" s="1043" t="s">
        <v>4982</v>
      </c>
      <c r="D47" s="1043" t="s">
        <v>5018</v>
      </c>
      <c r="E47" s="1043" t="s">
        <v>664</v>
      </c>
      <c r="F47" s="224" t="s">
        <v>3328</v>
      </c>
      <c r="G47" s="235" t="s">
        <v>6951</v>
      </c>
      <c r="H47" s="509" t="s">
        <v>6949</v>
      </c>
      <c r="I47" s="194">
        <v>0</v>
      </c>
      <c r="J47" s="194">
        <v>68750</v>
      </c>
      <c r="K47" s="185" t="s">
        <v>4960</v>
      </c>
      <c r="L47" s="183" t="s">
        <v>4706</v>
      </c>
      <c r="M47" s="184" t="s">
        <v>6106</v>
      </c>
      <c r="N47" s="184" t="s">
        <v>5255</v>
      </c>
      <c r="O47" s="1043"/>
    </row>
    <row r="48" spans="1:15" s="182" customFormat="1" ht="21.95" customHeight="1" x14ac:dyDescent="0.15">
      <c r="A48" s="151" t="s">
        <v>6948</v>
      </c>
      <c r="B48" s="20" t="s">
        <v>6366</v>
      </c>
      <c r="C48" s="184" t="s">
        <v>4982</v>
      </c>
      <c r="D48" s="184" t="s">
        <v>5018</v>
      </c>
      <c r="E48" s="184" t="s">
        <v>6952</v>
      </c>
      <c r="F48" s="184" t="s">
        <v>5078</v>
      </c>
      <c r="G48" s="235" t="s">
        <v>6951</v>
      </c>
      <c r="H48" s="509" t="s">
        <v>6950</v>
      </c>
      <c r="I48" s="194">
        <v>0</v>
      </c>
      <c r="J48" s="194">
        <v>68750</v>
      </c>
      <c r="K48" s="185" t="s">
        <v>4960</v>
      </c>
      <c r="L48" s="183" t="s">
        <v>4706</v>
      </c>
      <c r="M48" s="184" t="s">
        <v>6106</v>
      </c>
      <c r="N48" s="184" t="s">
        <v>5255</v>
      </c>
      <c r="O48" s="1043"/>
    </row>
    <row r="49" spans="1:15" s="182" customFormat="1" ht="21.95" customHeight="1" x14ac:dyDescent="0.15">
      <c r="A49" s="151" t="s">
        <v>6970</v>
      </c>
      <c r="B49" s="20" t="s">
        <v>6441</v>
      </c>
      <c r="C49" s="236" t="s">
        <v>3346</v>
      </c>
      <c r="D49" s="1045" t="s">
        <v>3354</v>
      </c>
      <c r="E49" s="180" t="s">
        <v>4130</v>
      </c>
      <c r="F49" s="224" t="s">
        <v>3328</v>
      </c>
      <c r="G49" s="235" t="s">
        <v>6951</v>
      </c>
      <c r="H49" s="509" t="s">
        <v>6973</v>
      </c>
      <c r="I49" s="194">
        <v>0</v>
      </c>
      <c r="J49" s="194">
        <v>68750</v>
      </c>
      <c r="K49" s="185" t="s">
        <v>4960</v>
      </c>
      <c r="L49" s="183" t="s">
        <v>4706</v>
      </c>
      <c r="M49" s="184" t="s">
        <v>6106</v>
      </c>
      <c r="N49" s="184" t="s">
        <v>5255</v>
      </c>
      <c r="O49" s="1044"/>
    </row>
    <row r="50" spans="1:15" s="182" customFormat="1" ht="21.95" customHeight="1" x14ac:dyDescent="0.15">
      <c r="A50" s="151" t="s">
        <v>6969</v>
      </c>
      <c r="B50" s="20" t="s">
        <v>6953</v>
      </c>
      <c r="C50" s="184" t="s">
        <v>4963</v>
      </c>
      <c r="D50" s="1046" t="s">
        <v>5028</v>
      </c>
      <c r="E50" s="184" t="s">
        <v>6435</v>
      </c>
      <c r="F50" s="184" t="s">
        <v>5078</v>
      </c>
      <c r="G50" s="235" t="s">
        <v>6836</v>
      </c>
      <c r="H50" s="509">
        <v>24089</v>
      </c>
      <c r="I50" s="194">
        <v>0</v>
      </c>
      <c r="J50" s="194">
        <v>20000</v>
      </c>
      <c r="K50" s="185">
        <v>1</v>
      </c>
      <c r="L50" s="183" t="s">
        <v>4707</v>
      </c>
      <c r="M50" s="184" t="s">
        <v>3957</v>
      </c>
      <c r="N50" s="184" t="s">
        <v>3957</v>
      </c>
      <c r="O50" s="1044"/>
    </row>
    <row r="51" spans="1:15" s="182" customFormat="1" ht="21.95" customHeight="1" x14ac:dyDescent="0.15">
      <c r="A51" s="151" t="s">
        <v>6969</v>
      </c>
      <c r="B51" s="20" t="s">
        <v>6966</v>
      </c>
      <c r="C51" s="184" t="s">
        <v>4963</v>
      </c>
      <c r="D51" s="184" t="s">
        <v>5028</v>
      </c>
      <c r="E51" s="184" t="s">
        <v>6439</v>
      </c>
      <c r="F51" s="224" t="s">
        <v>3328</v>
      </c>
      <c r="G51" s="235" t="s">
        <v>6836</v>
      </c>
      <c r="H51" s="509">
        <v>24086</v>
      </c>
      <c r="I51" s="194">
        <v>0</v>
      </c>
      <c r="J51" s="194">
        <v>20000</v>
      </c>
      <c r="K51" s="185">
        <v>1</v>
      </c>
      <c r="L51" s="183" t="s">
        <v>4707</v>
      </c>
      <c r="M51" s="184" t="s">
        <v>3957</v>
      </c>
      <c r="N51" s="184" t="s">
        <v>3957</v>
      </c>
      <c r="O51" s="1044"/>
    </row>
    <row r="52" spans="1:15" s="182" customFormat="1" ht="21.95" customHeight="1" x14ac:dyDescent="0.15">
      <c r="A52" s="151" t="s">
        <v>6969</v>
      </c>
      <c r="B52" s="20" t="s">
        <v>6905</v>
      </c>
      <c r="C52" s="184" t="s">
        <v>4963</v>
      </c>
      <c r="D52" s="184" t="s">
        <v>5018</v>
      </c>
      <c r="E52" s="184" t="s">
        <v>6881</v>
      </c>
      <c r="F52" s="184" t="s">
        <v>5078</v>
      </c>
      <c r="G52" s="235" t="s">
        <v>5658</v>
      </c>
      <c r="H52" s="509">
        <v>24069</v>
      </c>
      <c r="I52" s="194">
        <v>0</v>
      </c>
      <c r="J52" s="194">
        <v>60000</v>
      </c>
      <c r="K52" s="185">
        <v>0.4</v>
      </c>
      <c r="L52" s="183" t="s">
        <v>806</v>
      </c>
      <c r="M52" s="184" t="s">
        <v>3957</v>
      </c>
      <c r="N52" s="184" t="s">
        <v>3957</v>
      </c>
      <c r="O52" s="1044"/>
    </row>
    <row r="53" spans="1:15" s="182" customFormat="1" ht="21.95" customHeight="1" x14ac:dyDescent="0.15">
      <c r="A53" s="151" t="s">
        <v>6969</v>
      </c>
      <c r="B53" s="20" t="s">
        <v>6967</v>
      </c>
      <c r="C53" s="391" t="s">
        <v>3337</v>
      </c>
      <c r="D53" s="393" t="s">
        <v>3380</v>
      </c>
      <c r="E53" s="391" t="s">
        <v>3874</v>
      </c>
      <c r="F53" s="184" t="s">
        <v>4944</v>
      </c>
      <c r="G53" s="235" t="s">
        <v>5030</v>
      </c>
      <c r="H53" s="509">
        <v>23019</v>
      </c>
      <c r="I53" s="194">
        <v>0</v>
      </c>
      <c r="J53" s="194">
        <v>120000</v>
      </c>
      <c r="K53" s="185">
        <v>1</v>
      </c>
      <c r="L53" s="183" t="s">
        <v>5743</v>
      </c>
      <c r="M53" s="184" t="s">
        <v>5255</v>
      </c>
      <c r="N53" s="184" t="s">
        <v>5255</v>
      </c>
      <c r="O53" s="1044"/>
    </row>
    <row r="54" spans="1:15" s="182" customFormat="1" ht="21.95" customHeight="1" x14ac:dyDescent="0.15">
      <c r="A54" s="151" t="s">
        <v>6969</v>
      </c>
      <c r="B54" s="20" t="s">
        <v>6968</v>
      </c>
      <c r="C54" s="184" t="s">
        <v>4982</v>
      </c>
      <c r="D54" s="184" t="s">
        <v>5028</v>
      </c>
      <c r="E54" s="184" t="s">
        <v>6974</v>
      </c>
      <c r="F54" s="184" t="s">
        <v>5078</v>
      </c>
      <c r="G54" s="235" t="s">
        <v>5090</v>
      </c>
      <c r="H54" s="509">
        <v>24122</v>
      </c>
      <c r="I54" s="194">
        <v>0</v>
      </c>
      <c r="J54" s="194">
        <v>315000</v>
      </c>
      <c r="K54" s="185">
        <v>0.7</v>
      </c>
      <c r="L54" s="183" t="s">
        <v>6622</v>
      </c>
      <c r="M54" s="184" t="s">
        <v>693</v>
      </c>
      <c r="N54" s="184" t="s">
        <v>693</v>
      </c>
      <c r="O54" s="1044"/>
    </row>
    <row r="55" spans="1:15" s="182" customFormat="1" ht="21.95" customHeight="1" x14ac:dyDescent="0.15">
      <c r="A55" s="151" t="s">
        <v>6969</v>
      </c>
      <c r="B55" s="20" t="s">
        <v>6956</v>
      </c>
      <c r="C55" s="184" t="s">
        <v>4963</v>
      </c>
      <c r="D55" s="184" t="s">
        <v>5153</v>
      </c>
      <c r="E55" s="184" t="s">
        <v>6525</v>
      </c>
      <c r="F55" s="184" t="s">
        <v>5078</v>
      </c>
      <c r="G55" s="235" t="s">
        <v>6975</v>
      </c>
      <c r="H55" s="509">
        <v>25022</v>
      </c>
      <c r="I55" s="194">
        <v>0</v>
      </c>
      <c r="J55" s="194">
        <v>14635</v>
      </c>
      <c r="K55" s="185">
        <v>0.1</v>
      </c>
      <c r="L55" s="183" t="s">
        <v>6144</v>
      </c>
      <c r="M55" s="184" t="s">
        <v>3957</v>
      </c>
      <c r="N55" s="184" t="s">
        <v>3957</v>
      </c>
      <c r="O55" s="1044"/>
    </row>
    <row r="56" spans="1:15" s="182" customFormat="1" ht="21.95" customHeight="1" x14ac:dyDescent="0.15">
      <c r="A56" s="151" t="s">
        <v>6969</v>
      </c>
      <c r="B56" s="20" t="s">
        <v>6955</v>
      </c>
      <c r="C56" s="184" t="s">
        <v>4963</v>
      </c>
      <c r="D56" s="184" t="s">
        <v>5153</v>
      </c>
      <c r="E56" s="184" t="s">
        <v>6525</v>
      </c>
      <c r="F56" s="184" t="s">
        <v>5078</v>
      </c>
      <c r="G56" s="235" t="s">
        <v>6975</v>
      </c>
      <c r="H56" s="509">
        <v>25023</v>
      </c>
      <c r="I56" s="194">
        <v>0</v>
      </c>
      <c r="J56" s="194">
        <v>14635</v>
      </c>
      <c r="K56" s="185">
        <v>0.1</v>
      </c>
      <c r="L56" s="183" t="s">
        <v>6144</v>
      </c>
      <c r="M56" s="184" t="s">
        <v>3957</v>
      </c>
      <c r="N56" s="184" t="s">
        <v>3957</v>
      </c>
      <c r="O56" s="1044"/>
    </row>
    <row r="57" spans="1:15" s="182" customFormat="1" ht="21.95" customHeight="1" x14ac:dyDescent="0.15">
      <c r="A57" s="151" t="s">
        <v>6969</v>
      </c>
      <c r="B57" s="20" t="s">
        <v>6954</v>
      </c>
      <c r="C57" s="184" t="s">
        <v>4963</v>
      </c>
      <c r="D57" s="184" t="s">
        <v>5153</v>
      </c>
      <c r="E57" s="184" t="s">
        <v>6525</v>
      </c>
      <c r="F57" s="184" t="s">
        <v>5078</v>
      </c>
      <c r="G57" s="235" t="s">
        <v>6975</v>
      </c>
      <c r="H57" s="509">
        <v>25024</v>
      </c>
      <c r="I57" s="194">
        <v>0</v>
      </c>
      <c r="J57" s="194">
        <v>25385</v>
      </c>
      <c r="K57" s="185">
        <v>0.1</v>
      </c>
      <c r="L57" s="183" t="s">
        <v>6144</v>
      </c>
      <c r="M57" s="184" t="s">
        <v>3957</v>
      </c>
      <c r="N57" s="184" t="s">
        <v>3957</v>
      </c>
      <c r="O57" s="1044"/>
    </row>
    <row r="58" spans="1:15" s="182" customFormat="1" ht="21.95" customHeight="1" x14ac:dyDescent="0.15">
      <c r="A58" s="151" t="s">
        <v>6969</v>
      </c>
      <c r="B58" s="20" t="s">
        <v>6964</v>
      </c>
      <c r="C58" s="184" t="s">
        <v>4963</v>
      </c>
      <c r="D58" s="184" t="s">
        <v>5153</v>
      </c>
      <c r="E58" s="184" t="s">
        <v>6976</v>
      </c>
      <c r="F58" s="184" t="s">
        <v>5078</v>
      </c>
      <c r="G58" s="235" t="s">
        <v>6975</v>
      </c>
      <c r="H58" s="509">
        <v>25025</v>
      </c>
      <c r="I58" s="194">
        <v>0</v>
      </c>
      <c r="J58" s="194">
        <v>26494</v>
      </c>
      <c r="K58" s="185">
        <v>0.1</v>
      </c>
      <c r="L58" s="183" t="s">
        <v>6144</v>
      </c>
      <c r="M58" s="184" t="s">
        <v>3957</v>
      </c>
      <c r="N58" s="184" t="s">
        <v>3957</v>
      </c>
      <c r="O58" s="1044"/>
    </row>
    <row r="59" spans="1:15" s="182" customFormat="1" ht="21.95" customHeight="1" x14ac:dyDescent="0.15">
      <c r="A59" s="151" t="s">
        <v>6969</v>
      </c>
      <c r="B59" s="20" t="s">
        <v>6959</v>
      </c>
      <c r="C59" s="184" t="s">
        <v>4963</v>
      </c>
      <c r="D59" s="184" t="s">
        <v>5153</v>
      </c>
      <c r="E59" s="184" t="s">
        <v>6976</v>
      </c>
      <c r="F59" s="184" t="s">
        <v>5078</v>
      </c>
      <c r="G59" s="235" t="s">
        <v>6975</v>
      </c>
      <c r="H59" s="509">
        <v>25026</v>
      </c>
      <c r="I59" s="194">
        <v>0</v>
      </c>
      <c r="J59" s="194">
        <v>14635</v>
      </c>
      <c r="K59" s="185">
        <v>0.1</v>
      </c>
      <c r="L59" s="183" t="s">
        <v>6144</v>
      </c>
      <c r="M59" s="184" t="s">
        <v>3957</v>
      </c>
      <c r="N59" s="184" t="s">
        <v>3957</v>
      </c>
      <c r="O59" s="1044"/>
    </row>
    <row r="60" spans="1:15" s="182" customFormat="1" ht="21.95" customHeight="1" x14ac:dyDescent="0.15">
      <c r="A60" s="151" t="s">
        <v>6969</v>
      </c>
      <c r="B60" s="20" t="s">
        <v>6960</v>
      </c>
      <c r="C60" s="184" t="s">
        <v>4963</v>
      </c>
      <c r="D60" s="184" t="s">
        <v>5153</v>
      </c>
      <c r="E60" s="184" t="s">
        <v>5179</v>
      </c>
      <c r="F60" s="184" t="s">
        <v>5078</v>
      </c>
      <c r="G60" s="235" t="s">
        <v>6975</v>
      </c>
      <c r="H60" s="509">
        <v>25027</v>
      </c>
      <c r="I60" s="194">
        <v>0</v>
      </c>
      <c r="J60" s="194">
        <v>14635</v>
      </c>
      <c r="K60" s="185">
        <v>0.1</v>
      </c>
      <c r="L60" s="183" t="s">
        <v>6144</v>
      </c>
      <c r="M60" s="184" t="s">
        <v>3957</v>
      </c>
      <c r="N60" s="184" t="s">
        <v>3957</v>
      </c>
      <c r="O60" s="1044"/>
    </row>
    <row r="61" spans="1:15" s="182" customFormat="1" ht="21.95" customHeight="1" x14ac:dyDescent="0.15">
      <c r="A61" s="151" t="s">
        <v>6969</v>
      </c>
      <c r="B61" s="20" t="s">
        <v>6962</v>
      </c>
      <c r="C61" s="184" t="s">
        <v>4963</v>
      </c>
      <c r="D61" s="184" t="s">
        <v>5153</v>
      </c>
      <c r="E61" s="184" t="s">
        <v>5179</v>
      </c>
      <c r="F61" s="184" t="s">
        <v>5078</v>
      </c>
      <c r="G61" s="235" t="s">
        <v>6975</v>
      </c>
      <c r="H61" s="509">
        <v>25028</v>
      </c>
      <c r="I61" s="194">
        <v>0</v>
      </c>
      <c r="J61" s="194">
        <v>14635</v>
      </c>
      <c r="K61" s="185">
        <v>0.1</v>
      </c>
      <c r="L61" s="183" t="s">
        <v>6144</v>
      </c>
      <c r="M61" s="184" t="s">
        <v>3957</v>
      </c>
      <c r="N61" s="184" t="s">
        <v>3957</v>
      </c>
      <c r="O61" s="1044"/>
    </row>
    <row r="62" spans="1:15" s="182" customFormat="1" ht="21.95" customHeight="1" x14ac:dyDescent="0.15">
      <c r="A62" s="151" t="s">
        <v>6969</v>
      </c>
      <c r="B62" s="20" t="s">
        <v>6961</v>
      </c>
      <c r="C62" s="184" t="s">
        <v>4963</v>
      </c>
      <c r="D62" s="184" t="s">
        <v>5153</v>
      </c>
      <c r="E62" s="184" t="s">
        <v>5179</v>
      </c>
      <c r="F62" s="184" t="s">
        <v>5078</v>
      </c>
      <c r="G62" s="235" t="s">
        <v>6975</v>
      </c>
      <c r="H62" s="509">
        <v>25029</v>
      </c>
      <c r="I62" s="194">
        <v>0</v>
      </c>
      <c r="J62" s="194">
        <v>25385</v>
      </c>
      <c r="K62" s="185">
        <v>0.1</v>
      </c>
      <c r="L62" s="183" t="s">
        <v>6144</v>
      </c>
      <c r="M62" s="184" t="s">
        <v>3957</v>
      </c>
      <c r="N62" s="184" t="s">
        <v>3957</v>
      </c>
      <c r="O62" s="1044"/>
    </row>
    <row r="63" spans="1:15" s="182" customFormat="1" ht="21.95" customHeight="1" x14ac:dyDescent="0.15">
      <c r="A63" s="151" t="s">
        <v>6969</v>
      </c>
      <c r="B63" s="20" t="s">
        <v>6965</v>
      </c>
      <c r="C63" s="184" t="s">
        <v>4963</v>
      </c>
      <c r="D63" s="184" t="s">
        <v>5153</v>
      </c>
      <c r="E63" s="184" t="s">
        <v>6977</v>
      </c>
      <c r="F63" s="184" t="s">
        <v>5078</v>
      </c>
      <c r="G63" s="235" t="s">
        <v>6975</v>
      </c>
      <c r="H63" s="509">
        <v>25030</v>
      </c>
      <c r="I63" s="194">
        <v>0</v>
      </c>
      <c r="J63" s="194">
        <v>26494</v>
      </c>
      <c r="K63" s="185">
        <v>0.1</v>
      </c>
      <c r="L63" s="183" t="s">
        <v>6144</v>
      </c>
      <c r="M63" s="184" t="s">
        <v>3957</v>
      </c>
      <c r="N63" s="184" t="s">
        <v>3957</v>
      </c>
      <c r="O63" s="1044"/>
    </row>
    <row r="64" spans="1:15" s="182" customFormat="1" ht="21.95" customHeight="1" x14ac:dyDescent="0.15">
      <c r="A64" s="151" t="s">
        <v>6969</v>
      </c>
      <c r="B64" s="20" t="s">
        <v>6963</v>
      </c>
      <c r="C64" s="184" t="s">
        <v>4963</v>
      </c>
      <c r="D64" s="184" t="s">
        <v>5153</v>
      </c>
      <c r="E64" s="184" t="s">
        <v>6978</v>
      </c>
      <c r="F64" s="184" t="s">
        <v>5078</v>
      </c>
      <c r="G64" s="235" t="s">
        <v>6975</v>
      </c>
      <c r="H64" s="509">
        <v>25031</v>
      </c>
      <c r="I64" s="194">
        <v>0</v>
      </c>
      <c r="J64" s="194">
        <v>26494</v>
      </c>
      <c r="K64" s="185">
        <v>0.1</v>
      </c>
      <c r="L64" s="183" t="s">
        <v>6144</v>
      </c>
      <c r="M64" s="184" t="s">
        <v>3957</v>
      </c>
      <c r="N64" s="184" t="s">
        <v>3957</v>
      </c>
      <c r="O64" s="1044"/>
    </row>
    <row r="65" spans="1:15" s="182" customFormat="1" ht="21.95" customHeight="1" x14ac:dyDescent="0.15">
      <c r="A65" s="151" t="s">
        <v>6969</v>
      </c>
      <c r="B65" s="20" t="s">
        <v>6957</v>
      </c>
      <c r="C65" s="184" t="s">
        <v>4963</v>
      </c>
      <c r="D65" s="184" t="s">
        <v>5153</v>
      </c>
      <c r="E65" s="184" t="s">
        <v>6976</v>
      </c>
      <c r="F65" s="184" t="s">
        <v>5078</v>
      </c>
      <c r="G65" s="235" t="s">
        <v>6975</v>
      </c>
      <c r="H65" s="509">
        <v>25033</v>
      </c>
      <c r="I65" s="194">
        <v>0</v>
      </c>
      <c r="J65" s="194">
        <v>24385</v>
      </c>
      <c r="K65" s="185">
        <v>0.1</v>
      </c>
      <c r="L65" s="183" t="s">
        <v>6144</v>
      </c>
      <c r="M65" s="184" t="s">
        <v>3957</v>
      </c>
      <c r="N65" s="184" t="s">
        <v>3957</v>
      </c>
      <c r="O65" s="1044"/>
    </row>
    <row r="66" spans="1:15" s="182" customFormat="1" ht="21.95" customHeight="1" x14ac:dyDescent="0.15">
      <c r="A66" s="151" t="s">
        <v>6969</v>
      </c>
      <c r="B66" s="20" t="s">
        <v>6958</v>
      </c>
      <c r="C66" s="184" t="s">
        <v>4963</v>
      </c>
      <c r="D66" s="184" t="s">
        <v>5153</v>
      </c>
      <c r="E66" s="184" t="s">
        <v>6980</v>
      </c>
      <c r="F66" s="184" t="s">
        <v>5078</v>
      </c>
      <c r="G66" s="235" t="s">
        <v>6975</v>
      </c>
      <c r="H66" s="509">
        <v>25034</v>
      </c>
      <c r="I66" s="194">
        <v>0</v>
      </c>
      <c r="J66" s="194">
        <v>30794</v>
      </c>
      <c r="K66" s="185">
        <v>0.1</v>
      </c>
      <c r="L66" s="183" t="s">
        <v>6144</v>
      </c>
      <c r="M66" s="184" t="s">
        <v>3957</v>
      </c>
      <c r="N66" s="184" t="s">
        <v>3957</v>
      </c>
      <c r="O66" s="1044"/>
    </row>
    <row r="67" spans="1:15" s="182" customFormat="1" ht="21.95" customHeight="1" x14ac:dyDescent="0.15">
      <c r="A67" s="151" t="s">
        <v>6971</v>
      </c>
      <c r="B67" s="20" t="s">
        <v>6972</v>
      </c>
      <c r="C67" s="184" t="s">
        <v>4963</v>
      </c>
      <c r="D67" s="184" t="s">
        <v>5153</v>
      </c>
      <c r="E67" s="1047" t="s">
        <v>6979</v>
      </c>
      <c r="F67" s="184" t="s">
        <v>3340</v>
      </c>
      <c r="G67" s="235" t="s">
        <v>3336</v>
      </c>
      <c r="H67" s="509">
        <v>25032</v>
      </c>
      <c r="I67" s="194">
        <v>0</v>
      </c>
      <c r="J67" s="194">
        <v>26494</v>
      </c>
      <c r="K67" s="185">
        <v>0.1</v>
      </c>
      <c r="L67" s="183" t="s">
        <v>6144</v>
      </c>
      <c r="M67" s="184" t="s">
        <v>3957</v>
      </c>
      <c r="N67" s="184" t="s">
        <v>3957</v>
      </c>
      <c r="O67" s="233"/>
    </row>
    <row r="68" spans="1:15" s="182" customFormat="1" ht="21.95" customHeight="1" x14ac:dyDescent="0.15">
      <c r="A68" s="151" t="s">
        <v>6981</v>
      </c>
      <c r="B68" s="20" t="s">
        <v>5870</v>
      </c>
      <c r="C68" s="184" t="s">
        <v>5567</v>
      </c>
      <c r="D68" s="184" t="s">
        <v>5422</v>
      </c>
      <c r="E68" s="184" t="s">
        <v>3440</v>
      </c>
      <c r="F68" s="184" t="s">
        <v>5078</v>
      </c>
      <c r="G68" s="235" t="s">
        <v>5030</v>
      </c>
      <c r="H68" s="509">
        <v>24036</v>
      </c>
      <c r="I68" s="194">
        <v>0</v>
      </c>
      <c r="J68" s="194">
        <v>125000</v>
      </c>
      <c r="K68" s="185">
        <v>0.5</v>
      </c>
      <c r="L68" s="183" t="s">
        <v>5743</v>
      </c>
      <c r="M68" s="184" t="s">
        <v>693</v>
      </c>
      <c r="N68" s="184" t="s">
        <v>693</v>
      </c>
      <c r="O68" s="233"/>
    </row>
    <row r="69" spans="1:15" s="182" customFormat="1" ht="21.95" customHeight="1" x14ac:dyDescent="0.15">
      <c r="A69" s="151" t="s">
        <v>6982</v>
      </c>
      <c r="B69" s="20" t="s">
        <v>6983</v>
      </c>
      <c r="C69" s="399" t="s">
        <v>4963</v>
      </c>
      <c r="D69" s="399" t="s">
        <v>5018</v>
      </c>
      <c r="E69" s="399" t="s">
        <v>5907</v>
      </c>
      <c r="F69" s="184" t="s">
        <v>5078</v>
      </c>
      <c r="G69" s="235" t="s">
        <v>5795</v>
      </c>
      <c r="H69" s="509">
        <v>24008</v>
      </c>
      <c r="I69" s="194">
        <v>0</v>
      </c>
      <c r="J69" s="194">
        <v>66000</v>
      </c>
      <c r="K69" s="185" t="s">
        <v>6984</v>
      </c>
      <c r="L69" s="183" t="s">
        <v>5743</v>
      </c>
      <c r="M69" s="184" t="s">
        <v>3957</v>
      </c>
      <c r="N69" s="184" t="s">
        <v>3957</v>
      </c>
      <c r="O69" s="233"/>
    </row>
    <row r="70" spans="1:15" s="182" customFormat="1" ht="22.5" customHeight="1" x14ac:dyDescent="0.15">
      <c r="A70" s="151" t="s">
        <v>6982</v>
      </c>
      <c r="B70" s="20" t="s">
        <v>6699</v>
      </c>
      <c r="C70" s="1048" t="s">
        <v>3346</v>
      </c>
      <c r="D70" s="1048" t="s">
        <v>3354</v>
      </c>
      <c r="E70" s="1048" t="s">
        <v>3675</v>
      </c>
      <c r="F70" s="224" t="s">
        <v>3328</v>
      </c>
      <c r="G70" s="235" t="s">
        <v>6951</v>
      </c>
      <c r="H70" s="509" t="s">
        <v>6985</v>
      </c>
      <c r="I70" s="194">
        <v>0</v>
      </c>
      <c r="J70" s="194">
        <v>68750</v>
      </c>
      <c r="K70" s="185" t="s">
        <v>4960</v>
      </c>
      <c r="L70" s="183" t="s">
        <v>4706</v>
      </c>
      <c r="M70" s="184" t="s">
        <v>6106</v>
      </c>
      <c r="N70" s="184" t="s">
        <v>5255</v>
      </c>
      <c r="O70" s="233"/>
    </row>
    <row r="71" spans="1:15" s="182" customFormat="1" ht="21.95" customHeight="1" x14ac:dyDescent="0.15">
      <c r="A71" s="151" t="s">
        <v>6986</v>
      </c>
      <c r="B71" s="20" t="s">
        <v>5949</v>
      </c>
      <c r="C71" s="581" t="s">
        <v>3346</v>
      </c>
      <c r="D71" s="581" t="s">
        <v>3354</v>
      </c>
      <c r="E71" s="285" t="s">
        <v>4723</v>
      </c>
      <c r="F71" s="224" t="s">
        <v>3328</v>
      </c>
      <c r="G71" s="235" t="s">
        <v>6951</v>
      </c>
      <c r="H71" s="509" t="s">
        <v>6987</v>
      </c>
      <c r="I71" s="194">
        <v>0</v>
      </c>
      <c r="J71" s="194">
        <v>68750</v>
      </c>
      <c r="K71" s="185" t="s">
        <v>4960</v>
      </c>
      <c r="L71" s="183" t="s">
        <v>4706</v>
      </c>
      <c r="M71" s="184" t="s">
        <v>6106</v>
      </c>
      <c r="N71" s="184" t="s">
        <v>5255</v>
      </c>
      <c r="O71" s="233"/>
    </row>
    <row r="72" spans="1:15" s="182" customFormat="1" ht="21.95" customHeight="1" x14ac:dyDescent="0.15">
      <c r="A72" s="151" t="s">
        <v>6988</v>
      </c>
      <c r="B72" s="20" t="s">
        <v>6989</v>
      </c>
      <c r="C72" s="1052" t="s">
        <v>3346</v>
      </c>
      <c r="D72" s="1052" t="s">
        <v>3457</v>
      </c>
      <c r="E72" s="1052" t="s">
        <v>7013</v>
      </c>
      <c r="F72" s="184" t="s">
        <v>3340</v>
      </c>
      <c r="G72" s="235" t="s">
        <v>3336</v>
      </c>
      <c r="H72" s="509" t="s">
        <v>6991</v>
      </c>
      <c r="I72" s="194">
        <v>0</v>
      </c>
      <c r="J72" s="194">
        <v>98200</v>
      </c>
      <c r="K72" s="185">
        <v>1</v>
      </c>
      <c r="L72" s="183" t="s">
        <v>806</v>
      </c>
      <c r="M72" s="184" t="s">
        <v>5835</v>
      </c>
      <c r="N72" s="184" t="s">
        <v>5835</v>
      </c>
      <c r="O72" s="233"/>
    </row>
    <row r="73" spans="1:15" s="182" customFormat="1" ht="21.95" customHeight="1" x14ac:dyDescent="0.15">
      <c r="A73" s="151" t="s">
        <v>6988</v>
      </c>
      <c r="B73" s="20" t="s">
        <v>6989</v>
      </c>
      <c r="C73" s="1052" t="s">
        <v>3346</v>
      </c>
      <c r="D73" s="1052" t="s">
        <v>3457</v>
      </c>
      <c r="E73" s="1052" t="s">
        <v>7013</v>
      </c>
      <c r="F73" s="184" t="s">
        <v>4361</v>
      </c>
      <c r="G73" s="235" t="s">
        <v>5122</v>
      </c>
      <c r="H73" s="509" t="s">
        <v>6992</v>
      </c>
      <c r="I73" s="194">
        <v>0</v>
      </c>
      <c r="J73" s="194">
        <v>38400</v>
      </c>
      <c r="K73" s="185">
        <v>1</v>
      </c>
      <c r="L73" s="183" t="s">
        <v>806</v>
      </c>
      <c r="M73" s="184" t="s">
        <v>5835</v>
      </c>
      <c r="N73" s="184" t="s">
        <v>5835</v>
      </c>
      <c r="O73" s="233"/>
    </row>
    <row r="74" spans="1:15" s="182" customFormat="1" ht="21.95" customHeight="1" x14ac:dyDescent="0.15">
      <c r="A74" s="151" t="s">
        <v>6988</v>
      </c>
      <c r="B74" s="20" t="s">
        <v>6989</v>
      </c>
      <c r="C74" s="1052" t="s">
        <v>3346</v>
      </c>
      <c r="D74" s="1052" t="s">
        <v>3457</v>
      </c>
      <c r="E74" s="1052" t="s">
        <v>7014</v>
      </c>
      <c r="F74" s="184" t="s">
        <v>3340</v>
      </c>
      <c r="G74" s="235" t="s">
        <v>3336</v>
      </c>
      <c r="H74" s="509" t="s">
        <v>6993</v>
      </c>
      <c r="I74" s="194">
        <v>0</v>
      </c>
      <c r="J74" s="194">
        <v>98200</v>
      </c>
      <c r="K74" s="185">
        <v>1</v>
      </c>
      <c r="L74" s="183" t="s">
        <v>806</v>
      </c>
      <c r="M74" s="184" t="s">
        <v>5835</v>
      </c>
      <c r="N74" s="184" t="s">
        <v>5835</v>
      </c>
      <c r="O74" s="233"/>
    </row>
    <row r="75" spans="1:15" s="182" customFormat="1" ht="21.95" customHeight="1" x14ac:dyDescent="0.15">
      <c r="A75" s="151" t="s">
        <v>6988</v>
      </c>
      <c r="B75" s="20" t="s">
        <v>6989</v>
      </c>
      <c r="C75" s="1052" t="s">
        <v>3346</v>
      </c>
      <c r="D75" s="1052" t="s">
        <v>3457</v>
      </c>
      <c r="E75" s="1052" t="s">
        <v>7014</v>
      </c>
      <c r="F75" s="184" t="s">
        <v>4361</v>
      </c>
      <c r="G75" s="235" t="s">
        <v>5122</v>
      </c>
      <c r="H75" s="509" t="s">
        <v>6994</v>
      </c>
      <c r="I75" s="194">
        <v>0</v>
      </c>
      <c r="J75" s="194">
        <v>38400</v>
      </c>
      <c r="K75" s="185">
        <v>1</v>
      </c>
      <c r="L75" s="183" t="s">
        <v>806</v>
      </c>
      <c r="M75" s="184" t="s">
        <v>5835</v>
      </c>
      <c r="N75" s="184" t="s">
        <v>5835</v>
      </c>
      <c r="O75" s="233"/>
    </row>
    <row r="76" spans="1:15" s="182" customFormat="1" ht="21.95" customHeight="1" x14ac:dyDescent="0.15">
      <c r="A76" s="151" t="s">
        <v>6988</v>
      </c>
      <c r="B76" s="20" t="s">
        <v>6989</v>
      </c>
      <c r="C76" s="1052" t="s">
        <v>3346</v>
      </c>
      <c r="D76" s="1052" t="s">
        <v>3457</v>
      </c>
      <c r="E76" s="1052" t="s">
        <v>7015</v>
      </c>
      <c r="F76" s="184" t="s">
        <v>4361</v>
      </c>
      <c r="G76" s="235" t="s">
        <v>5122</v>
      </c>
      <c r="H76" s="509" t="s">
        <v>6995</v>
      </c>
      <c r="I76" s="194">
        <v>0</v>
      </c>
      <c r="J76" s="194">
        <v>38400</v>
      </c>
      <c r="K76" s="185">
        <v>1</v>
      </c>
      <c r="L76" s="183" t="s">
        <v>806</v>
      </c>
      <c r="M76" s="184" t="s">
        <v>5835</v>
      </c>
      <c r="N76" s="184" t="s">
        <v>5835</v>
      </c>
      <c r="O76" s="233"/>
    </row>
    <row r="77" spans="1:15" s="182" customFormat="1" ht="21.95" customHeight="1" x14ac:dyDescent="0.15">
      <c r="A77" s="151" t="s">
        <v>6988</v>
      </c>
      <c r="B77" s="20" t="s">
        <v>6989</v>
      </c>
      <c r="C77" s="1052" t="s">
        <v>3346</v>
      </c>
      <c r="D77" s="1052" t="s">
        <v>3457</v>
      </c>
      <c r="E77" s="1052" t="s">
        <v>7016</v>
      </c>
      <c r="F77" s="184" t="s">
        <v>4361</v>
      </c>
      <c r="G77" s="235" t="s">
        <v>5122</v>
      </c>
      <c r="H77" s="509" t="s">
        <v>6996</v>
      </c>
      <c r="I77" s="194">
        <v>0</v>
      </c>
      <c r="J77" s="194">
        <v>38400</v>
      </c>
      <c r="K77" s="185">
        <v>1</v>
      </c>
      <c r="L77" s="183" t="s">
        <v>806</v>
      </c>
      <c r="M77" s="184" t="s">
        <v>5835</v>
      </c>
      <c r="N77" s="184" t="s">
        <v>5835</v>
      </c>
      <c r="O77" s="233"/>
    </row>
    <row r="78" spans="1:15" s="182" customFormat="1" ht="21.95" customHeight="1" x14ac:dyDescent="0.15">
      <c r="A78" s="151" t="s">
        <v>6990</v>
      </c>
      <c r="B78" s="20" t="s">
        <v>5260</v>
      </c>
      <c r="C78" s="1053" t="s">
        <v>3346</v>
      </c>
      <c r="D78" s="236" t="s">
        <v>3354</v>
      </c>
      <c r="E78" s="30" t="s">
        <v>3562</v>
      </c>
      <c r="F78" s="184" t="s">
        <v>3328</v>
      </c>
      <c r="G78" s="235" t="s">
        <v>6951</v>
      </c>
      <c r="H78" s="509" t="s">
        <v>6997</v>
      </c>
      <c r="I78" s="194">
        <v>0</v>
      </c>
      <c r="J78" s="194">
        <v>68750</v>
      </c>
      <c r="K78" s="185" t="s">
        <v>4960</v>
      </c>
      <c r="L78" s="183" t="s">
        <v>4706</v>
      </c>
      <c r="M78" s="184" t="s">
        <v>6106</v>
      </c>
      <c r="N78" s="184" t="s">
        <v>5255</v>
      </c>
      <c r="O78" s="233"/>
    </row>
    <row r="79" spans="1:15" s="182" customFormat="1" ht="21.95" customHeight="1" x14ac:dyDescent="0.15">
      <c r="A79" s="151" t="s">
        <v>6990</v>
      </c>
      <c r="B79" s="20" t="s">
        <v>5260</v>
      </c>
      <c r="C79" s="184" t="s">
        <v>4982</v>
      </c>
      <c r="D79" s="184" t="s">
        <v>5018</v>
      </c>
      <c r="E79" s="184" t="s">
        <v>7017</v>
      </c>
      <c r="F79" s="184" t="s">
        <v>5078</v>
      </c>
      <c r="G79" s="235" t="s">
        <v>6951</v>
      </c>
      <c r="H79" s="509" t="s">
        <v>6998</v>
      </c>
      <c r="I79" s="194">
        <v>0</v>
      </c>
      <c r="J79" s="194">
        <v>68750</v>
      </c>
      <c r="K79" s="185" t="s">
        <v>4960</v>
      </c>
      <c r="L79" s="183" t="s">
        <v>4706</v>
      </c>
      <c r="M79" s="184" t="s">
        <v>6106</v>
      </c>
      <c r="N79" s="184" t="s">
        <v>5255</v>
      </c>
      <c r="O79" s="233"/>
    </row>
    <row r="80" spans="1:15" s="182" customFormat="1" ht="21.95" customHeight="1" x14ac:dyDescent="0.15">
      <c r="A80" s="151" t="s">
        <v>6990</v>
      </c>
      <c r="B80" s="20" t="s">
        <v>5221</v>
      </c>
      <c r="C80" s="1054" t="s">
        <v>3346</v>
      </c>
      <c r="D80" s="1054" t="s">
        <v>3354</v>
      </c>
      <c r="E80" s="1054" t="s">
        <v>845</v>
      </c>
      <c r="F80" s="267" t="s">
        <v>3328</v>
      </c>
      <c r="G80" s="235" t="s">
        <v>6951</v>
      </c>
      <c r="H80" s="509" t="s">
        <v>6999</v>
      </c>
      <c r="I80" s="194">
        <v>0</v>
      </c>
      <c r="J80" s="194">
        <v>68750</v>
      </c>
      <c r="K80" s="185" t="s">
        <v>4960</v>
      </c>
      <c r="L80" s="183" t="s">
        <v>4706</v>
      </c>
      <c r="M80" s="184" t="s">
        <v>6106</v>
      </c>
      <c r="N80" s="184" t="s">
        <v>5255</v>
      </c>
      <c r="O80" s="233"/>
    </row>
    <row r="81" spans="1:15" s="182" customFormat="1" ht="21.95" customHeight="1" x14ac:dyDescent="0.15">
      <c r="A81" s="151" t="s">
        <v>7000</v>
      </c>
      <c r="B81" s="20" t="s">
        <v>6240</v>
      </c>
      <c r="C81" s="399" t="s">
        <v>4982</v>
      </c>
      <c r="D81" s="399" t="s">
        <v>6251</v>
      </c>
      <c r="E81" s="399" t="s">
        <v>6252</v>
      </c>
      <c r="F81" s="184" t="s">
        <v>3400</v>
      </c>
      <c r="G81" s="235" t="s">
        <v>5799</v>
      </c>
      <c r="H81" s="509">
        <v>23078</v>
      </c>
      <c r="I81" s="194">
        <v>0</v>
      </c>
      <c r="J81" s="194">
        <v>20970</v>
      </c>
      <c r="K81" s="185">
        <v>0.1</v>
      </c>
      <c r="L81" s="183" t="s">
        <v>5744</v>
      </c>
      <c r="M81" s="184" t="s">
        <v>6038</v>
      </c>
      <c r="N81" s="184" t="s">
        <v>6038</v>
      </c>
      <c r="O81" s="233"/>
    </row>
    <row r="82" spans="1:15" s="182" customFormat="1" ht="21.95" customHeight="1" x14ac:dyDescent="0.15">
      <c r="A82" s="151" t="s">
        <v>7001</v>
      </c>
      <c r="B82" s="849" t="s">
        <v>6768</v>
      </c>
      <c r="C82" s="184" t="s">
        <v>4963</v>
      </c>
      <c r="D82" s="184" t="s">
        <v>5028</v>
      </c>
      <c r="E82" s="184" t="s">
        <v>6779</v>
      </c>
      <c r="F82" s="184" t="s">
        <v>3340</v>
      </c>
      <c r="G82" s="235" t="s">
        <v>3345</v>
      </c>
      <c r="H82" s="509" t="s">
        <v>7011</v>
      </c>
      <c r="I82" s="194">
        <v>45000</v>
      </c>
      <c r="J82" s="194">
        <v>0</v>
      </c>
      <c r="K82" s="185">
        <v>0.3</v>
      </c>
      <c r="L82" s="183" t="s">
        <v>6622</v>
      </c>
      <c r="M82" s="184" t="s">
        <v>5765</v>
      </c>
      <c r="N82" s="184" t="s">
        <v>5765</v>
      </c>
      <c r="O82" s="233"/>
    </row>
    <row r="83" spans="1:15" s="182" customFormat="1" ht="21.95" customHeight="1" x14ac:dyDescent="0.15">
      <c r="A83" s="151" t="s">
        <v>7001</v>
      </c>
      <c r="B83" s="849" t="s">
        <v>6768</v>
      </c>
      <c r="C83" s="184" t="s">
        <v>4963</v>
      </c>
      <c r="D83" s="184" t="s">
        <v>5028</v>
      </c>
      <c r="E83" s="184" t="s">
        <v>6780</v>
      </c>
      <c r="F83" s="184" t="s">
        <v>3340</v>
      </c>
      <c r="G83" s="235" t="s">
        <v>3345</v>
      </c>
      <c r="H83" s="509" t="s">
        <v>7012</v>
      </c>
      <c r="I83" s="194">
        <v>45000</v>
      </c>
      <c r="J83" s="194">
        <v>0</v>
      </c>
      <c r="K83" s="185">
        <v>0.3</v>
      </c>
      <c r="L83" s="183" t="s">
        <v>6622</v>
      </c>
      <c r="M83" s="184" t="s">
        <v>5765</v>
      </c>
      <c r="N83" s="184" t="s">
        <v>5765</v>
      </c>
      <c r="O83" s="233"/>
    </row>
    <row r="84" spans="1:15" s="182" customFormat="1" ht="21.95" customHeight="1" x14ac:dyDescent="0.15">
      <c r="A84" s="151" t="s">
        <v>7002</v>
      </c>
      <c r="B84" s="20" t="s">
        <v>6721</v>
      </c>
      <c r="C84" s="224" t="s">
        <v>3351</v>
      </c>
      <c r="D84" s="224" t="s">
        <v>3352</v>
      </c>
      <c r="E84" s="180" t="s">
        <v>3689</v>
      </c>
      <c r="F84" s="184" t="s">
        <v>5078</v>
      </c>
      <c r="G84" s="235" t="s">
        <v>6504</v>
      </c>
      <c r="H84" s="509">
        <v>24147</v>
      </c>
      <c r="I84" s="194">
        <v>0</v>
      </c>
      <c r="J84" s="194">
        <v>127440</v>
      </c>
      <c r="K84" s="185">
        <v>0.9</v>
      </c>
      <c r="L84" s="183" t="s">
        <v>7020</v>
      </c>
      <c r="M84" s="184" t="s">
        <v>5255</v>
      </c>
      <c r="N84" s="184" t="s">
        <v>5255</v>
      </c>
      <c r="O84" s="233"/>
    </row>
    <row r="85" spans="1:15" s="182" customFormat="1" ht="21.95" customHeight="1" x14ac:dyDescent="0.15">
      <c r="A85" s="151" t="s">
        <v>7002</v>
      </c>
      <c r="B85" s="20" t="s">
        <v>7003</v>
      </c>
      <c r="C85" s="224" t="s">
        <v>3351</v>
      </c>
      <c r="D85" s="224" t="s">
        <v>3352</v>
      </c>
      <c r="E85" s="180" t="s">
        <v>3688</v>
      </c>
      <c r="F85" s="184" t="s">
        <v>5078</v>
      </c>
      <c r="G85" s="235" t="s">
        <v>6504</v>
      </c>
      <c r="H85" s="509">
        <v>24146</v>
      </c>
      <c r="I85" s="194">
        <v>0</v>
      </c>
      <c r="J85" s="194">
        <v>127440</v>
      </c>
      <c r="K85" s="185">
        <v>0.9</v>
      </c>
      <c r="L85" s="183" t="s">
        <v>7020</v>
      </c>
      <c r="M85" s="184" t="s">
        <v>5255</v>
      </c>
      <c r="N85" s="184" t="s">
        <v>5255</v>
      </c>
      <c r="O85" s="233"/>
    </row>
    <row r="86" spans="1:15" s="182" customFormat="1" ht="21.95" customHeight="1" x14ac:dyDescent="0.15">
      <c r="A86" s="151" t="s">
        <v>7004</v>
      </c>
      <c r="B86" s="20" t="s">
        <v>7005</v>
      </c>
      <c r="C86" s="224" t="s">
        <v>3376</v>
      </c>
      <c r="D86" s="224" t="s">
        <v>4948</v>
      </c>
      <c r="E86" s="224" t="s">
        <v>3960</v>
      </c>
      <c r="F86" s="403" t="s">
        <v>3328</v>
      </c>
      <c r="G86" s="235" t="s">
        <v>6454</v>
      </c>
      <c r="H86" s="509">
        <v>22184</v>
      </c>
      <c r="I86" s="194">
        <v>0</v>
      </c>
      <c r="J86" s="194">
        <v>100000</v>
      </c>
      <c r="K86" s="185">
        <v>0.5</v>
      </c>
      <c r="L86" s="183" t="s">
        <v>5743</v>
      </c>
      <c r="M86" s="184" t="s">
        <v>5771</v>
      </c>
      <c r="N86" s="184" t="s">
        <v>5771</v>
      </c>
      <c r="O86" s="233"/>
    </row>
    <row r="87" spans="1:15" s="182" customFormat="1" ht="21.95" customHeight="1" x14ac:dyDescent="0.15">
      <c r="A87" s="151" t="s">
        <v>7004</v>
      </c>
      <c r="B87" s="849" t="s">
        <v>6770</v>
      </c>
      <c r="C87" s="184" t="s">
        <v>4982</v>
      </c>
      <c r="D87" s="184" t="s">
        <v>5098</v>
      </c>
      <c r="E87" s="184" t="s">
        <v>7021</v>
      </c>
      <c r="F87" s="184" t="s">
        <v>5078</v>
      </c>
      <c r="G87" s="235" t="s">
        <v>5090</v>
      </c>
      <c r="H87" s="1050">
        <v>23178</v>
      </c>
      <c r="I87" s="194">
        <v>332500</v>
      </c>
      <c r="J87" s="194">
        <v>0</v>
      </c>
      <c r="K87" s="185">
        <v>0.95</v>
      </c>
      <c r="L87" s="183" t="s">
        <v>806</v>
      </c>
      <c r="M87" s="184" t="s">
        <v>693</v>
      </c>
      <c r="N87" s="184" t="s">
        <v>693</v>
      </c>
      <c r="O87" s="233"/>
    </row>
    <row r="88" spans="1:15" s="182" customFormat="1" ht="21.95" customHeight="1" x14ac:dyDescent="0.15">
      <c r="A88" s="151" t="s">
        <v>7004</v>
      </c>
      <c r="B88" s="849" t="s">
        <v>6770</v>
      </c>
      <c r="C88" s="184" t="s">
        <v>4982</v>
      </c>
      <c r="D88" s="184" t="s">
        <v>5018</v>
      </c>
      <c r="E88" s="184" t="s">
        <v>6771</v>
      </c>
      <c r="F88" s="184" t="s">
        <v>5078</v>
      </c>
      <c r="G88" s="235" t="s">
        <v>7022</v>
      </c>
      <c r="H88" s="1051">
        <v>23180</v>
      </c>
      <c r="I88" s="194">
        <v>505970</v>
      </c>
      <c r="J88" s="194">
        <v>0</v>
      </c>
      <c r="K88" s="185">
        <v>0.95</v>
      </c>
      <c r="L88" s="183" t="s">
        <v>806</v>
      </c>
      <c r="M88" s="184" t="s">
        <v>6773</v>
      </c>
      <c r="N88" s="184" t="s">
        <v>693</v>
      </c>
      <c r="O88" s="233"/>
    </row>
    <row r="89" spans="1:15" s="182" customFormat="1" ht="21.95" customHeight="1" x14ac:dyDescent="0.15">
      <c r="A89" s="151" t="s">
        <v>7004</v>
      </c>
      <c r="B89" s="849" t="s">
        <v>6770</v>
      </c>
      <c r="C89" s="945" t="s">
        <v>3371</v>
      </c>
      <c r="D89" s="945" t="s">
        <v>5541</v>
      </c>
      <c r="E89" s="952" t="s">
        <v>6719</v>
      </c>
      <c r="F89" s="952" t="s">
        <v>5198</v>
      </c>
      <c r="G89" s="430" t="s">
        <v>6255</v>
      </c>
      <c r="H89" s="1051">
        <v>24077</v>
      </c>
      <c r="I89" s="194">
        <v>18240</v>
      </c>
      <c r="J89" s="194">
        <v>0</v>
      </c>
      <c r="K89" s="185">
        <v>0.95</v>
      </c>
      <c r="L89" s="183" t="s">
        <v>806</v>
      </c>
      <c r="M89" s="184" t="s">
        <v>693</v>
      </c>
      <c r="N89" s="184" t="s">
        <v>693</v>
      </c>
      <c r="O89" s="233"/>
    </row>
    <row r="90" spans="1:15" s="182" customFormat="1" ht="21.95" customHeight="1" x14ac:dyDescent="0.15">
      <c r="A90" s="151" t="s">
        <v>7004</v>
      </c>
      <c r="B90" s="20" t="s">
        <v>2361</v>
      </c>
      <c r="C90" s="184" t="s">
        <v>4982</v>
      </c>
      <c r="D90" s="184" t="s">
        <v>4964</v>
      </c>
      <c r="E90" s="184" t="s">
        <v>5856</v>
      </c>
      <c r="F90" s="184" t="s">
        <v>3328</v>
      </c>
      <c r="G90" s="235" t="s">
        <v>5042</v>
      </c>
      <c r="H90" s="509">
        <v>21087</v>
      </c>
      <c r="I90" s="194">
        <v>0</v>
      </c>
      <c r="J90" s="194">
        <v>17604</v>
      </c>
      <c r="K90" s="185">
        <v>0.2</v>
      </c>
      <c r="L90" s="183" t="s">
        <v>5768</v>
      </c>
      <c r="M90" s="945" t="s">
        <v>3434</v>
      </c>
      <c r="N90" s="945" t="s">
        <v>3434</v>
      </c>
      <c r="O90" s="233"/>
    </row>
    <row r="91" spans="1:15" s="182" customFormat="1" ht="21.95" customHeight="1" x14ac:dyDescent="0.15">
      <c r="A91" s="151" t="s">
        <v>7004</v>
      </c>
      <c r="B91" s="20" t="s">
        <v>6903</v>
      </c>
      <c r="C91" s="1055" t="s">
        <v>4982</v>
      </c>
      <c r="D91" s="1055" t="s">
        <v>5541</v>
      </c>
      <c r="E91" s="1055" t="s">
        <v>5713</v>
      </c>
      <c r="F91" s="184" t="s">
        <v>4944</v>
      </c>
      <c r="G91" s="235" t="s">
        <v>6913</v>
      </c>
      <c r="H91" s="509" t="s">
        <v>6908</v>
      </c>
      <c r="I91" s="194">
        <v>0</v>
      </c>
      <c r="J91" s="194">
        <v>11687.5</v>
      </c>
      <c r="K91" s="185">
        <v>0.25</v>
      </c>
      <c r="L91" s="183" t="s">
        <v>5743</v>
      </c>
      <c r="M91" s="184" t="s">
        <v>662</v>
      </c>
      <c r="N91" s="184" t="s">
        <v>662</v>
      </c>
      <c r="O91" s="233"/>
    </row>
    <row r="92" spans="1:15" s="182" customFormat="1" ht="21.95" customHeight="1" x14ac:dyDescent="0.15">
      <c r="A92" s="151" t="s">
        <v>7004</v>
      </c>
      <c r="B92" s="20" t="s">
        <v>6903</v>
      </c>
      <c r="C92" s="1055" t="s">
        <v>3346</v>
      </c>
      <c r="D92" s="1055" t="s">
        <v>3347</v>
      </c>
      <c r="E92" s="30" t="s">
        <v>3542</v>
      </c>
      <c r="F92" s="184" t="s">
        <v>5078</v>
      </c>
      <c r="G92" s="235" t="s">
        <v>6914</v>
      </c>
      <c r="H92" s="509" t="s">
        <v>6909</v>
      </c>
      <c r="I92" s="194">
        <v>0</v>
      </c>
      <c r="J92" s="194">
        <v>11687.5</v>
      </c>
      <c r="K92" s="185">
        <v>0.25</v>
      </c>
      <c r="L92" s="183" t="s">
        <v>5743</v>
      </c>
      <c r="M92" s="184" t="s">
        <v>3725</v>
      </c>
      <c r="N92" s="184" t="s">
        <v>662</v>
      </c>
      <c r="O92" s="233"/>
    </row>
    <row r="93" spans="1:15" s="182" customFormat="1" ht="21.95" customHeight="1" x14ac:dyDescent="0.15">
      <c r="A93" s="151" t="s">
        <v>7004</v>
      </c>
      <c r="B93" s="20" t="s">
        <v>6903</v>
      </c>
      <c r="C93" s="1055" t="s">
        <v>3346</v>
      </c>
      <c r="D93" s="1055" t="s">
        <v>3347</v>
      </c>
      <c r="E93" s="184" t="s">
        <v>5397</v>
      </c>
      <c r="F93" s="184" t="s">
        <v>4944</v>
      </c>
      <c r="G93" s="235" t="s">
        <v>6913</v>
      </c>
      <c r="H93" s="509" t="s">
        <v>6910</v>
      </c>
      <c r="I93" s="194">
        <v>0</v>
      </c>
      <c r="J93" s="194">
        <v>11687.5</v>
      </c>
      <c r="K93" s="185">
        <v>0.25</v>
      </c>
      <c r="L93" s="183" t="s">
        <v>5743</v>
      </c>
      <c r="M93" s="184" t="s">
        <v>3725</v>
      </c>
      <c r="N93" s="184" t="s">
        <v>3725</v>
      </c>
      <c r="O93" s="233"/>
    </row>
    <row r="94" spans="1:15" s="182" customFormat="1" ht="21.95" customHeight="1" x14ac:dyDescent="0.15">
      <c r="A94" s="151" t="s">
        <v>7004</v>
      </c>
      <c r="B94" s="20" t="s">
        <v>6903</v>
      </c>
      <c r="C94" s="1055" t="s">
        <v>3346</v>
      </c>
      <c r="D94" s="1055" t="s">
        <v>3347</v>
      </c>
      <c r="E94" s="1055" t="s">
        <v>6915</v>
      </c>
      <c r="F94" s="184" t="s">
        <v>5078</v>
      </c>
      <c r="G94" s="235" t="s">
        <v>6914</v>
      </c>
      <c r="H94" s="509" t="s">
        <v>6911</v>
      </c>
      <c r="I94" s="194">
        <v>0</v>
      </c>
      <c r="J94" s="194">
        <v>11687.5</v>
      </c>
      <c r="K94" s="185">
        <v>0.25</v>
      </c>
      <c r="L94" s="183" t="s">
        <v>5743</v>
      </c>
      <c r="M94" s="184" t="s">
        <v>3725</v>
      </c>
      <c r="N94" s="184" t="s">
        <v>662</v>
      </c>
      <c r="O94" s="233"/>
    </row>
    <row r="95" spans="1:15" s="182" customFormat="1" ht="21.95" customHeight="1" x14ac:dyDescent="0.15">
      <c r="A95" s="151" t="s">
        <v>7004</v>
      </c>
      <c r="B95" s="20" t="s">
        <v>6903</v>
      </c>
      <c r="C95" s="1055" t="s">
        <v>3346</v>
      </c>
      <c r="D95" s="1055" t="s">
        <v>3347</v>
      </c>
      <c r="E95" s="1055" t="s">
        <v>6916</v>
      </c>
      <c r="F95" s="184" t="s">
        <v>5078</v>
      </c>
      <c r="G95" s="235" t="s">
        <v>6914</v>
      </c>
      <c r="H95" s="509" t="s">
        <v>6912</v>
      </c>
      <c r="I95" s="194">
        <v>0</v>
      </c>
      <c r="J95" s="194">
        <v>11687.5</v>
      </c>
      <c r="K95" s="185">
        <v>0.25</v>
      </c>
      <c r="L95" s="183" t="s">
        <v>5743</v>
      </c>
      <c r="M95" s="184" t="s">
        <v>3725</v>
      </c>
      <c r="N95" s="184" t="s">
        <v>662</v>
      </c>
      <c r="O95" s="233"/>
    </row>
    <row r="96" spans="1:15" s="182" customFormat="1" ht="21.95" customHeight="1" x14ac:dyDescent="0.15">
      <c r="A96" s="151" t="s">
        <v>7006</v>
      </c>
      <c r="B96" s="20" t="s">
        <v>7007</v>
      </c>
      <c r="C96" s="399" t="s">
        <v>3363</v>
      </c>
      <c r="D96" s="399" t="s">
        <v>3354</v>
      </c>
      <c r="E96" s="399" t="s">
        <v>5865</v>
      </c>
      <c r="F96" s="184" t="s">
        <v>5078</v>
      </c>
      <c r="G96" s="235" t="s">
        <v>5795</v>
      </c>
      <c r="H96" s="509">
        <v>24004</v>
      </c>
      <c r="I96" s="194">
        <v>0</v>
      </c>
      <c r="J96" s="194">
        <v>166000</v>
      </c>
      <c r="K96" s="185">
        <v>1</v>
      </c>
      <c r="L96" s="183" t="s">
        <v>5743</v>
      </c>
      <c r="M96" s="184" t="s">
        <v>5765</v>
      </c>
      <c r="N96" s="184" t="s">
        <v>5765</v>
      </c>
      <c r="O96" s="233"/>
    </row>
    <row r="97" spans="1:15" s="182" customFormat="1" ht="21.95" customHeight="1" x14ac:dyDescent="0.15">
      <c r="A97" s="151" t="s">
        <v>7006</v>
      </c>
      <c r="B97" s="20" t="s">
        <v>4533</v>
      </c>
      <c r="C97" s="399" t="s">
        <v>4963</v>
      </c>
      <c r="D97" s="399" t="s">
        <v>5018</v>
      </c>
      <c r="E97" s="399" t="s">
        <v>5904</v>
      </c>
      <c r="F97" s="184" t="s">
        <v>5078</v>
      </c>
      <c r="G97" s="235" t="s">
        <v>5795</v>
      </c>
      <c r="H97" s="509">
        <v>24005</v>
      </c>
      <c r="I97" s="194">
        <v>0</v>
      </c>
      <c r="J97" s="194">
        <v>166000</v>
      </c>
      <c r="K97" s="185">
        <v>1</v>
      </c>
      <c r="L97" s="183" t="s">
        <v>5743</v>
      </c>
      <c r="M97" s="184" t="s">
        <v>5765</v>
      </c>
      <c r="N97" s="184" t="s">
        <v>5765</v>
      </c>
      <c r="O97" s="233"/>
    </row>
    <row r="98" spans="1:15" s="182" customFormat="1" ht="21.95" customHeight="1" x14ac:dyDescent="0.15">
      <c r="A98" s="151" t="s">
        <v>7006</v>
      </c>
      <c r="B98" s="20" t="s">
        <v>4043</v>
      </c>
      <c r="C98" s="399" t="s">
        <v>4963</v>
      </c>
      <c r="D98" s="399" t="s">
        <v>5018</v>
      </c>
      <c r="E98" s="399" t="s">
        <v>5905</v>
      </c>
      <c r="F98" s="184" t="s">
        <v>5078</v>
      </c>
      <c r="G98" s="235" t="s">
        <v>5795</v>
      </c>
      <c r="H98" s="509">
        <v>24006</v>
      </c>
      <c r="I98" s="194">
        <v>0</v>
      </c>
      <c r="J98" s="194">
        <v>186000</v>
      </c>
      <c r="K98" s="185">
        <v>1</v>
      </c>
      <c r="L98" s="183" t="s">
        <v>5743</v>
      </c>
      <c r="M98" s="184" t="s">
        <v>5765</v>
      </c>
      <c r="N98" s="184" t="s">
        <v>5765</v>
      </c>
      <c r="O98" s="233"/>
    </row>
    <row r="99" spans="1:15" s="182" customFormat="1" ht="21.95" customHeight="1" x14ac:dyDescent="0.15">
      <c r="A99" s="151" t="s">
        <v>7008</v>
      </c>
      <c r="B99" s="20" t="s">
        <v>4042</v>
      </c>
      <c r="C99" s="399" t="s">
        <v>4963</v>
      </c>
      <c r="D99" s="399" t="s">
        <v>5018</v>
      </c>
      <c r="E99" s="399" t="s">
        <v>5906</v>
      </c>
      <c r="F99" s="184" t="s">
        <v>5078</v>
      </c>
      <c r="G99" s="235" t="s">
        <v>5795</v>
      </c>
      <c r="H99" s="509">
        <v>24007</v>
      </c>
      <c r="I99" s="194">
        <v>0</v>
      </c>
      <c r="J99" s="194">
        <v>166000</v>
      </c>
      <c r="K99" s="185">
        <v>1</v>
      </c>
      <c r="L99" s="183" t="s">
        <v>5743</v>
      </c>
      <c r="M99" s="184" t="s">
        <v>5765</v>
      </c>
      <c r="N99" s="184" t="s">
        <v>5765</v>
      </c>
      <c r="O99" s="233"/>
    </row>
    <row r="100" spans="1:15" s="182" customFormat="1" ht="21.95" customHeight="1" x14ac:dyDescent="0.15">
      <c r="A100" s="151" t="s">
        <v>7008</v>
      </c>
      <c r="B100" s="20" t="s">
        <v>7009</v>
      </c>
      <c r="C100" s="399" t="s">
        <v>4963</v>
      </c>
      <c r="D100" s="399" t="s">
        <v>5018</v>
      </c>
      <c r="E100" s="399" t="s">
        <v>5907</v>
      </c>
      <c r="F100" s="184" t="s">
        <v>5078</v>
      </c>
      <c r="G100" s="235" t="s">
        <v>5795</v>
      </c>
      <c r="H100" s="509">
        <v>24008</v>
      </c>
      <c r="I100" s="194">
        <v>0</v>
      </c>
      <c r="J100" s="194">
        <v>100000</v>
      </c>
      <c r="K100" s="185" t="s">
        <v>7023</v>
      </c>
      <c r="L100" s="183" t="s">
        <v>5743</v>
      </c>
      <c r="M100" s="184" t="s">
        <v>5765</v>
      </c>
      <c r="N100" s="184" t="s">
        <v>5765</v>
      </c>
      <c r="O100" s="233"/>
    </row>
    <row r="101" spans="1:15" s="182" customFormat="1" ht="21.95" customHeight="1" x14ac:dyDescent="0.15">
      <c r="A101" s="151" t="s">
        <v>7010</v>
      </c>
      <c r="B101" s="20" t="s">
        <v>627</v>
      </c>
      <c r="C101" s="399" t="s">
        <v>3376</v>
      </c>
      <c r="D101" s="427" t="s">
        <v>3516</v>
      </c>
      <c r="E101" s="405" t="s">
        <v>6326</v>
      </c>
      <c r="F101" s="184" t="s">
        <v>3332</v>
      </c>
      <c r="G101" s="235" t="s">
        <v>3349</v>
      </c>
      <c r="H101" s="1051">
        <v>23181</v>
      </c>
      <c r="I101" s="194">
        <v>0</v>
      </c>
      <c r="J101" s="194">
        <v>100000</v>
      </c>
      <c r="K101" s="185">
        <v>1</v>
      </c>
      <c r="L101" s="183" t="s">
        <v>5743</v>
      </c>
      <c r="M101" s="184" t="s">
        <v>5771</v>
      </c>
      <c r="N101" s="184" t="s">
        <v>5771</v>
      </c>
      <c r="O101" s="233"/>
    </row>
    <row r="102" spans="1:15" s="182" customFormat="1" ht="21.95" customHeight="1" x14ac:dyDescent="0.15">
      <c r="A102" s="151" t="s">
        <v>7010</v>
      </c>
      <c r="B102" s="20" t="s">
        <v>1562</v>
      </c>
      <c r="C102" s="399" t="s">
        <v>3376</v>
      </c>
      <c r="D102" s="399" t="s">
        <v>3682</v>
      </c>
      <c r="E102" s="394" t="s">
        <v>3683</v>
      </c>
      <c r="F102" s="184" t="s">
        <v>3332</v>
      </c>
      <c r="G102" s="235" t="s">
        <v>3349</v>
      </c>
      <c r="H102" s="1051">
        <v>23182</v>
      </c>
      <c r="I102" s="194">
        <v>0</v>
      </c>
      <c r="J102" s="194">
        <v>70000</v>
      </c>
      <c r="K102" s="185">
        <v>1</v>
      </c>
      <c r="L102" s="183" t="s">
        <v>5743</v>
      </c>
      <c r="M102" s="184" t="s">
        <v>5771</v>
      </c>
      <c r="N102" s="184" t="s">
        <v>5771</v>
      </c>
      <c r="O102" s="233"/>
    </row>
    <row r="103" spans="1:15" s="182" customFormat="1" ht="21.95" customHeight="1" x14ac:dyDescent="0.15">
      <c r="A103" s="151" t="s">
        <v>7010</v>
      </c>
      <c r="B103" s="20" t="s">
        <v>1869</v>
      </c>
      <c r="C103" s="399" t="s">
        <v>3376</v>
      </c>
      <c r="D103" s="399" t="s">
        <v>3682</v>
      </c>
      <c r="E103" s="184" t="s">
        <v>4243</v>
      </c>
      <c r="F103" s="184" t="s">
        <v>3332</v>
      </c>
      <c r="G103" s="235" t="s">
        <v>3349</v>
      </c>
      <c r="H103" s="509">
        <v>23183</v>
      </c>
      <c r="I103" s="194">
        <v>0</v>
      </c>
      <c r="J103" s="194">
        <v>70000</v>
      </c>
      <c r="K103" s="185">
        <v>1</v>
      </c>
      <c r="L103" s="183" t="s">
        <v>5743</v>
      </c>
      <c r="M103" s="184" t="s">
        <v>5771</v>
      </c>
      <c r="N103" s="184" t="s">
        <v>5771</v>
      </c>
      <c r="O103" s="233"/>
    </row>
    <row r="104" spans="1:15" s="182" customFormat="1" ht="21.95" customHeight="1" x14ac:dyDescent="0.15">
      <c r="A104" s="151" t="s">
        <v>7010</v>
      </c>
      <c r="B104" s="20" t="s">
        <v>2690</v>
      </c>
      <c r="C104" s="399" t="s">
        <v>3376</v>
      </c>
      <c r="D104" s="399" t="s">
        <v>3682</v>
      </c>
      <c r="E104" s="184" t="s">
        <v>4245</v>
      </c>
      <c r="F104" s="184" t="s">
        <v>3332</v>
      </c>
      <c r="G104" s="235" t="s">
        <v>3349</v>
      </c>
      <c r="H104" s="1051">
        <v>23184</v>
      </c>
      <c r="I104" s="194">
        <v>0</v>
      </c>
      <c r="J104" s="194">
        <v>70000</v>
      </c>
      <c r="K104" s="185">
        <v>1</v>
      </c>
      <c r="L104" s="183" t="s">
        <v>5743</v>
      </c>
      <c r="M104" s="184" t="s">
        <v>5771</v>
      </c>
      <c r="N104" s="184" t="s">
        <v>5771</v>
      </c>
      <c r="O104" s="233"/>
    </row>
    <row r="105" spans="1:15" s="182" customFormat="1" ht="21.95" customHeight="1" x14ac:dyDescent="0.15">
      <c r="A105" s="151" t="s">
        <v>7018</v>
      </c>
      <c r="B105" s="20" t="s">
        <v>331</v>
      </c>
      <c r="C105" s="1056" t="s">
        <v>3346</v>
      </c>
      <c r="D105" s="1056" t="s">
        <v>3354</v>
      </c>
      <c r="E105" s="1056" t="s">
        <v>846</v>
      </c>
      <c r="F105" s="267" t="s">
        <v>3328</v>
      </c>
      <c r="G105" s="235" t="s">
        <v>6951</v>
      </c>
      <c r="H105" s="509" t="s">
        <v>7024</v>
      </c>
      <c r="I105" s="194">
        <v>0</v>
      </c>
      <c r="J105" s="194">
        <v>68750</v>
      </c>
      <c r="K105" s="185" t="s">
        <v>4960</v>
      </c>
      <c r="L105" s="183" t="s">
        <v>4706</v>
      </c>
      <c r="M105" s="184" t="s">
        <v>6106</v>
      </c>
      <c r="N105" s="184" t="s">
        <v>5255</v>
      </c>
      <c r="O105" s="233"/>
    </row>
    <row r="106" spans="1:15" s="182" customFormat="1" ht="21.95" customHeight="1" x14ac:dyDescent="0.15">
      <c r="A106" s="151" t="s">
        <v>7019</v>
      </c>
      <c r="B106" s="20" t="s">
        <v>6674</v>
      </c>
      <c r="C106" s="224" t="s">
        <v>3351</v>
      </c>
      <c r="D106" s="224" t="s">
        <v>3352</v>
      </c>
      <c r="E106" s="184" t="s">
        <v>6691</v>
      </c>
      <c r="F106" s="184" t="s">
        <v>3332</v>
      </c>
      <c r="G106" s="235" t="s">
        <v>6504</v>
      </c>
      <c r="H106" s="981" t="s">
        <v>6689</v>
      </c>
      <c r="I106" s="194">
        <v>0</v>
      </c>
      <c r="J106" s="194">
        <v>4325</v>
      </c>
      <c r="K106" s="185">
        <v>0.05</v>
      </c>
      <c r="L106" s="183" t="s">
        <v>5744</v>
      </c>
      <c r="M106" s="184" t="s">
        <v>5255</v>
      </c>
      <c r="N106" s="184" t="s">
        <v>5255</v>
      </c>
      <c r="O106" s="233"/>
    </row>
    <row r="107" spans="1:15" s="182" customFormat="1" ht="21.95" customHeight="1" x14ac:dyDescent="0.15">
      <c r="A107" s="151" t="s">
        <v>7019</v>
      </c>
      <c r="B107" s="20" t="s">
        <v>6674</v>
      </c>
      <c r="C107" s="224" t="s">
        <v>3351</v>
      </c>
      <c r="D107" s="224" t="s">
        <v>3352</v>
      </c>
      <c r="E107" s="184" t="s">
        <v>6692</v>
      </c>
      <c r="F107" s="184" t="s">
        <v>3332</v>
      </c>
      <c r="G107" s="235" t="s">
        <v>6504</v>
      </c>
      <c r="H107" s="981" t="s">
        <v>6690</v>
      </c>
      <c r="I107" s="194">
        <v>0</v>
      </c>
      <c r="J107" s="194">
        <v>4325</v>
      </c>
      <c r="K107" s="185">
        <v>0.05</v>
      </c>
      <c r="L107" s="183" t="s">
        <v>5744</v>
      </c>
      <c r="M107" s="184" t="s">
        <v>5255</v>
      </c>
      <c r="N107" s="184" t="s">
        <v>5255</v>
      </c>
      <c r="O107" s="233"/>
    </row>
    <row r="108" spans="1:15" s="182" customFormat="1" ht="21.95" customHeight="1" x14ac:dyDescent="0.15">
      <c r="A108" s="151" t="s">
        <v>7019</v>
      </c>
      <c r="B108" s="20" t="s">
        <v>6674</v>
      </c>
      <c r="C108" s="224" t="s">
        <v>3351</v>
      </c>
      <c r="D108" s="224" t="s">
        <v>3352</v>
      </c>
      <c r="E108" s="394" t="s">
        <v>2784</v>
      </c>
      <c r="F108" s="403" t="s">
        <v>3328</v>
      </c>
      <c r="G108" s="239" t="s">
        <v>3349</v>
      </c>
      <c r="H108" s="509">
        <v>23099</v>
      </c>
      <c r="I108" s="194">
        <v>0</v>
      </c>
      <c r="J108" s="194">
        <v>35000</v>
      </c>
      <c r="K108" s="185">
        <v>0.5</v>
      </c>
      <c r="L108" s="183" t="s">
        <v>5743</v>
      </c>
      <c r="M108" s="184" t="s">
        <v>5255</v>
      </c>
      <c r="N108" s="184" t="s">
        <v>5255</v>
      </c>
      <c r="O108" s="233"/>
    </row>
    <row r="109" spans="1:15" s="182" customFormat="1" ht="21.95" customHeight="1" x14ac:dyDescent="0.15">
      <c r="A109" s="151" t="s">
        <v>7025</v>
      </c>
      <c r="B109" s="20" t="s">
        <v>7027</v>
      </c>
      <c r="C109" s="1057" t="s">
        <v>3346</v>
      </c>
      <c r="D109" s="1057" t="s">
        <v>3457</v>
      </c>
      <c r="E109" s="1057" t="s">
        <v>7028</v>
      </c>
      <c r="F109" s="184" t="s">
        <v>3340</v>
      </c>
      <c r="G109" s="235" t="s">
        <v>3336</v>
      </c>
      <c r="H109" s="509" t="s">
        <v>7029</v>
      </c>
      <c r="I109" s="194">
        <v>0</v>
      </c>
      <c r="J109" s="194">
        <v>75000</v>
      </c>
      <c r="K109" s="185">
        <v>1</v>
      </c>
      <c r="L109" s="183" t="s">
        <v>806</v>
      </c>
      <c r="M109" s="184" t="s">
        <v>3434</v>
      </c>
      <c r="N109" s="184" t="s">
        <v>3434</v>
      </c>
      <c r="O109" s="233"/>
    </row>
    <row r="110" spans="1:15" s="182" customFormat="1" ht="21.95" customHeight="1" x14ac:dyDescent="0.15">
      <c r="A110" s="151" t="s">
        <v>7025</v>
      </c>
      <c r="B110" s="20" t="s">
        <v>7027</v>
      </c>
      <c r="C110" s="1057" t="s">
        <v>3346</v>
      </c>
      <c r="D110" s="1057" t="s">
        <v>3457</v>
      </c>
      <c r="E110" s="1057" t="s">
        <v>7028</v>
      </c>
      <c r="F110" s="184" t="s">
        <v>4361</v>
      </c>
      <c r="G110" s="235" t="s">
        <v>5122</v>
      </c>
      <c r="H110" s="509" t="s">
        <v>7030</v>
      </c>
      <c r="I110" s="194">
        <v>0</v>
      </c>
      <c r="J110" s="194">
        <v>25000</v>
      </c>
      <c r="K110" s="185">
        <v>1</v>
      </c>
      <c r="L110" s="183" t="s">
        <v>806</v>
      </c>
      <c r="M110" s="184" t="s">
        <v>3434</v>
      </c>
      <c r="N110" s="184" t="s">
        <v>3434</v>
      </c>
      <c r="O110" s="233"/>
    </row>
    <row r="111" spans="1:15" s="182" customFormat="1" ht="21.95" customHeight="1" x14ac:dyDescent="0.15">
      <c r="A111" s="151" t="s">
        <v>7025</v>
      </c>
      <c r="B111" s="20" t="s">
        <v>6581</v>
      </c>
      <c r="C111" s="224" t="s">
        <v>3363</v>
      </c>
      <c r="D111" s="224" t="s">
        <v>3457</v>
      </c>
      <c r="E111" s="224" t="s">
        <v>3458</v>
      </c>
      <c r="F111" s="207" t="s">
        <v>3328</v>
      </c>
      <c r="G111" s="235" t="s">
        <v>3370</v>
      </c>
      <c r="H111" s="509">
        <v>25066</v>
      </c>
      <c r="I111" s="194">
        <v>0</v>
      </c>
      <c r="J111" s="194">
        <v>45000</v>
      </c>
      <c r="K111" s="185">
        <v>0.25</v>
      </c>
      <c r="L111" s="183" t="s">
        <v>5743</v>
      </c>
      <c r="M111" s="184" t="s">
        <v>5765</v>
      </c>
      <c r="N111" s="184" t="s">
        <v>5765</v>
      </c>
      <c r="O111" s="233"/>
    </row>
    <row r="112" spans="1:15" s="182" customFormat="1" ht="21.95" customHeight="1" x14ac:dyDescent="0.15">
      <c r="A112" s="151" t="s">
        <v>7026</v>
      </c>
      <c r="B112" s="20" t="s">
        <v>2361</v>
      </c>
      <c r="C112" s="1017" t="s">
        <v>3371</v>
      </c>
      <c r="D112" s="1017" t="s">
        <v>3405</v>
      </c>
      <c r="E112" s="1017" t="s">
        <v>4325</v>
      </c>
      <c r="F112" s="184" t="s">
        <v>5078</v>
      </c>
      <c r="G112" s="235" t="s">
        <v>3353</v>
      </c>
      <c r="H112" s="509">
        <v>25075</v>
      </c>
      <c r="I112" s="194">
        <v>0</v>
      </c>
      <c r="J112" s="194">
        <v>29000</v>
      </c>
      <c r="K112" s="185">
        <v>1</v>
      </c>
      <c r="L112" s="183" t="s">
        <v>806</v>
      </c>
      <c r="M112" s="184" t="s">
        <v>6038</v>
      </c>
      <c r="N112" s="184" t="s">
        <v>6038</v>
      </c>
      <c r="O112" s="233"/>
    </row>
    <row r="113" spans="1:15" s="182" customFormat="1" ht="21.95" customHeight="1" x14ac:dyDescent="0.15">
      <c r="A113" s="151" t="s">
        <v>7031</v>
      </c>
      <c r="B113" s="20" t="s">
        <v>7032</v>
      </c>
      <c r="C113" s="184" t="s">
        <v>4982</v>
      </c>
      <c r="D113" s="184" t="s">
        <v>5018</v>
      </c>
      <c r="E113" s="184" t="s">
        <v>5959</v>
      </c>
      <c r="F113" s="184" t="s">
        <v>5078</v>
      </c>
      <c r="G113" s="235" t="s">
        <v>6951</v>
      </c>
      <c r="H113" s="509" t="s">
        <v>7054</v>
      </c>
      <c r="I113" s="194">
        <v>0</v>
      </c>
      <c r="J113" s="194">
        <v>68750</v>
      </c>
      <c r="K113" s="185" t="s">
        <v>4960</v>
      </c>
      <c r="L113" s="183" t="s">
        <v>4706</v>
      </c>
      <c r="M113" s="184" t="s">
        <v>6106</v>
      </c>
      <c r="N113" s="184" t="s">
        <v>5255</v>
      </c>
      <c r="O113" s="233"/>
    </row>
    <row r="114" spans="1:15" s="182" customFormat="1" ht="21.95" customHeight="1" x14ac:dyDescent="0.15">
      <c r="A114" s="151" t="s">
        <v>7033</v>
      </c>
      <c r="B114" s="20" t="s">
        <v>6365</v>
      </c>
      <c r="C114" s="184" t="s">
        <v>4982</v>
      </c>
      <c r="D114" s="184" t="s">
        <v>6294</v>
      </c>
      <c r="E114" s="184" t="s">
        <v>5984</v>
      </c>
      <c r="F114" s="184" t="s">
        <v>4944</v>
      </c>
      <c r="G114" s="235" t="s">
        <v>5030</v>
      </c>
      <c r="H114" s="509">
        <v>25005</v>
      </c>
      <c r="I114" s="194">
        <v>0</v>
      </c>
      <c r="J114" s="194">
        <v>50000</v>
      </c>
      <c r="K114" s="185">
        <v>1</v>
      </c>
      <c r="L114" s="183" t="s">
        <v>4706</v>
      </c>
      <c r="M114" s="184" t="s">
        <v>6038</v>
      </c>
      <c r="N114" s="184" t="s">
        <v>6038</v>
      </c>
      <c r="O114" s="233"/>
    </row>
    <row r="115" spans="1:15" s="182" customFormat="1" ht="21.95" customHeight="1" x14ac:dyDescent="0.15">
      <c r="A115" s="151" t="s">
        <v>7034</v>
      </c>
      <c r="B115" s="20" t="s">
        <v>7040</v>
      </c>
      <c r="C115" s="184" t="s">
        <v>4963</v>
      </c>
      <c r="D115" s="184" t="s">
        <v>5153</v>
      </c>
      <c r="E115" s="184" t="s">
        <v>6525</v>
      </c>
      <c r="F115" s="184" t="s">
        <v>5078</v>
      </c>
      <c r="G115" s="235" t="s">
        <v>6975</v>
      </c>
      <c r="H115" s="509">
        <v>25022</v>
      </c>
      <c r="I115" s="194">
        <v>0</v>
      </c>
      <c r="J115" s="194">
        <v>87810</v>
      </c>
      <c r="K115" s="185">
        <v>0.6</v>
      </c>
      <c r="L115" s="183" t="s">
        <v>6622</v>
      </c>
      <c r="M115" s="184" t="s">
        <v>5765</v>
      </c>
      <c r="N115" s="184" t="s">
        <v>5765</v>
      </c>
      <c r="O115" s="233"/>
    </row>
    <row r="116" spans="1:15" s="182" customFormat="1" ht="21.95" customHeight="1" x14ac:dyDescent="0.15">
      <c r="A116" s="151" t="s">
        <v>7034</v>
      </c>
      <c r="B116" s="20" t="s">
        <v>7039</v>
      </c>
      <c r="C116" s="184" t="s">
        <v>4963</v>
      </c>
      <c r="D116" s="184" t="s">
        <v>5153</v>
      </c>
      <c r="E116" s="184" t="s">
        <v>6525</v>
      </c>
      <c r="F116" s="184" t="s">
        <v>5078</v>
      </c>
      <c r="G116" s="235" t="s">
        <v>6975</v>
      </c>
      <c r="H116" s="509">
        <v>25023</v>
      </c>
      <c r="I116" s="194">
        <v>0</v>
      </c>
      <c r="J116" s="194">
        <v>87810</v>
      </c>
      <c r="K116" s="185">
        <v>0.6</v>
      </c>
      <c r="L116" s="183" t="s">
        <v>6622</v>
      </c>
      <c r="M116" s="184" t="s">
        <v>5765</v>
      </c>
      <c r="N116" s="184" t="s">
        <v>5765</v>
      </c>
      <c r="O116" s="233"/>
    </row>
    <row r="117" spans="1:15" s="182" customFormat="1" ht="21.95" customHeight="1" x14ac:dyDescent="0.15">
      <c r="A117" s="151" t="s">
        <v>7034</v>
      </c>
      <c r="B117" s="20" t="s">
        <v>7036</v>
      </c>
      <c r="C117" s="184" t="s">
        <v>4963</v>
      </c>
      <c r="D117" s="184" t="s">
        <v>5153</v>
      </c>
      <c r="E117" s="184" t="s">
        <v>5179</v>
      </c>
      <c r="F117" s="184" t="s">
        <v>5078</v>
      </c>
      <c r="G117" s="235" t="s">
        <v>6975</v>
      </c>
      <c r="H117" s="509">
        <v>25027</v>
      </c>
      <c r="I117" s="194">
        <v>0</v>
      </c>
      <c r="J117" s="194">
        <v>87810</v>
      </c>
      <c r="K117" s="185">
        <v>0.6</v>
      </c>
      <c r="L117" s="183" t="s">
        <v>6622</v>
      </c>
      <c r="M117" s="184" t="s">
        <v>5765</v>
      </c>
      <c r="N117" s="184" t="s">
        <v>5765</v>
      </c>
      <c r="O117" s="233"/>
    </row>
    <row r="118" spans="1:15" s="182" customFormat="1" ht="21.95" customHeight="1" x14ac:dyDescent="0.15">
      <c r="A118" s="151" t="s">
        <v>7034</v>
      </c>
      <c r="B118" s="20" t="s">
        <v>7035</v>
      </c>
      <c r="C118" s="184" t="s">
        <v>4963</v>
      </c>
      <c r="D118" s="184" t="s">
        <v>5153</v>
      </c>
      <c r="E118" s="184" t="s">
        <v>5179</v>
      </c>
      <c r="F118" s="184" t="s">
        <v>5078</v>
      </c>
      <c r="G118" s="235" t="s">
        <v>6975</v>
      </c>
      <c r="H118" s="509">
        <v>25028</v>
      </c>
      <c r="I118" s="194">
        <v>0</v>
      </c>
      <c r="J118" s="194">
        <v>87810</v>
      </c>
      <c r="K118" s="185">
        <v>0.6</v>
      </c>
      <c r="L118" s="183" t="s">
        <v>6622</v>
      </c>
      <c r="M118" s="184" t="s">
        <v>5765</v>
      </c>
      <c r="N118" s="184" t="s">
        <v>5765</v>
      </c>
      <c r="O118" s="233"/>
    </row>
    <row r="119" spans="1:15" s="182" customFormat="1" ht="21.95" customHeight="1" x14ac:dyDescent="0.15">
      <c r="A119" s="151" t="s">
        <v>7034</v>
      </c>
      <c r="B119" s="20" t="s">
        <v>6652</v>
      </c>
      <c r="C119" s="184" t="s">
        <v>4963</v>
      </c>
      <c r="D119" s="184" t="s">
        <v>5153</v>
      </c>
      <c r="E119" s="184" t="s">
        <v>5179</v>
      </c>
      <c r="F119" s="184" t="s">
        <v>5078</v>
      </c>
      <c r="G119" s="235" t="s">
        <v>6975</v>
      </c>
      <c r="H119" s="509">
        <v>25029</v>
      </c>
      <c r="I119" s="194">
        <v>0</v>
      </c>
      <c r="J119" s="194">
        <v>152310</v>
      </c>
      <c r="K119" s="185">
        <v>0.6</v>
      </c>
      <c r="L119" s="183" t="s">
        <v>6622</v>
      </c>
      <c r="M119" s="184" t="s">
        <v>5765</v>
      </c>
      <c r="N119" s="184" t="s">
        <v>5765</v>
      </c>
      <c r="O119" s="233"/>
    </row>
    <row r="120" spans="1:15" s="182" customFormat="1" ht="21.95" customHeight="1" x14ac:dyDescent="0.15">
      <c r="A120" s="151" t="s">
        <v>7034</v>
      </c>
      <c r="B120" s="20" t="s">
        <v>7038</v>
      </c>
      <c r="C120" s="184" t="s">
        <v>4963</v>
      </c>
      <c r="D120" s="184" t="s">
        <v>5153</v>
      </c>
      <c r="E120" s="184" t="s">
        <v>6977</v>
      </c>
      <c r="F120" s="184" t="s">
        <v>5078</v>
      </c>
      <c r="G120" s="235" t="s">
        <v>6975</v>
      </c>
      <c r="H120" s="509">
        <v>25030</v>
      </c>
      <c r="I120" s="194">
        <v>0</v>
      </c>
      <c r="J120" s="194">
        <v>158964</v>
      </c>
      <c r="K120" s="185">
        <v>0.6</v>
      </c>
      <c r="L120" s="183" t="s">
        <v>6622</v>
      </c>
      <c r="M120" s="184" t="s">
        <v>5765</v>
      </c>
      <c r="N120" s="184" t="s">
        <v>5765</v>
      </c>
      <c r="O120" s="233"/>
    </row>
    <row r="121" spans="1:15" s="182" customFormat="1" ht="21.95" customHeight="1" x14ac:dyDescent="0.15">
      <c r="A121" s="151" t="s">
        <v>7034</v>
      </c>
      <c r="B121" s="20" t="s">
        <v>7053</v>
      </c>
      <c r="C121" s="184" t="s">
        <v>4963</v>
      </c>
      <c r="D121" s="184" t="s">
        <v>5153</v>
      </c>
      <c r="E121" s="1058" t="s">
        <v>6979</v>
      </c>
      <c r="F121" s="184" t="s">
        <v>3340</v>
      </c>
      <c r="G121" s="235" t="s">
        <v>3336</v>
      </c>
      <c r="H121" s="509">
        <v>25032</v>
      </c>
      <c r="I121" s="194">
        <v>0</v>
      </c>
      <c r="J121" s="194">
        <v>158964</v>
      </c>
      <c r="K121" s="185">
        <v>0.6</v>
      </c>
      <c r="L121" s="183" t="s">
        <v>6622</v>
      </c>
      <c r="M121" s="184" t="s">
        <v>5765</v>
      </c>
      <c r="N121" s="184" t="s">
        <v>5765</v>
      </c>
      <c r="O121" s="233"/>
    </row>
    <row r="122" spans="1:15" s="182" customFormat="1" ht="21.95" customHeight="1" x14ac:dyDescent="0.15">
      <c r="A122" s="151" t="s">
        <v>7034</v>
      </c>
      <c r="B122" s="20" t="s">
        <v>7037</v>
      </c>
      <c r="C122" s="184" t="s">
        <v>4963</v>
      </c>
      <c r="D122" s="184" t="s">
        <v>5153</v>
      </c>
      <c r="E122" s="184" t="s">
        <v>6976</v>
      </c>
      <c r="F122" s="184" t="s">
        <v>5078</v>
      </c>
      <c r="G122" s="235" t="s">
        <v>6975</v>
      </c>
      <c r="H122" s="509">
        <v>25033</v>
      </c>
      <c r="I122" s="194">
        <v>0</v>
      </c>
      <c r="J122" s="194">
        <v>146310</v>
      </c>
      <c r="K122" s="185">
        <v>0.6</v>
      </c>
      <c r="L122" s="183" t="s">
        <v>6622</v>
      </c>
      <c r="M122" s="184" t="s">
        <v>5765</v>
      </c>
      <c r="N122" s="184" t="s">
        <v>5765</v>
      </c>
      <c r="O122" s="233"/>
    </row>
    <row r="123" spans="1:15" s="182" customFormat="1" ht="21.95" customHeight="1" x14ac:dyDescent="0.15">
      <c r="A123" s="151" t="s">
        <v>7034</v>
      </c>
      <c r="B123" s="20" t="s">
        <v>7042</v>
      </c>
      <c r="C123" s="184" t="s">
        <v>4982</v>
      </c>
      <c r="D123" s="184" t="s">
        <v>6294</v>
      </c>
      <c r="E123" s="184" t="s">
        <v>4984</v>
      </c>
      <c r="F123" s="224" t="s">
        <v>3340</v>
      </c>
      <c r="G123" s="235" t="s">
        <v>4985</v>
      </c>
      <c r="H123" s="1059" t="s">
        <v>7059</v>
      </c>
      <c r="I123" s="194">
        <v>0</v>
      </c>
      <c r="J123" s="194">
        <v>81216</v>
      </c>
      <c r="K123" s="185">
        <v>0.47</v>
      </c>
      <c r="L123" s="183" t="s">
        <v>6288</v>
      </c>
      <c r="M123" s="184" t="s">
        <v>5835</v>
      </c>
      <c r="N123" s="184" t="s">
        <v>5835</v>
      </c>
      <c r="O123" s="233"/>
    </row>
    <row r="124" spans="1:15" s="182" customFormat="1" ht="21.95" customHeight="1" x14ac:dyDescent="0.15">
      <c r="A124" s="151" t="s">
        <v>7034</v>
      </c>
      <c r="B124" s="20" t="s">
        <v>7042</v>
      </c>
      <c r="C124" s="184" t="s">
        <v>4982</v>
      </c>
      <c r="D124" s="184" t="s">
        <v>6294</v>
      </c>
      <c r="E124" s="184" t="s">
        <v>4986</v>
      </c>
      <c r="F124" s="184" t="s">
        <v>3400</v>
      </c>
      <c r="G124" s="235" t="s">
        <v>4987</v>
      </c>
      <c r="H124" s="1059" t="s">
        <v>7060</v>
      </c>
      <c r="I124" s="194">
        <v>0</v>
      </c>
      <c r="J124" s="194">
        <v>35250</v>
      </c>
      <c r="K124" s="185">
        <v>0.47</v>
      </c>
      <c r="L124" s="183" t="s">
        <v>6288</v>
      </c>
      <c r="M124" s="184" t="s">
        <v>5835</v>
      </c>
      <c r="N124" s="184" t="s">
        <v>5835</v>
      </c>
      <c r="O124" s="233"/>
    </row>
    <row r="125" spans="1:15" s="182" customFormat="1" ht="21.95" customHeight="1" x14ac:dyDescent="0.15">
      <c r="A125" s="151" t="s">
        <v>7043</v>
      </c>
      <c r="B125" s="20" t="s">
        <v>7044</v>
      </c>
      <c r="C125" s="184" t="s">
        <v>4982</v>
      </c>
      <c r="D125" s="184" t="s">
        <v>5354</v>
      </c>
      <c r="E125" s="184" t="s">
        <v>4053</v>
      </c>
      <c r="F125" s="184" t="s">
        <v>3328</v>
      </c>
      <c r="G125" s="239" t="s">
        <v>5240</v>
      </c>
      <c r="H125" s="509">
        <v>22158</v>
      </c>
      <c r="I125" s="194">
        <v>0</v>
      </c>
      <c r="J125" s="194">
        <v>9000</v>
      </c>
      <c r="K125" s="185">
        <v>1</v>
      </c>
      <c r="L125" s="183" t="s">
        <v>806</v>
      </c>
      <c r="M125" s="184" t="s">
        <v>6038</v>
      </c>
      <c r="N125" s="184" t="s">
        <v>6038</v>
      </c>
      <c r="O125" s="233"/>
    </row>
    <row r="126" spans="1:15" s="182" customFormat="1" ht="21.95" customHeight="1" x14ac:dyDescent="0.15">
      <c r="A126" s="151" t="s">
        <v>7043</v>
      </c>
      <c r="B126" s="20" t="s">
        <v>7044</v>
      </c>
      <c r="C126" s="184" t="s">
        <v>4982</v>
      </c>
      <c r="D126" s="184" t="s">
        <v>5354</v>
      </c>
      <c r="E126" s="184" t="s">
        <v>4053</v>
      </c>
      <c r="F126" s="224" t="s">
        <v>3328</v>
      </c>
      <c r="G126" s="235" t="s">
        <v>7058</v>
      </c>
      <c r="H126" s="509">
        <v>24035</v>
      </c>
      <c r="I126" s="194">
        <v>0</v>
      </c>
      <c r="J126" s="194">
        <v>15000</v>
      </c>
      <c r="K126" s="185">
        <v>1</v>
      </c>
      <c r="L126" s="183" t="s">
        <v>5743</v>
      </c>
      <c r="M126" s="184" t="s">
        <v>6038</v>
      </c>
      <c r="N126" s="184" t="s">
        <v>6038</v>
      </c>
      <c r="O126" s="233"/>
    </row>
    <row r="127" spans="1:15" s="182" customFormat="1" ht="21.95" customHeight="1" x14ac:dyDescent="0.15">
      <c r="A127" s="151" t="s">
        <v>7041</v>
      </c>
      <c r="B127" s="20" t="s">
        <v>7046</v>
      </c>
      <c r="C127" s="184" t="s">
        <v>4963</v>
      </c>
      <c r="D127" s="184" t="s">
        <v>5153</v>
      </c>
      <c r="E127" s="184" t="s">
        <v>6525</v>
      </c>
      <c r="F127" s="184" t="s">
        <v>5078</v>
      </c>
      <c r="G127" s="235" t="s">
        <v>6975</v>
      </c>
      <c r="H127" s="509">
        <v>25024</v>
      </c>
      <c r="I127" s="194">
        <v>0</v>
      </c>
      <c r="J127" s="194">
        <v>152310</v>
      </c>
      <c r="K127" s="185">
        <v>0.6</v>
      </c>
      <c r="L127" s="183" t="s">
        <v>6622</v>
      </c>
      <c r="M127" s="184" t="s">
        <v>5765</v>
      </c>
      <c r="N127" s="184" t="s">
        <v>5765</v>
      </c>
      <c r="O127" s="233"/>
    </row>
    <row r="128" spans="1:15" s="182" customFormat="1" ht="21.95" customHeight="1" x14ac:dyDescent="0.15">
      <c r="A128" s="151" t="s">
        <v>7041</v>
      </c>
      <c r="B128" s="20" t="s">
        <v>7045</v>
      </c>
      <c r="C128" s="184" t="s">
        <v>4963</v>
      </c>
      <c r="D128" s="184" t="s">
        <v>5153</v>
      </c>
      <c r="E128" s="184" t="s">
        <v>6980</v>
      </c>
      <c r="F128" s="184" t="s">
        <v>5078</v>
      </c>
      <c r="G128" s="235" t="s">
        <v>6975</v>
      </c>
      <c r="H128" s="509">
        <v>25034</v>
      </c>
      <c r="I128" s="194">
        <v>0</v>
      </c>
      <c r="J128" s="194">
        <v>184764</v>
      </c>
      <c r="K128" s="185">
        <v>0.6</v>
      </c>
      <c r="L128" s="183" t="s">
        <v>6622</v>
      </c>
      <c r="M128" s="184" t="s">
        <v>5765</v>
      </c>
      <c r="N128" s="184" t="s">
        <v>5765</v>
      </c>
      <c r="O128" s="233"/>
    </row>
    <row r="129" spans="1:15" s="182" customFormat="1" ht="21.95" customHeight="1" x14ac:dyDescent="0.15">
      <c r="A129" s="151" t="s">
        <v>7047</v>
      </c>
      <c r="B129" s="20" t="s">
        <v>7048</v>
      </c>
      <c r="C129" s="184" t="s">
        <v>4963</v>
      </c>
      <c r="D129" s="184" t="s">
        <v>5153</v>
      </c>
      <c r="E129" s="184" t="s">
        <v>6976</v>
      </c>
      <c r="F129" s="184" t="s">
        <v>5078</v>
      </c>
      <c r="G129" s="235" t="s">
        <v>6975</v>
      </c>
      <c r="H129" s="509">
        <v>25025</v>
      </c>
      <c r="I129" s="194">
        <v>0</v>
      </c>
      <c r="J129" s="194">
        <v>158964</v>
      </c>
      <c r="K129" s="185">
        <v>0.6</v>
      </c>
      <c r="L129" s="183" t="s">
        <v>6622</v>
      </c>
      <c r="M129" s="184" t="s">
        <v>5765</v>
      </c>
      <c r="N129" s="184" t="s">
        <v>5765</v>
      </c>
      <c r="O129" s="233"/>
    </row>
    <row r="130" spans="1:15" s="182" customFormat="1" ht="21.95" customHeight="1" x14ac:dyDescent="0.15">
      <c r="A130" s="151" t="s">
        <v>7049</v>
      </c>
      <c r="B130" s="20" t="s">
        <v>7050</v>
      </c>
      <c r="C130" s="399" t="s">
        <v>3351</v>
      </c>
      <c r="D130" s="399" t="s">
        <v>3352</v>
      </c>
      <c r="E130" s="399" t="s">
        <v>2866</v>
      </c>
      <c r="F130" s="184" t="s">
        <v>5078</v>
      </c>
      <c r="G130" s="239" t="s">
        <v>3566</v>
      </c>
      <c r="H130" s="509" t="s">
        <v>7055</v>
      </c>
      <c r="I130" s="194">
        <v>0</v>
      </c>
      <c r="J130" s="194">
        <v>40800</v>
      </c>
      <c r="K130" s="185">
        <v>0.2</v>
      </c>
      <c r="L130" s="183" t="s">
        <v>5743</v>
      </c>
      <c r="M130" s="184" t="s">
        <v>5255</v>
      </c>
      <c r="N130" s="184" t="s">
        <v>5255</v>
      </c>
      <c r="O130" s="233"/>
    </row>
    <row r="131" spans="1:15" s="182" customFormat="1" ht="21.95" customHeight="1" x14ac:dyDescent="0.15">
      <c r="A131" s="151" t="s">
        <v>7049</v>
      </c>
      <c r="B131" s="20" t="s">
        <v>7050</v>
      </c>
      <c r="C131" s="399" t="s">
        <v>3351</v>
      </c>
      <c r="D131" s="399" t="s">
        <v>3352</v>
      </c>
      <c r="E131" s="399" t="s">
        <v>2867</v>
      </c>
      <c r="F131" s="184" t="s">
        <v>5078</v>
      </c>
      <c r="G131" s="239" t="s">
        <v>3566</v>
      </c>
      <c r="H131" s="509" t="s">
        <v>7056</v>
      </c>
      <c r="I131" s="194">
        <v>0</v>
      </c>
      <c r="J131" s="194">
        <v>40800</v>
      </c>
      <c r="K131" s="185">
        <v>0.2</v>
      </c>
      <c r="L131" s="183" t="s">
        <v>5743</v>
      </c>
      <c r="M131" s="184" t="s">
        <v>5255</v>
      </c>
      <c r="N131" s="184" t="s">
        <v>5255</v>
      </c>
      <c r="O131" s="233"/>
    </row>
    <row r="132" spans="1:15" s="182" customFormat="1" ht="21.95" customHeight="1" x14ac:dyDescent="0.15">
      <c r="A132" s="151" t="s">
        <v>7049</v>
      </c>
      <c r="B132" s="20" t="s">
        <v>7050</v>
      </c>
      <c r="C132" s="399" t="s">
        <v>3351</v>
      </c>
      <c r="D132" s="399" t="s">
        <v>3352</v>
      </c>
      <c r="E132" s="399" t="s">
        <v>2870</v>
      </c>
      <c r="F132" s="184" t="s">
        <v>5078</v>
      </c>
      <c r="G132" s="239" t="s">
        <v>3566</v>
      </c>
      <c r="H132" s="509" t="s">
        <v>7057</v>
      </c>
      <c r="I132" s="194">
        <v>0</v>
      </c>
      <c r="J132" s="194">
        <v>40800</v>
      </c>
      <c r="K132" s="185">
        <v>0.2</v>
      </c>
      <c r="L132" s="183" t="s">
        <v>5743</v>
      </c>
      <c r="M132" s="184" t="s">
        <v>5255</v>
      </c>
      <c r="N132" s="184" t="s">
        <v>5255</v>
      </c>
      <c r="O132" s="233"/>
    </row>
    <row r="133" spans="1:15" s="182" customFormat="1" ht="21.95" customHeight="1" x14ac:dyDescent="0.15">
      <c r="A133" s="151" t="s">
        <v>7051</v>
      </c>
      <c r="B133" s="20" t="s">
        <v>6069</v>
      </c>
      <c r="C133" s="184" t="s">
        <v>4941</v>
      </c>
      <c r="D133" s="184" t="s">
        <v>5541</v>
      </c>
      <c r="E133" s="184" t="s">
        <v>6070</v>
      </c>
      <c r="F133" s="184" t="s">
        <v>5078</v>
      </c>
      <c r="G133" s="239" t="s">
        <v>3349</v>
      </c>
      <c r="H133" s="1049">
        <v>23089</v>
      </c>
      <c r="I133" s="194">
        <v>0</v>
      </c>
      <c r="J133" s="194">
        <v>64000</v>
      </c>
      <c r="K133" s="185">
        <v>0.8</v>
      </c>
      <c r="L133" s="183" t="s">
        <v>5743</v>
      </c>
      <c r="M133" s="184" t="s">
        <v>5255</v>
      </c>
      <c r="N133" s="184" t="s">
        <v>5255</v>
      </c>
      <c r="O133" s="233"/>
    </row>
    <row r="134" spans="1:15" s="182" customFormat="1" ht="21.95" customHeight="1" x14ac:dyDescent="0.15">
      <c r="A134" s="151" t="s">
        <v>7051</v>
      </c>
      <c r="B134" s="20" t="s">
        <v>7052</v>
      </c>
      <c r="C134" s="184" t="s">
        <v>4963</v>
      </c>
      <c r="D134" s="184" t="s">
        <v>5153</v>
      </c>
      <c r="E134" s="184" t="s">
        <v>6976</v>
      </c>
      <c r="F134" s="184" t="s">
        <v>5078</v>
      </c>
      <c r="G134" s="235" t="s">
        <v>6975</v>
      </c>
      <c r="H134" s="509">
        <v>25026</v>
      </c>
      <c r="I134" s="194">
        <v>0</v>
      </c>
      <c r="J134" s="194">
        <v>87810</v>
      </c>
      <c r="K134" s="185">
        <v>0.6</v>
      </c>
      <c r="L134" s="183" t="s">
        <v>6622</v>
      </c>
      <c r="M134" s="184" t="s">
        <v>5765</v>
      </c>
      <c r="N134" s="184" t="s">
        <v>5765</v>
      </c>
      <c r="O134" s="233"/>
    </row>
    <row r="135" spans="1:15" s="182" customFormat="1" ht="33.75" customHeight="1" x14ac:dyDescent="0.15">
      <c r="A135" s="151" t="s">
        <v>7065</v>
      </c>
      <c r="B135" s="849" t="s">
        <v>7073</v>
      </c>
      <c r="C135" s="399" t="s">
        <v>3414</v>
      </c>
      <c r="D135" s="399" t="s">
        <v>3360</v>
      </c>
      <c r="E135" s="399" t="s">
        <v>5966</v>
      </c>
      <c r="F135" s="224" t="s">
        <v>3328</v>
      </c>
      <c r="G135" s="235" t="s">
        <v>3611</v>
      </c>
      <c r="H135" s="509">
        <v>22084</v>
      </c>
      <c r="I135" s="194">
        <v>0</v>
      </c>
      <c r="J135" s="194">
        <v>8964</v>
      </c>
      <c r="K135" s="185">
        <v>0.03</v>
      </c>
      <c r="L135" s="183" t="s">
        <v>7074</v>
      </c>
      <c r="M135" s="184" t="s">
        <v>5771</v>
      </c>
      <c r="N135" s="184" t="s">
        <v>5771</v>
      </c>
      <c r="O135" s="233"/>
    </row>
    <row r="136" spans="1:15" s="182" customFormat="1" ht="21.95" customHeight="1" x14ac:dyDescent="0.15">
      <c r="A136" s="151" t="s">
        <v>7066</v>
      </c>
      <c r="B136" s="20" t="s">
        <v>6840</v>
      </c>
      <c r="C136" s="184" t="s">
        <v>4941</v>
      </c>
      <c r="D136" s="184" t="s">
        <v>4942</v>
      </c>
      <c r="E136" s="184" t="s">
        <v>7075</v>
      </c>
      <c r="F136" s="184" t="s">
        <v>4944</v>
      </c>
      <c r="G136" s="235" t="s">
        <v>4985</v>
      </c>
      <c r="H136" s="509">
        <v>24043</v>
      </c>
      <c r="I136" s="194">
        <v>0</v>
      </c>
      <c r="J136" s="194">
        <v>231600</v>
      </c>
      <c r="K136" s="185">
        <v>0.6</v>
      </c>
      <c r="L136" s="183" t="s">
        <v>7079</v>
      </c>
      <c r="M136" s="184" t="s">
        <v>5255</v>
      </c>
      <c r="N136" s="184" t="s">
        <v>5255</v>
      </c>
      <c r="O136" s="233"/>
    </row>
    <row r="137" spans="1:15" s="182" customFormat="1" ht="21.95" customHeight="1" x14ac:dyDescent="0.15">
      <c r="A137" s="151" t="s">
        <v>7066</v>
      </c>
      <c r="B137" s="20" t="s">
        <v>6840</v>
      </c>
      <c r="C137" s="184" t="s">
        <v>4941</v>
      </c>
      <c r="D137" s="184" t="s">
        <v>4942</v>
      </c>
      <c r="E137" s="184" t="s">
        <v>7076</v>
      </c>
      <c r="F137" s="184" t="s">
        <v>4944</v>
      </c>
      <c r="G137" s="235" t="s">
        <v>7077</v>
      </c>
      <c r="H137" s="509">
        <v>24053</v>
      </c>
      <c r="I137" s="194">
        <v>0</v>
      </c>
      <c r="J137" s="194">
        <v>441000</v>
      </c>
      <c r="K137" s="185">
        <v>0.9</v>
      </c>
      <c r="L137" s="183" t="s">
        <v>7080</v>
      </c>
      <c r="M137" s="184" t="s">
        <v>5255</v>
      </c>
      <c r="N137" s="184" t="s">
        <v>5255</v>
      </c>
      <c r="O137" s="233"/>
    </row>
    <row r="138" spans="1:15" s="182" customFormat="1" ht="21.95" customHeight="1" x14ac:dyDescent="0.15">
      <c r="A138" s="151" t="s">
        <v>7066</v>
      </c>
      <c r="B138" s="20" t="s">
        <v>6840</v>
      </c>
      <c r="C138" s="184" t="s">
        <v>4941</v>
      </c>
      <c r="D138" s="184" t="s">
        <v>4942</v>
      </c>
      <c r="E138" s="184" t="s">
        <v>7078</v>
      </c>
      <c r="F138" s="184" t="s">
        <v>4944</v>
      </c>
      <c r="G138" s="235" t="s">
        <v>3345</v>
      </c>
      <c r="H138" s="509">
        <v>24060</v>
      </c>
      <c r="I138" s="194">
        <v>0</v>
      </c>
      <c r="J138" s="194">
        <v>417600</v>
      </c>
      <c r="K138" s="185">
        <v>0.9</v>
      </c>
      <c r="L138" s="183" t="s">
        <v>7080</v>
      </c>
      <c r="M138" s="184" t="s">
        <v>5255</v>
      </c>
      <c r="N138" s="184" t="s">
        <v>5255</v>
      </c>
      <c r="O138" s="233"/>
    </row>
    <row r="139" spans="1:15" s="182" customFormat="1" ht="21.95" customHeight="1" x14ac:dyDescent="0.15">
      <c r="A139" s="151" t="s">
        <v>7066</v>
      </c>
      <c r="B139" s="20" t="s">
        <v>7071</v>
      </c>
      <c r="C139" s="1061" t="s">
        <v>5567</v>
      </c>
      <c r="D139" s="1061" t="s">
        <v>5760</v>
      </c>
      <c r="E139" s="1061" t="s">
        <v>5761</v>
      </c>
      <c r="F139" s="184" t="s">
        <v>3328</v>
      </c>
      <c r="G139" s="235" t="s">
        <v>5030</v>
      </c>
      <c r="H139" s="509">
        <v>25068</v>
      </c>
      <c r="I139" s="194">
        <v>0</v>
      </c>
      <c r="J139" s="194">
        <v>80000</v>
      </c>
      <c r="K139" s="185">
        <v>1</v>
      </c>
      <c r="L139" s="183" t="s">
        <v>5743</v>
      </c>
      <c r="M139" s="184" t="s">
        <v>3957</v>
      </c>
      <c r="N139" s="184" t="s">
        <v>3957</v>
      </c>
      <c r="O139" s="233"/>
    </row>
    <row r="140" spans="1:15" s="182" customFormat="1" ht="21.95" customHeight="1" x14ac:dyDescent="0.15">
      <c r="A140" s="151" t="s">
        <v>7067</v>
      </c>
      <c r="B140" s="20" t="s">
        <v>5912</v>
      </c>
      <c r="C140" s="224" t="s">
        <v>3351</v>
      </c>
      <c r="D140" s="224" t="s">
        <v>3352</v>
      </c>
      <c r="E140" s="394" t="s">
        <v>2787</v>
      </c>
      <c r="F140" s="403" t="s">
        <v>3328</v>
      </c>
      <c r="G140" s="239" t="s">
        <v>3349</v>
      </c>
      <c r="H140" s="509">
        <v>23101</v>
      </c>
      <c r="I140" s="194">
        <v>0</v>
      </c>
      <c r="J140" s="194">
        <v>35000</v>
      </c>
      <c r="K140" s="185">
        <v>0.5</v>
      </c>
      <c r="L140" s="183" t="s">
        <v>5743</v>
      </c>
      <c r="M140" s="184" t="s">
        <v>5255</v>
      </c>
      <c r="N140" s="184" t="s">
        <v>5255</v>
      </c>
      <c r="O140" s="233"/>
    </row>
    <row r="141" spans="1:15" s="182" customFormat="1" ht="21.95" customHeight="1" x14ac:dyDescent="0.15">
      <c r="A141" s="151" t="s">
        <v>7067</v>
      </c>
      <c r="B141" s="20" t="s">
        <v>5912</v>
      </c>
      <c r="C141" s="224" t="s">
        <v>3351</v>
      </c>
      <c r="D141" s="224" t="s">
        <v>3352</v>
      </c>
      <c r="E141" s="394" t="s">
        <v>2787</v>
      </c>
      <c r="F141" s="403" t="s">
        <v>3328</v>
      </c>
      <c r="G141" s="239" t="s">
        <v>3349</v>
      </c>
      <c r="H141" s="509">
        <v>23101</v>
      </c>
      <c r="I141" s="194">
        <v>0</v>
      </c>
      <c r="J141" s="194">
        <v>35000</v>
      </c>
      <c r="K141" s="185">
        <v>0.5</v>
      </c>
      <c r="L141" s="183" t="s">
        <v>5743</v>
      </c>
      <c r="M141" s="184" t="s">
        <v>5255</v>
      </c>
      <c r="N141" s="184" t="s">
        <v>5255</v>
      </c>
      <c r="O141" s="233"/>
    </row>
    <row r="142" spans="1:15" s="182" customFormat="1" ht="21.95" customHeight="1" x14ac:dyDescent="0.15">
      <c r="A142" s="151" t="s">
        <v>7067</v>
      </c>
      <c r="B142" s="20" t="s">
        <v>6291</v>
      </c>
      <c r="C142" s="1061" t="s">
        <v>3371</v>
      </c>
      <c r="D142" s="184" t="s">
        <v>6294</v>
      </c>
      <c r="E142" s="1061" t="s">
        <v>4986</v>
      </c>
      <c r="F142" s="184" t="s">
        <v>4944</v>
      </c>
      <c r="G142" s="235" t="s">
        <v>5030</v>
      </c>
      <c r="H142" s="509">
        <v>24134</v>
      </c>
      <c r="I142" s="194">
        <v>0</v>
      </c>
      <c r="J142" s="194">
        <v>16666.669999999998</v>
      </c>
      <c r="K142" s="185">
        <v>1</v>
      </c>
      <c r="L142" s="183" t="s">
        <v>5743</v>
      </c>
      <c r="M142" s="184" t="s">
        <v>6038</v>
      </c>
      <c r="N142" s="184" t="s">
        <v>6038</v>
      </c>
      <c r="O142" s="233"/>
    </row>
    <row r="143" spans="1:15" s="182" customFormat="1" ht="21.95" customHeight="1" x14ac:dyDescent="0.15">
      <c r="A143" s="151" t="s">
        <v>7068</v>
      </c>
      <c r="B143" s="20" t="s">
        <v>6840</v>
      </c>
      <c r="C143" s="184" t="s">
        <v>4941</v>
      </c>
      <c r="D143" s="184" t="s">
        <v>4942</v>
      </c>
      <c r="E143" s="184" t="s">
        <v>6415</v>
      </c>
      <c r="F143" s="184" t="s">
        <v>3328</v>
      </c>
      <c r="G143" s="235" t="s">
        <v>3329</v>
      </c>
      <c r="H143" s="509" t="s">
        <v>6460</v>
      </c>
      <c r="I143" s="194">
        <v>0</v>
      </c>
      <c r="J143" s="194">
        <v>10177.75</v>
      </c>
      <c r="K143" s="222">
        <v>3.1955259026687596E-2</v>
      </c>
      <c r="L143" s="183" t="s">
        <v>806</v>
      </c>
      <c r="M143" s="184" t="s">
        <v>5255</v>
      </c>
      <c r="N143" s="184" t="s">
        <v>5255</v>
      </c>
      <c r="O143" s="233"/>
    </row>
    <row r="144" spans="1:15" s="182" customFormat="1" ht="21.95" customHeight="1" x14ac:dyDescent="0.15">
      <c r="A144" s="151" t="s">
        <v>7068</v>
      </c>
      <c r="B144" s="20" t="s">
        <v>6840</v>
      </c>
      <c r="C144" s="184" t="s">
        <v>4941</v>
      </c>
      <c r="D144" s="184" t="s">
        <v>4942</v>
      </c>
      <c r="E144" s="184" t="s">
        <v>6417</v>
      </c>
      <c r="F144" s="184" t="s">
        <v>5078</v>
      </c>
      <c r="G144" s="235" t="s">
        <v>3329</v>
      </c>
      <c r="H144" s="509" t="s">
        <v>6461</v>
      </c>
      <c r="I144" s="194">
        <v>0</v>
      </c>
      <c r="J144" s="194">
        <v>10993.5</v>
      </c>
      <c r="K144" s="222">
        <v>3.15E-2</v>
      </c>
      <c r="L144" s="183" t="s">
        <v>806</v>
      </c>
      <c r="M144" s="184" t="s">
        <v>5255</v>
      </c>
      <c r="N144" s="184" t="s">
        <v>5255</v>
      </c>
      <c r="O144" s="233"/>
    </row>
    <row r="145" spans="1:15" s="182" customFormat="1" ht="21.95" customHeight="1" x14ac:dyDescent="0.15">
      <c r="A145" s="151" t="s">
        <v>7068</v>
      </c>
      <c r="B145" s="20" t="s">
        <v>6840</v>
      </c>
      <c r="C145" s="184" t="s">
        <v>4941</v>
      </c>
      <c r="D145" s="184" t="s">
        <v>4942</v>
      </c>
      <c r="E145" s="184" t="s">
        <v>6418</v>
      </c>
      <c r="F145" s="184" t="s">
        <v>5078</v>
      </c>
      <c r="G145" s="235" t="s">
        <v>5090</v>
      </c>
      <c r="H145" s="509" t="s">
        <v>6462</v>
      </c>
      <c r="I145" s="194">
        <v>0</v>
      </c>
      <c r="J145" s="194">
        <v>11277</v>
      </c>
      <c r="K145" s="222">
        <v>3.15E-2</v>
      </c>
      <c r="L145" s="183" t="s">
        <v>806</v>
      </c>
      <c r="M145" s="184" t="s">
        <v>5255</v>
      </c>
      <c r="N145" s="184" t="s">
        <v>5255</v>
      </c>
      <c r="O145" s="233"/>
    </row>
    <row r="146" spans="1:15" s="182" customFormat="1" ht="21.95" customHeight="1" x14ac:dyDescent="0.15">
      <c r="A146" s="151" t="s">
        <v>7068</v>
      </c>
      <c r="B146" s="20" t="s">
        <v>6840</v>
      </c>
      <c r="C146" s="184" t="s">
        <v>4941</v>
      </c>
      <c r="D146" s="184" t="s">
        <v>4942</v>
      </c>
      <c r="E146" s="184" t="s">
        <v>6420</v>
      </c>
      <c r="F146" s="184" t="s">
        <v>5078</v>
      </c>
      <c r="G146" s="235" t="s">
        <v>5090</v>
      </c>
      <c r="H146" s="509" t="s">
        <v>6463</v>
      </c>
      <c r="I146" s="194">
        <v>0</v>
      </c>
      <c r="J146" s="194">
        <v>11277</v>
      </c>
      <c r="K146" s="222">
        <v>3.15E-2</v>
      </c>
      <c r="L146" s="183" t="s">
        <v>806</v>
      </c>
      <c r="M146" s="184" t="s">
        <v>5255</v>
      </c>
      <c r="N146" s="184" t="s">
        <v>5255</v>
      </c>
      <c r="O146" s="233"/>
    </row>
    <row r="147" spans="1:15" s="182" customFormat="1" ht="21.95" customHeight="1" x14ac:dyDescent="0.15">
      <c r="A147" s="151" t="s">
        <v>7068</v>
      </c>
      <c r="B147" s="20" t="s">
        <v>6840</v>
      </c>
      <c r="C147" s="184" t="s">
        <v>4941</v>
      </c>
      <c r="D147" s="184" t="s">
        <v>4942</v>
      </c>
      <c r="E147" s="184" t="s">
        <v>6421</v>
      </c>
      <c r="F147" s="184" t="s">
        <v>5078</v>
      </c>
      <c r="G147" s="235" t="s">
        <v>3375</v>
      </c>
      <c r="H147" s="509" t="s">
        <v>6464</v>
      </c>
      <c r="I147" s="194">
        <v>0</v>
      </c>
      <c r="J147" s="194">
        <v>14253.75</v>
      </c>
      <c r="K147" s="222">
        <v>3.15E-2</v>
      </c>
      <c r="L147" s="183" t="s">
        <v>806</v>
      </c>
      <c r="M147" s="184" t="s">
        <v>5255</v>
      </c>
      <c r="N147" s="184" t="s">
        <v>5255</v>
      </c>
      <c r="O147" s="233"/>
    </row>
    <row r="148" spans="1:15" s="182" customFormat="1" ht="21.95" customHeight="1" x14ac:dyDescent="0.15">
      <c r="A148" s="151" t="s">
        <v>7068</v>
      </c>
      <c r="B148" s="20" t="s">
        <v>6840</v>
      </c>
      <c r="C148" s="184" t="s">
        <v>4941</v>
      </c>
      <c r="D148" s="184" t="s">
        <v>4942</v>
      </c>
      <c r="E148" s="184" t="s">
        <v>6423</v>
      </c>
      <c r="F148" s="184" t="s">
        <v>5078</v>
      </c>
      <c r="G148" s="235" t="s">
        <v>3329</v>
      </c>
      <c r="H148" s="509" t="s">
        <v>6465</v>
      </c>
      <c r="I148" s="194">
        <v>0</v>
      </c>
      <c r="J148" s="194">
        <v>10977.75</v>
      </c>
      <c r="K148" s="222">
        <v>3.15E-2</v>
      </c>
      <c r="L148" s="183" t="s">
        <v>806</v>
      </c>
      <c r="M148" s="184" t="s">
        <v>5255</v>
      </c>
      <c r="N148" s="184" t="s">
        <v>5255</v>
      </c>
      <c r="O148" s="233"/>
    </row>
    <row r="149" spans="1:15" s="182" customFormat="1" ht="21.95" customHeight="1" x14ac:dyDescent="0.15">
      <c r="A149" s="151" t="s">
        <v>7068</v>
      </c>
      <c r="B149" s="20" t="s">
        <v>6840</v>
      </c>
      <c r="C149" s="184" t="s">
        <v>4941</v>
      </c>
      <c r="D149" s="184" t="s">
        <v>4942</v>
      </c>
      <c r="E149" s="184" t="s">
        <v>6424</v>
      </c>
      <c r="F149" s="184" t="s">
        <v>5078</v>
      </c>
      <c r="G149" s="235" t="s">
        <v>3329</v>
      </c>
      <c r="H149" s="509" t="s">
        <v>6466</v>
      </c>
      <c r="I149" s="194">
        <v>0</v>
      </c>
      <c r="J149" s="194">
        <v>9087.75</v>
      </c>
      <c r="K149" s="222">
        <v>3.15E-2</v>
      </c>
      <c r="L149" s="183" t="s">
        <v>806</v>
      </c>
      <c r="M149" s="184" t="s">
        <v>5255</v>
      </c>
      <c r="N149" s="184" t="s">
        <v>5255</v>
      </c>
      <c r="O149" s="233"/>
    </row>
    <row r="150" spans="1:15" s="182" customFormat="1" ht="21.95" customHeight="1" x14ac:dyDescent="0.15">
      <c r="A150" s="151" t="s">
        <v>7068</v>
      </c>
      <c r="B150" s="20" t="s">
        <v>6840</v>
      </c>
      <c r="C150" s="184" t="s">
        <v>4941</v>
      </c>
      <c r="D150" s="184" t="s">
        <v>4942</v>
      </c>
      <c r="E150" s="184" t="s">
        <v>6425</v>
      </c>
      <c r="F150" s="184" t="s">
        <v>5078</v>
      </c>
      <c r="G150" s="235" t="s">
        <v>3329</v>
      </c>
      <c r="H150" s="509" t="s">
        <v>6467</v>
      </c>
      <c r="I150" s="194">
        <v>0</v>
      </c>
      <c r="J150" s="194">
        <v>10662.75</v>
      </c>
      <c r="K150" s="222">
        <v>3.15E-2</v>
      </c>
      <c r="L150" s="183" t="s">
        <v>806</v>
      </c>
      <c r="M150" s="184" t="s">
        <v>5255</v>
      </c>
      <c r="N150" s="184" t="s">
        <v>5255</v>
      </c>
      <c r="O150" s="233"/>
    </row>
    <row r="151" spans="1:15" s="182" customFormat="1" ht="21.95" customHeight="1" x14ac:dyDescent="0.15">
      <c r="A151" s="151" t="s">
        <v>7068</v>
      </c>
      <c r="B151" s="20" t="s">
        <v>6840</v>
      </c>
      <c r="C151" s="184" t="s">
        <v>4941</v>
      </c>
      <c r="D151" s="184" t="s">
        <v>4942</v>
      </c>
      <c r="E151" s="184" t="s">
        <v>6426</v>
      </c>
      <c r="F151" s="184" t="s">
        <v>5078</v>
      </c>
      <c r="G151" s="235" t="s">
        <v>3329</v>
      </c>
      <c r="H151" s="509" t="s">
        <v>6468</v>
      </c>
      <c r="I151" s="194">
        <v>0</v>
      </c>
      <c r="J151" s="194">
        <v>11292.75</v>
      </c>
      <c r="K151" s="222">
        <v>3.15E-2</v>
      </c>
      <c r="L151" s="183" t="s">
        <v>806</v>
      </c>
      <c r="M151" s="184" t="s">
        <v>5255</v>
      </c>
      <c r="N151" s="184" t="s">
        <v>5255</v>
      </c>
      <c r="O151" s="233"/>
    </row>
    <row r="152" spans="1:15" s="182" customFormat="1" ht="21.95" customHeight="1" x14ac:dyDescent="0.15">
      <c r="A152" s="151" t="s">
        <v>7068</v>
      </c>
      <c r="B152" s="20" t="s">
        <v>5956</v>
      </c>
      <c r="C152" s="392" t="s">
        <v>3346</v>
      </c>
      <c r="D152" s="392" t="s">
        <v>3354</v>
      </c>
      <c r="E152" s="392" t="s">
        <v>4600</v>
      </c>
      <c r="F152" s="392" t="s">
        <v>3937</v>
      </c>
      <c r="G152" s="460" t="s">
        <v>5442</v>
      </c>
      <c r="H152" s="509">
        <v>18149</v>
      </c>
      <c r="I152" s="194">
        <v>0</v>
      </c>
      <c r="J152" s="194">
        <v>30619.59</v>
      </c>
      <c r="K152" s="185">
        <v>0.1</v>
      </c>
      <c r="L152" s="183" t="s">
        <v>5744</v>
      </c>
      <c r="M152" s="392" t="s">
        <v>3725</v>
      </c>
      <c r="N152" s="958" t="s">
        <v>3726</v>
      </c>
      <c r="O152" s="233"/>
    </row>
    <row r="153" spans="1:15" s="182" customFormat="1" ht="21.95" customHeight="1" x14ac:dyDescent="0.15">
      <c r="A153" s="151" t="s">
        <v>7069</v>
      </c>
      <c r="B153" s="20" t="s">
        <v>6084</v>
      </c>
      <c r="C153" s="1061" t="s">
        <v>3985</v>
      </c>
      <c r="D153" s="1061" t="s">
        <v>3572</v>
      </c>
      <c r="E153" s="1061" t="s">
        <v>7081</v>
      </c>
      <c r="F153" s="184" t="s">
        <v>5078</v>
      </c>
      <c r="G153" s="235" t="s">
        <v>3353</v>
      </c>
      <c r="H153" s="509">
        <v>25078</v>
      </c>
      <c r="I153" s="194">
        <v>0</v>
      </c>
      <c r="J153" s="194">
        <v>4000</v>
      </c>
      <c r="K153" s="185">
        <v>1</v>
      </c>
      <c r="L153" s="183" t="s">
        <v>806</v>
      </c>
      <c r="M153" s="184" t="s">
        <v>5765</v>
      </c>
      <c r="N153" s="184" t="s">
        <v>5765</v>
      </c>
      <c r="O153" s="233"/>
    </row>
    <row r="154" spans="1:15" s="182" customFormat="1" ht="21.95" customHeight="1" x14ac:dyDescent="0.15">
      <c r="A154" s="151" t="s">
        <v>7070</v>
      </c>
      <c r="B154" s="20" t="s">
        <v>6794</v>
      </c>
      <c r="C154" s="399" t="s">
        <v>4941</v>
      </c>
      <c r="D154" s="399" t="s">
        <v>4942</v>
      </c>
      <c r="E154" s="399" t="s">
        <v>5657</v>
      </c>
      <c r="F154" s="184" t="s">
        <v>5078</v>
      </c>
      <c r="G154" s="239" t="s">
        <v>3566</v>
      </c>
      <c r="H154" s="509">
        <v>23131</v>
      </c>
      <c r="I154" s="194">
        <v>0</v>
      </c>
      <c r="J154" s="194">
        <v>27200</v>
      </c>
      <c r="K154" s="185" t="s">
        <v>7082</v>
      </c>
      <c r="L154" s="183" t="s">
        <v>5743</v>
      </c>
      <c r="M154" s="184" t="s">
        <v>5255</v>
      </c>
      <c r="N154" s="184" t="s">
        <v>5255</v>
      </c>
      <c r="O154" s="233"/>
    </row>
    <row r="155" spans="1:15" s="182" customFormat="1" ht="21.95" customHeight="1" x14ac:dyDescent="0.15">
      <c r="A155" s="151" t="s">
        <v>7070</v>
      </c>
      <c r="B155" s="20" t="s">
        <v>7072</v>
      </c>
      <c r="C155" s="399" t="s">
        <v>4941</v>
      </c>
      <c r="D155" s="399" t="s">
        <v>4942</v>
      </c>
      <c r="E155" s="399" t="s">
        <v>6576</v>
      </c>
      <c r="F155" s="224" t="s">
        <v>3328</v>
      </c>
      <c r="G155" s="239" t="s">
        <v>3566</v>
      </c>
      <c r="H155" s="509">
        <v>23129</v>
      </c>
      <c r="I155" s="194">
        <v>0</v>
      </c>
      <c r="J155" s="194">
        <v>27200</v>
      </c>
      <c r="K155" s="185" t="s">
        <v>7082</v>
      </c>
      <c r="L155" s="183" t="s">
        <v>5743</v>
      </c>
      <c r="M155" s="184" t="s">
        <v>5255</v>
      </c>
      <c r="N155" s="184" t="s">
        <v>5255</v>
      </c>
      <c r="O155" s="233"/>
    </row>
    <row r="156" spans="1:15" s="182" customFormat="1" ht="21.95" customHeight="1" x14ac:dyDescent="0.15">
      <c r="A156" s="151" t="s">
        <v>7083</v>
      </c>
      <c r="B156" s="20" t="s">
        <v>7084</v>
      </c>
      <c r="C156" s="184" t="s">
        <v>4941</v>
      </c>
      <c r="D156" s="184" t="s">
        <v>4942</v>
      </c>
      <c r="E156" s="184" t="s">
        <v>6503</v>
      </c>
      <c r="F156" s="184" t="s">
        <v>5078</v>
      </c>
      <c r="G156" s="235" t="s">
        <v>6669</v>
      </c>
      <c r="H156" s="509" t="s">
        <v>7085</v>
      </c>
      <c r="I156" s="194">
        <v>0</v>
      </c>
      <c r="J156" s="194">
        <v>47500</v>
      </c>
      <c r="K156" s="185">
        <v>0.95</v>
      </c>
      <c r="L156" s="183" t="s">
        <v>6315</v>
      </c>
      <c r="M156" s="184" t="s">
        <v>5255</v>
      </c>
      <c r="N156" s="184" t="s">
        <v>5255</v>
      </c>
      <c r="O156" s="233"/>
    </row>
    <row r="157" spans="1:15" s="182" customFormat="1" ht="21.95" customHeight="1" x14ac:dyDescent="0.15">
      <c r="A157" s="151" t="s">
        <v>7083</v>
      </c>
      <c r="B157" s="20" t="s">
        <v>7084</v>
      </c>
      <c r="C157" s="184" t="s">
        <v>4941</v>
      </c>
      <c r="D157" s="184" t="s">
        <v>4942</v>
      </c>
      <c r="E157" s="184" t="s">
        <v>6505</v>
      </c>
      <c r="F157" s="184" t="s">
        <v>5078</v>
      </c>
      <c r="G157" s="235" t="s">
        <v>6669</v>
      </c>
      <c r="H157" s="509" t="s">
        <v>7086</v>
      </c>
      <c r="I157" s="194">
        <v>0</v>
      </c>
      <c r="J157" s="194">
        <v>47500</v>
      </c>
      <c r="K157" s="185">
        <v>0.95</v>
      </c>
      <c r="L157" s="183" t="s">
        <v>6315</v>
      </c>
      <c r="M157" s="184" t="s">
        <v>5255</v>
      </c>
      <c r="N157" s="184" t="s">
        <v>5255</v>
      </c>
      <c r="O157" s="233"/>
    </row>
    <row r="158" spans="1:15" s="182" customFormat="1" ht="21.95" customHeight="1" x14ac:dyDescent="0.15">
      <c r="A158" s="151" t="s">
        <v>7083</v>
      </c>
      <c r="B158" s="20" t="s">
        <v>7084</v>
      </c>
      <c r="C158" s="184" t="s">
        <v>4941</v>
      </c>
      <c r="D158" s="184" t="s">
        <v>4942</v>
      </c>
      <c r="E158" s="184" t="s">
        <v>6506</v>
      </c>
      <c r="F158" s="184" t="s">
        <v>5078</v>
      </c>
      <c r="G158" s="235" t="s">
        <v>6669</v>
      </c>
      <c r="H158" s="509" t="s">
        <v>7087</v>
      </c>
      <c r="I158" s="194">
        <v>0</v>
      </c>
      <c r="J158" s="194">
        <v>47500</v>
      </c>
      <c r="K158" s="185">
        <v>0.95</v>
      </c>
      <c r="L158" s="183" t="s">
        <v>6315</v>
      </c>
      <c r="M158" s="184" t="s">
        <v>5255</v>
      </c>
      <c r="N158" s="184" t="s">
        <v>5255</v>
      </c>
      <c r="O158" s="233"/>
    </row>
    <row r="159" spans="1:15" s="182" customFormat="1" ht="21.95" customHeight="1" x14ac:dyDescent="0.15">
      <c r="A159" s="151" t="s">
        <v>7083</v>
      </c>
      <c r="B159" s="20" t="s">
        <v>7084</v>
      </c>
      <c r="C159" s="184" t="s">
        <v>4941</v>
      </c>
      <c r="D159" s="184" t="s">
        <v>4942</v>
      </c>
      <c r="E159" s="184" t="s">
        <v>6503</v>
      </c>
      <c r="F159" s="184" t="s">
        <v>5078</v>
      </c>
      <c r="G159" s="235" t="s">
        <v>6669</v>
      </c>
      <c r="H159" s="509" t="s">
        <v>7085</v>
      </c>
      <c r="I159" s="194">
        <v>0</v>
      </c>
      <c r="J159" s="194">
        <v>2500</v>
      </c>
      <c r="K159" s="185">
        <v>0.05</v>
      </c>
      <c r="L159" s="183" t="s">
        <v>5744</v>
      </c>
      <c r="M159" s="184" t="s">
        <v>5255</v>
      </c>
      <c r="N159" s="184" t="s">
        <v>5255</v>
      </c>
      <c r="O159" s="233"/>
    </row>
    <row r="160" spans="1:15" s="182" customFormat="1" ht="21.95" customHeight="1" x14ac:dyDescent="0.15">
      <c r="A160" s="151" t="s">
        <v>7083</v>
      </c>
      <c r="B160" s="20" t="s">
        <v>7084</v>
      </c>
      <c r="C160" s="184" t="s">
        <v>4941</v>
      </c>
      <c r="D160" s="184" t="s">
        <v>4942</v>
      </c>
      <c r="E160" s="184" t="s">
        <v>6505</v>
      </c>
      <c r="F160" s="184" t="s">
        <v>5078</v>
      </c>
      <c r="G160" s="235" t="s">
        <v>6669</v>
      </c>
      <c r="H160" s="509" t="s">
        <v>7086</v>
      </c>
      <c r="I160" s="194">
        <v>0</v>
      </c>
      <c r="J160" s="194">
        <v>2500</v>
      </c>
      <c r="K160" s="185">
        <v>0.05</v>
      </c>
      <c r="L160" s="183" t="s">
        <v>5744</v>
      </c>
      <c r="M160" s="184" t="s">
        <v>5255</v>
      </c>
      <c r="N160" s="184" t="s">
        <v>5255</v>
      </c>
      <c r="O160" s="233"/>
    </row>
    <row r="161" spans="1:15" s="182" customFormat="1" ht="21.95" customHeight="1" x14ac:dyDescent="0.15">
      <c r="A161" s="151" t="s">
        <v>7083</v>
      </c>
      <c r="B161" s="20" t="s">
        <v>7084</v>
      </c>
      <c r="C161" s="184" t="s">
        <v>4941</v>
      </c>
      <c r="D161" s="184" t="s">
        <v>4942</v>
      </c>
      <c r="E161" s="184" t="s">
        <v>6506</v>
      </c>
      <c r="F161" s="184" t="s">
        <v>5078</v>
      </c>
      <c r="G161" s="235" t="s">
        <v>6669</v>
      </c>
      <c r="H161" s="509" t="s">
        <v>7087</v>
      </c>
      <c r="I161" s="194">
        <v>0</v>
      </c>
      <c r="J161" s="194">
        <v>2500</v>
      </c>
      <c r="K161" s="185">
        <v>0.05</v>
      </c>
      <c r="L161" s="183" t="s">
        <v>5744</v>
      </c>
      <c r="M161" s="184" t="s">
        <v>5255</v>
      </c>
      <c r="N161" s="184" t="s">
        <v>5255</v>
      </c>
      <c r="O161" s="233"/>
    </row>
    <row r="162" spans="1:15" s="182" customFormat="1" ht="21.95" customHeight="1" x14ac:dyDescent="0.15">
      <c r="A162" s="151" t="s">
        <v>7654</v>
      </c>
      <c r="B162" s="20" t="s">
        <v>7446</v>
      </c>
      <c r="C162" s="224" t="s">
        <v>3351</v>
      </c>
      <c r="D162" s="224" t="s">
        <v>3352</v>
      </c>
      <c r="E162" s="394" t="s">
        <v>3643</v>
      </c>
      <c r="F162" s="403" t="s">
        <v>3340</v>
      </c>
      <c r="G162" s="235" t="s">
        <v>6314</v>
      </c>
      <c r="H162" s="509">
        <v>23036</v>
      </c>
      <c r="I162" s="194">
        <v>0</v>
      </c>
      <c r="J162" s="194">
        <v>6475</v>
      </c>
      <c r="K162" s="185">
        <v>0.05</v>
      </c>
      <c r="L162" s="183" t="s">
        <v>5744</v>
      </c>
      <c r="M162" s="184" t="s">
        <v>5255</v>
      </c>
      <c r="N162" s="184" t="s">
        <v>5255</v>
      </c>
      <c r="O162" s="233"/>
    </row>
    <row r="163" spans="1:15" s="182" customFormat="1" ht="21.95" customHeight="1" x14ac:dyDescent="0.15">
      <c r="A163" s="151" t="s">
        <v>7088</v>
      </c>
      <c r="B163" s="20" t="s">
        <v>679</v>
      </c>
      <c r="C163" s="1062" t="s">
        <v>3346</v>
      </c>
      <c r="D163" s="236" t="s">
        <v>3354</v>
      </c>
      <c r="E163" s="30" t="s">
        <v>921</v>
      </c>
      <c r="F163" s="184" t="s">
        <v>3328</v>
      </c>
      <c r="G163" s="235" t="s">
        <v>6951</v>
      </c>
      <c r="H163" s="509" t="s">
        <v>7089</v>
      </c>
      <c r="I163" s="194">
        <v>0</v>
      </c>
      <c r="J163" s="194">
        <v>68750</v>
      </c>
      <c r="K163" s="185" t="s">
        <v>4960</v>
      </c>
      <c r="L163" s="183" t="s">
        <v>4706</v>
      </c>
      <c r="M163" s="184" t="s">
        <v>6106</v>
      </c>
      <c r="N163" s="184" t="s">
        <v>5255</v>
      </c>
      <c r="O163" s="233"/>
    </row>
    <row r="164" spans="1:15" s="182" customFormat="1" ht="21.95" customHeight="1" x14ac:dyDescent="0.15">
      <c r="A164" s="151" t="s">
        <v>7088</v>
      </c>
      <c r="B164" s="20" t="s">
        <v>679</v>
      </c>
      <c r="C164" s="1062" t="s">
        <v>3346</v>
      </c>
      <c r="D164" s="236" t="s">
        <v>3354</v>
      </c>
      <c r="E164" s="30" t="s">
        <v>925</v>
      </c>
      <c r="F164" s="184" t="s">
        <v>3328</v>
      </c>
      <c r="G164" s="235" t="s">
        <v>6951</v>
      </c>
      <c r="H164" s="509" t="s">
        <v>7090</v>
      </c>
      <c r="I164" s="194">
        <v>0</v>
      </c>
      <c r="J164" s="194">
        <v>68750</v>
      </c>
      <c r="K164" s="185" t="s">
        <v>4960</v>
      </c>
      <c r="L164" s="183" t="s">
        <v>4706</v>
      </c>
      <c r="M164" s="184" t="s">
        <v>6106</v>
      </c>
      <c r="N164" s="184" t="s">
        <v>5255</v>
      </c>
      <c r="O164" s="233"/>
    </row>
    <row r="165" spans="1:15" s="182" customFormat="1" ht="21.95" customHeight="1" x14ac:dyDescent="0.15">
      <c r="A165" s="151" t="s">
        <v>7091</v>
      </c>
      <c r="B165" s="20" t="s">
        <v>6302</v>
      </c>
      <c r="C165" s="224" t="s">
        <v>3351</v>
      </c>
      <c r="D165" s="224" t="s">
        <v>3352</v>
      </c>
      <c r="E165" s="394" t="s">
        <v>2794</v>
      </c>
      <c r="F165" s="403" t="s">
        <v>3340</v>
      </c>
      <c r="G165" s="235" t="s">
        <v>6314</v>
      </c>
      <c r="H165" s="509">
        <v>23037</v>
      </c>
      <c r="I165" s="194">
        <v>0</v>
      </c>
      <c r="J165" s="194">
        <v>6475</v>
      </c>
      <c r="K165" s="185">
        <v>0.05</v>
      </c>
      <c r="L165" s="183" t="s">
        <v>5744</v>
      </c>
      <c r="M165" s="184" t="s">
        <v>5255</v>
      </c>
      <c r="N165" s="184" t="s">
        <v>5255</v>
      </c>
      <c r="O165" s="233"/>
    </row>
    <row r="166" spans="1:15" s="182" customFormat="1" ht="21.95" customHeight="1" x14ac:dyDescent="0.15">
      <c r="A166" s="151" t="s">
        <v>7091</v>
      </c>
      <c r="B166" s="20" t="s">
        <v>7092</v>
      </c>
      <c r="C166" s="184" t="s">
        <v>4963</v>
      </c>
      <c r="D166" s="184" t="s">
        <v>5153</v>
      </c>
      <c r="E166" s="184" t="s">
        <v>6978</v>
      </c>
      <c r="F166" s="184" t="s">
        <v>5078</v>
      </c>
      <c r="G166" s="235" t="s">
        <v>6975</v>
      </c>
      <c r="H166" s="509">
        <v>25031</v>
      </c>
      <c r="I166" s="194">
        <v>0</v>
      </c>
      <c r="J166" s="194">
        <v>158964</v>
      </c>
      <c r="K166" s="185">
        <v>0.6</v>
      </c>
      <c r="L166" s="183" t="s">
        <v>6622</v>
      </c>
      <c r="M166" s="184" t="s">
        <v>5765</v>
      </c>
      <c r="N166" s="184" t="s">
        <v>5765</v>
      </c>
      <c r="O166" s="233"/>
    </row>
    <row r="167" spans="1:15" s="182" customFormat="1" ht="21.95" customHeight="1" x14ac:dyDescent="0.15">
      <c r="A167" s="151" t="s">
        <v>7091</v>
      </c>
      <c r="B167" s="20" t="s">
        <v>7093</v>
      </c>
      <c r="C167" s="184" t="s">
        <v>4941</v>
      </c>
      <c r="D167" s="184" t="s">
        <v>5999</v>
      </c>
      <c r="E167" s="945" t="s">
        <v>7094</v>
      </c>
      <c r="F167" s="418" t="s">
        <v>3328</v>
      </c>
      <c r="G167" s="239" t="s">
        <v>5240</v>
      </c>
      <c r="H167" s="509">
        <v>22033</v>
      </c>
      <c r="I167" s="194">
        <v>0</v>
      </c>
      <c r="J167" s="194">
        <v>1500</v>
      </c>
      <c r="K167" s="185">
        <v>0.05</v>
      </c>
      <c r="L167" s="183" t="s">
        <v>5744</v>
      </c>
      <c r="M167" s="184" t="s">
        <v>5255</v>
      </c>
      <c r="N167" s="184" t="s">
        <v>5255</v>
      </c>
      <c r="O167" s="233"/>
    </row>
    <row r="168" spans="1:15" s="182" customFormat="1" ht="21.95" customHeight="1" x14ac:dyDescent="0.15">
      <c r="A168" s="151" t="s">
        <v>7095</v>
      </c>
      <c r="B168" s="20" t="s">
        <v>5808</v>
      </c>
      <c r="C168" s="1064" t="s">
        <v>3368</v>
      </c>
      <c r="D168" s="1064" t="s">
        <v>3369</v>
      </c>
      <c r="E168" s="1064" t="s">
        <v>3466</v>
      </c>
      <c r="F168" s="184" t="s">
        <v>5078</v>
      </c>
      <c r="G168" s="235" t="s">
        <v>5030</v>
      </c>
      <c r="H168" s="509">
        <v>24026</v>
      </c>
      <c r="I168" s="194">
        <v>0</v>
      </c>
      <c r="J168" s="194">
        <v>76160</v>
      </c>
      <c r="K168" s="222">
        <v>0.95199999999999996</v>
      </c>
      <c r="L168" s="183" t="s">
        <v>5743</v>
      </c>
      <c r="M168" s="184" t="s">
        <v>6038</v>
      </c>
      <c r="N168" s="184" t="s">
        <v>6038</v>
      </c>
      <c r="O168" s="233"/>
    </row>
    <row r="169" spans="1:15" s="182" customFormat="1" ht="21.95" customHeight="1" x14ac:dyDescent="0.15">
      <c r="A169" s="151" t="s">
        <v>7096</v>
      </c>
      <c r="B169" s="20" t="s">
        <v>6083</v>
      </c>
      <c r="C169" s="399" t="s">
        <v>4941</v>
      </c>
      <c r="D169" s="399" t="s">
        <v>5018</v>
      </c>
      <c r="E169" s="399" t="s">
        <v>6471</v>
      </c>
      <c r="F169" s="418" t="s">
        <v>3328</v>
      </c>
      <c r="G169" s="235" t="s">
        <v>3353</v>
      </c>
      <c r="H169" s="509">
        <v>22179</v>
      </c>
      <c r="I169" s="194">
        <v>0</v>
      </c>
      <c r="J169" s="194">
        <v>11200</v>
      </c>
      <c r="K169" s="185">
        <v>0.1</v>
      </c>
      <c r="L169" s="183" t="s">
        <v>5744</v>
      </c>
      <c r="M169" s="184" t="s">
        <v>3726</v>
      </c>
      <c r="N169" s="184" t="s">
        <v>3726</v>
      </c>
      <c r="O169" s="233"/>
    </row>
    <row r="170" spans="1:15" s="182" customFormat="1" ht="21.95" customHeight="1" x14ac:dyDescent="0.15">
      <c r="A170" s="151" t="s">
        <v>7097</v>
      </c>
      <c r="B170" s="20" t="s">
        <v>5261</v>
      </c>
      <c r="C170" s="1065" t="s">
        <v>3346</v>
      </c>
      <c r="D170" s="1065" t="s">
        <v>3354</v>
      </c>
      <c r="E170" s="1065" t="s">
        <v>844</v>
      </c>
      <c r="F170" s="267" t="s">
        <v>3328</v>
      </c>
      <c r="G170" s="235" t="s">
        <v>6951</v>
      </c>
      <c r="H170" s="509" t="s">
        <v>7104</v>
      </c>
      <c r="I170" s="194">
        <v>0</v>
      </c>
      <c r="J170" s="194">
        <v>68750</v>
      </c>
      <c r="K170" s="185" t="s">
        <v>4960</v>
      </c>
      <c r="L170" s="183" t="s">
        <v>5743</v>
      </c>
      <c r="M170" s="184" t="s">
        <v>6106</v>
      </c>
      <c r="N170" s="184" t="s">
        <v>5255</v>
      </c>
      <c r="O170" s="233"/>
    </row>
    <row r="171" spans="1:15" s="182" customFormat="1" ht="21.95" customHeight="1" x14ac:dyDescent="0.15">
      <c r="A171" s="151" t="s">
        <v>7097</v>
      </c>
      <c r="B171" s="20" t="s">
        <v>5260</v>
      </c>
      <c r="C171" s="392" t="s">
        <v>3346</v>
      </c>
      <c r="D171" s="392" t="s">
        <v>3354</v>
      </c>
      <c r="E171" s="392" t="s">
        <v>3562</v>
      </c>
      <c r="F171" s="392" t="s">
        <v>3937</v>
      </c>
      <c r="G171" s="460" t="s">
        <v>5442</v>
      </c>
      <c r="H171" s="509">
        <v>18151</v>
      </c>
      <c r="I171" s="194">
        <v>0</v>
      </c>
      <c r="J171" s="194">
        <v>36778.089999999997</v>
      </c>
      <c r="K171" s="185">
        <v>0.1</v>
      </c>
      <c r="L171" s="183" t="s">
        <v>5744</v>
      </c>
      <c r="M171" s="392" t="s">
        <v>3725</v>
      </c>
      <c r="N171" s="958" t="s">
        <v>3726</v>
      </c>
      <c r="O171" s="233"/>
    </row>
    <row r="172" spans="1:15" s="182" customFormat="1" ht="21.95" customHeight="1" x14ac:dyDescent="0.15">
      <c r="A172" s="151" t="s">
        <v>7098</v>
      </c>
      <c r="B172" s="20" t="s">
        <v>5931</v>
      </c>
      <c r="C172" s="945" t="s">
        <v>3346</v>
      </c>
      <c r="D172" s="945" t="s">
        <v>3354</v>
      </c>
      <c r="E172" s="945" t="s">
        <v>5477</v>
      </c>
      <c r="F172" s="419" t="s">
        <v>3937</v>
      </c>
      <c r="G172" s="460" t="s">
        <v>5478</v>
      </c>
      <c r="H172" s="509">
        <v>18172</v>
      </c>
      <c r="I172" s="194">
        <v>0</v>
      </c>
      <c r="J172" s="194">
        <v>51839.24</v>
      </c>
      <c r="K172" s="185">
        <v>0.1</v>
      </c>
      <c r="L172" s="183" t="s">
        <v>5744</v>
      </c>
      <c r="M172" s="957" t="s">
        <v>3725</v>
      </c>
      <c r="N172" s="958" t="s">
        <v>3726</v>
      </c>
      <c r="O172" s="233"/>
    </row>
    <row r="173" spans="1:15" s="182" customFormat="1" ht="21.95" customHeight="1" x14ac:dyDescent="0.15">
      <c r="A173" s="151" t="s">
        <v>7099</v>
      </c>
      <c r="B173" s="20" t="s">
        <v>7103</v>
      </c>
      <c r="C173" s="947" t="s">
        <v>4418</v>
      </c>
      <c r="D173" s="947" t="s">
        <v>4418</v>
      </c>
      <c r="E173" s="947" t="s">
        <v>4418</v>
      </c>
      <c r="F173" s="947" t="s">
        <v>4418</v>
      </c>
      <c r="G173" s="1004" t="s">
        <v>4418</v>
      </c>
      <c r="H173" s="509">
        <v>24166</v>
      </c>
      <c r="I173" s="194">
        <v>0</v>
      </c>
      <c r="J173" s="194">
        <v>2777332.6</v>
      </c>
      <c r="K173" s="185">
        <v>0.95</v>
      </c>
      <c r="L173" s="183" t="s">
        <v>806</v>
      </c>
      <c r="M173" s="184" t="s">
        <v>662</v>
      </c>
      <c r="N173" s="184" t="s">
        <v>662</v>
      </c>
      <c r="O173" s="1063" t="s">
        <v>6808</v>
      </c>
    </row>
    <row r="174" spans="1:15" s="182" customFormat="1" ht="21.95" customHeight="1" x14ac:dyDescent="0.15">
      <c r="A174" s="151" t="s">
        <v>7100</v>
      </c>
      <c r="B174" s="20" t="s">
        <v>6181</v>
      </c>
      <c r="C174" s="184" t="s">
        <v>4982</v>
      </c>
      <c r="D174" s="184" t="s">
        <v>5721</v>
      </c>
      <c r="E174" s="184" t="s">
        <v>820</v>
      </c>
      <c r="F174" s="292" t="s">
        <v>3328</v>
      </c>
      <c r="G174" s="235" t="s">
        <v>3381</v>
      </c>
      <c r="H174" s="509">
        <v>24022</v>
      </c>
      <c r="I174" s="194">
        <v>0</v>
      </c>
      <c r="J174" s="194">
        <v>20000</v>
      </c>
      <c r="K174" s="185">
        <v>0.25</v>
      </c>
      <c r="L174" s="183" t="s">
        <v>5743</v>
      </c>
      <c r="M174" s="184" t="s">
        <v>4708</v>
      </c>
      <c r="N174" s="184" t="s">
        <v>3434</v>
      </c>
      <c r="O174" s="233"/>
    </row>
    <row r="175" spans="1:15" s="182" customFormat="1" ht="21.95" customHeight="1" x14ac:dyDescent="0.15">
      <c r="A175" s="151" t="s">
        <v>7101</v>
      </c>
      <c r="B175" s="20" t="s">
        <v>6180</v>
      </c>
      <c r="C175" s="184" t="s">
        <v>4982</v>
      </c>
      <c r="D175" s="184" t="s">
        <v>5721</v>
      </c>
      <c r="E175" s="184" t="s">
        <v>820</v>
      </c>
      <c r="F175" s="292" t="s">
        <v>3328</v>
      </c>
      <c r="G175" s="235" t="s">
        <v>3381</v>
      </c>
      <c r="H175" s="509">
        <v>24022</v>
      </c>
      <c r="I175" s="194">
        <v>0</v>
      </c>
      <c r="J175" s="194">
        <v>20000</v>
      </c>
      <c r="K175" s="185">
        <v>0.25</v>
      </c>
      <c r="L175" s="183" t="s">
        <v>5743</v>
      </c>
      <c r="M175" s="184" t="s">
        <v>4708</v>
      </c>
      <c r="N175" s="184" t="s">
        <v>3434</v>
      </c>
      <c r="O175" s="233"/>
    </row>
    <row r="176" spans="1:15" s="182" customFormat="1" ht="21.95" customHeight="1" x14ac:dyDescent="0.15">
      <c r="A176" s="151" t="s">
        <v>7101</v>
      </c>
      <c r="B176" s="20" t="s">
        <v>6762</v>
      </c>
      <c r="C176" s="184" t="s">
        <v>4941</v>
      </c>
      <c r="D176" s="184" t="s">
        <v>5098</v>
      </c>
      <c r="E176" s="184" t="s">
        <v>5415</v>
      </c>
      <c r="F176" s="418" t="s">
        <v>3328</v>
      </c>
      <c r="G176" s="239" t="s">
        <v>3566</v>
      </c>
      <c r="H176" s="509">
        <v>23026</v>
      </c>
      <c r="I176" s="194">
        <v>0</v>
      </c>
      <c r="J176" s="194">
        <v>70000</v>
      </c>
      <c r="K176" s="185" t="s">
        <v>6375</v>
      </c>
      <c r="L176" s="183" t="s">
        <v>5743</v>
      </c>
      <c r="M176" s="184" t="s">
        <v>5771</v>
      </c>
      <c r="N176" s="184" t="s">
        <v>5771</v>
      </c>
      <c r="O176" s="233"/>
    </row>
    <row r="177" spans="1:15" s="182" customFormat="1" ht="21.95" customHeight="1" x14ac:dyDescent="0.15">
      <c r="A177" s="151" t="s">
        <v>7102</v>
      </c>
      <c r="B177" s="20" t="s">
        <v>5224</v>
      </c>
      <c r="C177" s="1017" t="s">
        <v>3371</v>
      </c>
      <c r="D177" s="1017" t="s">
        <v>3405</v>
      </c>
      <c r="E177" s="1017" t="s">
        <v>4325</v>
      </c>
      <c r="F177" s="184" t="s">
        <v>5078</v>
      </c>
      <c r="G177" s="235" t="s">
        <v>6711</v>
      </c>
      <c r="H177" s="509">
        <v>24052</v>
      </c>
      <c r="I177" s="194">
        <v>0</v>
      </c>
      <c r="J177" s="194">
        <v>100000</v>
      </c>
      <c r="K177" s="185" t="s">
        <v>6375</v>
      </c>
      <c r="L177" s="183" t="s">
        <v>5743</v>
      </c>
      <c r="M177" s="184" t="s">
        <v>6038</v>
      </c>
      <c r="N177" s="184" t="s">
        <v>6038</v>
      </c>
      <c r="O177" s="233"/>
    </row>
    <row r="178" spans="1:15" s="182" customFormat="1" ht="62.25" customHeight="1" x14ac:dyDescent="0.15">
      <c r="A178" s="151" t="s">
        <v>7102</v>
      </c>
      <c r="B178" s="849" t="s">
        <v>7123</v>
      </c>
      <c r="C178" s="184" t="s">
        <v>3371</v>
      </c>
      <c r="D178" s="184" t="s">
        <v>3547</v>
      </c>
      <c r="E178" s="184" t="s">
        <v>7124</v>
      </c>
      <c r="F178" s="184" t="s">
        <v>3579</v>
      </c>
      <c r="G178" s="235" t="s">
        <v>7125</v>
      </c>
      <c r="H178" s="509">
        <v>25084</v>
      </c>
      <c r="I178" s="194">
        <v>0</v>
      </c>
      <c r="J178" s="194">
        <v>20000</v>
      </c>
      <c r="K178" s="185">
        <v>1</v>
      </c>
      <c r="L178" s="183" t="s">
        <v>806</v>
      </c>
      <c r="M178" s="184" t="s">
        <v>2704</v>
      </c>
      <c r="N178" s="184" t="s">
        <v>2704</v>
      </c>
      <c r="O178" s="233"/>
    </row>
    <row r="179" spans="1:15" s="182" customFormat="1" ht="21.95" customHeight="1" x14ac:dyDescent="0.15">
      <c r="A179" s="151" t="s">
        <v>7102</v>
      </c>
      <c r="B179" s="20" t="s">
        <v>764</v>
      </c>
      <c r="C179" s="945" t="s">
        <v>3371</v>
      </c>
      <c r="D179" s="945" t="s">
        <v>7126</v>
      </c>
      <c r="E179" s="952" t="s">
        <v>56</v>
      </c>
      <c r="F179" s="952" t="s">
        <v>3332</v>
      </c>
      <c r="G179" s="430" t="s">
        <v>3381</v>
      </c>
      <c r="H179" s="509">
        <v>25017</v>
      </c>
      <c r="I179" s="194">
        <v>0</v>
      </c>
      <c r="J179" s="194">
        <v>46500</v>
      </c>
      <c r="K179" s="185">
        <v>0.5</v>
      </c>
      <c r="L179" s="183" t="s">
        <v>5743</v>
      </c>
      <c r="M179" s="945" t="s">
        <v>7105</v>
      </c>
      <c r="N179" s="945" t="s">
        <v>7105</v>
      </c>
      <c r="O179" s="233"/>
    </row>
    <row r="180" spans="1:15" s="182" customFormat="1" ht="22.5" customHeight="1" x14ac:dyDescent="0.15">
      <c r="A180" s="151" t="s">
        <v>7102</v>
      </c>
      <c r="B180" s="20" t="s">
        <v>6330</v>
      </c>
      <c r="C180" s="945" t="s">
        <v>3371</v>
      </c>
      <c r="D180" s="945" t="s">
        <v>7126</v>
      </c>
      <c r="E180" s="952" t="s">
        <v>56</v>
      </c>
      <c r="F180" s="952" t="s">
        <v>3332</v>
      </c>
      <c r="G180" s="430" t="s">
        <v>3381</v>
      </c>
      <c r="H180" s="509">
        <v>25017</v>
      </c>
      <c r="I180" s="194">
        <v>0</v>
      </c>
      <c r="J180" s="194">
        <v>46500</v>
      </c>
      <c r="K180" s="185">
        <v>0.5</v>
      </c>
      <c r="L180" s="183" t="s">
        <v>5743</v>
      </c>
      <c r="M180" s="945" t="s">
        <v>7105</v>
      </c>
      <c r="N180" s="945" t="s">
        <v>7105</v>
      </c>
      <c r="O180" s="233"/>
    </row>
    <row r="181" spans="1:15" s="182" customFormat="1" ht="21.95" customHeight="1" x14ac:dyDescent="0.15">
      <c r="A181" s="151" t="s">
        <v>7102</v>
      </c>
      <c r="B181" s="20" t="s">
        <v>6330</v>
      </c>
      <c r="C181" s="399" t="s">
        <v>4982</v>
      </c>
      <c r="D181" s="399" t="s">
        <v>5631</v>
      </c>
      <c r="E181" s="399" t="s">
        <v>761</v>
      </c>
      <c r="F181" s="184" t="s">
        <v>5078</v>
      </c>
      <c r="G181" s="235" t="s">
        <v>4861</v>
      </c>
      <c r="H181" s="509">
        <v>22066</v>
      </c>
      <c r="I181" s="194">
        <v>0</v>
      </c>
      <c r="J181" s="194">
        <v>30000</v>
      </c>
      <c r="K181" s="185">
        <v>1</v>
      </c>
      <c r="L181" s="183" t="s">
        <v>806</v>
      </c>
      <c r="M181" s="184" t="s">
        <v>693</v>
      </c>
      <c r="N181" s="184" t="s">
        <v>693</v>
      </c>
      <c r="O181" s="233"/>
    </row>
    <row r="182" spans="1:15" s="182" customFormat="1" ht="21.95" customHeight="1" x14ac:dyDescent="0.15">
      <c r="A182" s="151" t="s">
        <v>7102</v>
      </c>
      <c r="B182" s="20" t="s">
        <v>764</v>
      </c>
      <c r="C182" s="1067" t="s">
        <v>4982</v>
      </c>
      <c r="D182" s="1067" t="s">
        <v>5631</v>
      </c>
      <c r="E182" s="1067" t="s">
        <v>761</v>
      </c>
      <c r="F182" s="184" t="s">
        <v>5078</v>
      </c>
      <c r="G182" s="235" t="s">
        <v>5249</v>
      </c>
      <c r="H182" s="509">
        <v>24121</v>
      </c>
      <c r="I182" s="194">
        <v>0</v>
      </c>
      <c r="J182" s="194">
        <v>2000</v>
      </c>
      <c r="K182" s="185">
        <v>1</v>
      </c>
      <c r="L182" s="183" t="s">
        <v>806</v>
      </c>
      <c r="M182" s="184" t="s">
        <v>693</v>
      </c>
      <c r="N182" s="184" t="s">
        <v>693</v>
      </c>
      <c r="O182" s="233"/>
    </row>
    <row r="183" spans="1:15" s="182" customFormat="1" ht="21.95" customHeight="1" x14ac:dyDescent="0.15">
      <c r="A183" s="151" t="s">
        <v>7102</v>
      </c>
      <c r="B183" s="20" t="s">
        <v>764</v>
      </c>
      <c r="C183" s="945" t="s">
        <v>3346</v>
      </c>
      <c r="D183" s="945" t="s">
        <v>4156</v>
      </c>
      <c r="E183" s="945" t="s">
        <v>952</v>
      </c>
      <c r="F183" s="945" t="s">
        <v>4356</v>
      </c>
      <c r="G183" s="460" t="s">
        <v>4356</v>
      </c>
      <c r="H183" s="1059" t="s">
        <v>7155</v>
      </c>
      <c r="I183" s="194">
        <v>0</v>
      </c>
      <c r="J183" s="194">
        <v>6240</v>
      </c>
      <c r="K183" s="185">
        <v>0.05</v>
      </c>
      <c r="L183" s="183" t="s">
        <v>5744</v>
      </c>
      <c r="M183" s="184" t="s">
        <v>693</v>
      </c>
      <c r="N183" s="184" t="s">
        <v>693</v>
      </c>
      <c r="O183" s="233"/>
    </row>
    <row r="184" spans="1:15" s="182" customFormat="1" ht="21.95" customHeight="1" x14ac:dyDescent="0.15">
      <c r="A184" s="151" t="s">
        <v>7102</v>
      </c>
      <c r="B184" s="20" t="s">
        <v>6330</v>
      </c>
      <c r="C184" s="945" t="s">
        <v>3346</v>
      </c>
      <c r="D184" s="945" t="s">
        <v>4156</v>
      </c>
      <c r="E184" s="945" t="s">
        <v>952</v>
      </c>
      <c r="F184" s="945" t="s">
        <v>4356</v>
      </c>
      <c r="G184" s="460" t="s">
        <v>4356</v>
      </c>
      <c r="H184" s="1059" t="s">
        <v>7155</v>
      </c>
      <c r="I184" s="194">
        <v>0</v>
      </c>
      <c r="J184" s="194">
        <v>6240</v>
      </c>
      <c r="K184" s="185">
        <v>0.05</v>
      </c>
      <c r="L184" s="183" t="s">
        <v>5744</v>
      </c>
      <c r="M184" s="184" t="s">
        <v>693</v>
      </c>
      <c r="N184" s="184" t="s">
        <v>693</v>
      </c>
      <c r="O184" s="233"/>
    </row>
    <row r="185" spans="1:15" s="182" customFormat="1" ht="21.95" customHeight="1" x14ac:dyDescent="0.15">
      <c r="A185" s="151" t="s">
        <v>7102</v>
      </c>
      <c r="B185" s="20" t="s">
        <v>764</v>
      </c>
      <c r="C185" s="945" t="s">
        <v>3346</v>
      </c>
      <c r="D185" s="945" t="s">
        <v>4156</v>
      </c>
      <c r="E185" s="945" t="s">
        <v>952</v>
      </c>
      <c r="F185" s="945" t="s">
        <v>7157</v>
      </c>
      <c r="G185" s="460" t="s">
        <v>7157</v>
      </c>
      <c r="H185" s="1059" t="s">
        <v>7156</v>
      </c>
      <c r="I185" s="194">
        <v>0</v>
      </c>
      <c r="J185" s="194">
        <v>8750</v>
      </c>
      <c r="K185" s="185">
        <v>0.05</v>
      </c>
      <c r="L185" s="183" t="s">
        <v>5744</v>
      </c>
      <c r="M185" s="184" t="s">
        <v>693</v>
      </c>
      <c r="N185" s="184" t="s">
        <v>693</v>
      </c>
      <c r="O185" s="233"/>
    </row>
    <row r="186" spans="1:15" s="182" customFormat="1" ht="21.95" customHeight="1" x14ac:dyDescent="0.15">
      <c r="A186" s="151" t="s">
        <v>7102</v>
      </c>
      <c r="B186" s="20" t="s">
        <v>6330</v>
      </c>
      <c r="C186" s="945" t="s">
        <v>3346</v>
      </c>
      <c r="D186" s="945" t="s">
        <v>4156</v>
      </c>
      <c r="E186" s="945" t="s">
        <v>952</v>
      </c>
      <c r="F186" s="945" t="s">
        <v>7157</v>
      </c>
      <c r="G186" s="460" t="s">
        <v>7157</v>
      </c>
      <c r="H186" s="1059" t="s">
        <v>7156</v>
      </c>
      <c r="I186" s="194">
        <v>0</v>
      </c>
      <c r="J186" s="194">
        <v>8750</v>
      </c>
      <c r="K186" s="185">
        <v>0.05</v>
      </c>
      <c r="L186" s="183" t="s">
        <v>5744</v>
      </c>
      <c r="M186" s="184" t="s">
        <v>693</v>
      </c>
      <c r="N186" s="184" t="s">
        <v>693</v>
      </c>
      <c r="O186" s="233"/>
    </row>
    <row r="187" spans="1:15" s="182" customFormat="1" ht="21.95" customHeight="1" x14ac:dyDescent="0.15">
      <c r="A187" s="151" t="s">
        <v>7106</v>
      </c>
      <c r="B187" s="20" t="s">
        <v>5846</v>
      </c>
      <c r="C187" s="399" t="s">
        <v>4982</v>
      </c>
      <c r="D187" s="399" t="s">
        <v>6220</v>
      </c>
      <c r="E187" s="399" t="s">
        <v>7128</v>
      </c>
      <c r="F187" s="184" t="s">
        <v>4944</v>
      </c>
      <c r="G187" s="235" t="s">
        <v>3370</v>
      </c>
      <c r="H187" s="1059">
        <v>23069</v>
      </c>
      <c r="I187" s="194">
        <v>0</v>
      </c>
      <c r="J187" s="194">
        <v>43500</v>
      </c>
      <c r="K187" s="185" t="s">
        <v>7129</v>
      </c>
      <c r="L187" s="183" t="s">
        <v>5743</v>
      </c>
      <c r="M187" s="184" t="s">
        <v>6038</v>
      </c>
      <c r="N187" s="945" t="s">
        <v>3434</v>
      </c>
      <c r="O187" s="233"/>
    </row>
    <row r="188" spans="1:15" s="182" customFormat="1" ht="21.95" customHeight="1" x14ac:dyDescent="0.15">
      <c r="A188" s="151" t="s">
        <v>7107</v>
      </c>
      <c r="B188" s="20" t="s">
        <v>7111</v>
      </c>
      <c r="C188" s="1068" t="s">
        <v>4963</v>
      </c>
      <c r="D188" s="1068" t="s">
        <v>5028</v>
      </c>
      <c r="E188" s="1068" t="s">
        <v>5358</v>
      </c>
      <c r="F188" s="184" t="s">
        <v>5078</v>
      </c>
      <c r="G188" s="235" t="s">
        <v>5030</v>
      </c>
      <c r="H188" s="509">
        <v>24028</v>
      </c>
      <c r="I188" s="194">
        <v>0</v>
      </c>
      <c r="J188" s="194">
        <v>70000</v>
      </c>
      <c r="K188" s="185">
        <v>1</v>
      </c>
      <c r="L188" s="183" t="s">
        <v>5743</v>
      </c>
      <c r="M188" s="184" t="s">
        <v>5765</v>
      </c>
      <c r="N188" s="184" t="s">
        <v>5765</v>
      </c>
      <c r="O188" s="233"/>
    </row>
    <row r="189" spans="1:15" s="182" customFormat="1" ht="21.95" customHeight="1" x14ac:dyDescent="0.15">
      <c r="A189" s="151" t="s">
        <v>7107</v>
      </c>
      <c r="B189" s="20" t="s">
        <v>6839</v>
      </c>
      <c r="C189" s="399" t="s">
        <v>4941</v>
      </c>
      <c r="D189" s="399" t="s">
        <v>4942</v>
      </c>
      <c r="E189" s="399" t="s">
        <v>6554</v>
      </c>
      <c r="F189" s="403" t="s">
        <v>3328</v>
      </c>
      <c r="G189" s="239" t="s">
        <v>3349</v>
      </c>
      <c r="H189" s="509">
        <v>23115</v>
      </c>
      <c r="I189" s="194">
        <v>0</v>
      </c>
      <c r="J189" s="194">
        <v>35000</v>
      </c>
      <c r="K189" s="185">
        <v>0.5</v>
      </c>
      <c r="L189" s="183" t="s">
        <v>5743</v>
      </c>
      <c r="M189" s="184" t="s">
        <v>5255</v>
      </c>
      <c r="N189" s="184" t="s">
        <v>5255</v>
      </c>
      <c r="O189" s="233"/>
    </row>
    <row r="190" spans="1:15" s="182" customFormat="1" ht="21.95" customHeight="1" x14ac:dyDescent="0.15">
      <c r="A190" s="151" t="s">
        <v>7107</v>
      </c>
      <c r="B190" s="20" t="s">
        <v>7112</v>
      </c>
      <c r="C190" s="184" t="s">
        <v>3371</v>
      </c>
      <c r="D190" s="184" t="s">
        <v>7130</v>
      </c>
      <c r="E190" s="184" t="s">
        <v>7131</v>
      </c>
      <c r="F190" s="184" t="s">
        <v>3579</v>
      </c>
      <c r="G190" s="235" t="s">
        <v>7125</v>
      </c>
      <c r="H190" s="509">
        <v>25085</v>
      </c>
      <c r="I190" s="194">
        <v>0</v>
      </c>
      <c r="J190" s="194">
        <v>40000</v>
      </c>
      <c r="K190" s="185">
        <v>1</v>
      </c>
      <c r="L190" s="183" t="s">
        <v>806</v>
      </c>
      <c r="M190" s="184" t="s">
        <v>5835</v>
      </c>
      <c r="N190" s="184" t="s">
        <v>5835</v>
      </c>
      <c r="O190" s="233"/>
    </row>
    <row r="191" spans="1:15" s="182" customFormat="1" ht="21.95" customHeight="1" x14ac:dyDescent="0.15">
      <c r="A191" s="151" t="s">
        <v>7108</v>
      </c>
      <c r="B191" s="20" t="s">
        <v>7050</v>
      </c>
      <c r="C191" s="399" t="s">
        <v>3351</v>
      </c>
      <c r="D191" s="399" t="s">
        <v>3352</v>
      </c>
      <c r="E191" s="399" t="s">
        <v>2866</v>
      </c>
      <c r="F191" s="184" t="s">
        <v>5078</v>
      </c>
      <c r="G191" s="239" t="s">
        <v>3566</v>
      </c>
      <c r="H191" s="509" t="s">
        <v>7055</v>
      </c>
      <c r="I191" s="194">
        <v>0</v>
      </c>
      <c r="J191" s="194">
        <v>40800</v>
      </c>
      <c r="K191" s="185">
        <v>0.2</v>
      </c>
      <c r="L191" s="183" t="s">
        <v>5743</v>
      </c>
      <c r="M191" s="184" t="s">
        <v>5255</v>
      </c>
      <c r="N191" s="184" t="s">
        <v>5255</v>
      </c>
      <c r="O191" s="233"/>
    </row>
    <row r="192" spans="1:15" s="182" customFormat="1" ht="21.95" customHeight="1" x14ac:dyDescent="0.15">
      <c r="A192" s="151" t="s">
        <v>7108</v>
      </c>
      <c r="B192" s="20" t="s">
        <v>7050</v>
      </c>
      <c r="C192" s="399" t="s">
        <v>3351</v>
      </c>
      <c r="D192" s="399" t="s">
        <v>3352</v>
      </c>
      <c r="E192" s="399" t="s">
        <v>2867</v>
      </c>
      <c r="F192" s="184" t="s">
        <v>5078</v>
      </c>
      <c r="G192" s="239" t="s">
        <v>3566</v>
      </c>
      <c r="H192" s="509" t="s">
        <v>7056</v>
      </c>
      <c r="I192" s="194">
        <v>0</v>
      </c>
      <c r="J192" s="194">
        <v>40800</v>
      </c>
      <c r="K192" s="185">
        <v>0.2</v>
      </c>
      <c r="L192" s="183" t="s">
        <v>5743</v>
      </c>
      <c r="M192" s="184" t="s">
        <v>5255</v>
      </c>
      <c r="N192" s="184" t="s">
        <v>5255</v>
      </c>
      <c r="O192" s="233"/>
    </row>
    <row r="193" spans="1:15" s="182" customFormat="1" ht="21.95" customHeight="1" x14ac:dyDescent="0.15">
      <c r="A193" s="151" t="s">
        <v>7108</v>
      </c>
      <c r="B193" s="20" t="s">
        <v>7050</v>
      </c>
      <c r="C193" s="399" t="s">
        <v>3351</v>
      </c>
      <c r="D193" s="399" t="s">
        <v>3352</v>
      </c>
      <c r="E193" s="399" t="s">
        <v>2870</v>
      </c>
      <c r="F193" s="184" t="s">
        <v>5078</v>
      </c>
      <c r="G193" s="239" t="s">
        <v>3566</v>
      </c>
      <c r="H193" s="509" t="s">
        <v>7057</v>
      </c>
      <c r="I193" s="194">
        <v>0</v>
      </c>
      <c r="J193" s="194">
        <v>40800</v>
      </c>
      <c r="K193" s="185">
        <v>0.2</v>
      </c>
      <c r="L193" s="183" t="s">
        <v>5743</v>
      </c>
      <c r="M193" s="184" t="s">
        <v>5255</v>
      </c>
      <c r="N193" s="184" t="s">
        <v>5255</v>
      </c>
      <c r="O193" s="233"/>
    </row>
    <row r="194" spans="1:15" s="182" customFormat="1" ht="21.95" customHeight="1" x14ac:dyDescent="0.15">
      <c r="A194" s="151" t="s">
        <v>7108</v>
      </c>
      <c r="B194" s="20" t="s">
        <v>770</v>
      </c>
      <c r="C194" s="399" t="s">
        <v>4963</v>
      </c>
      <c r="D194" s="399" t="s">
        <v>4964</v>
      </c>
      <c r="E194" s="399" t="s">
        <v>5909</v>
      </c>
      <c r="F194" s="184" t="s">
        <v>3332</v>
      </c>
      <c r="G194" s="235" t="s">
        <v>5030</v>
      </c>
      <c r="H194" s="509">
        <v>23158</v>
      </c>
      <c r="I194" s="194">
        <v>0</v>
      </c>
      <c r="J194" s="194">
        <v>99000</v>
      </c>
      <c r="K194" s="185">
        <v>0.99</v>
      </c>
      <c r="L194" s="183" t="s">
        <v>5743</v>
      </c>
      <c r="M194" s="184" t="s">
        <v>5765</v>
      </c>
      <c r="N194" s="184" t="s">
        <v>5765</v>
      </c>
      <c r="O194" s="233"/>
    </row>
    <row r="195" spans="1:15" s="182" customFormat="1" ht="21.95" customHeight="1" x14ac:dyDescent="0.15">
      <c r="A195" s="151" t="s">
        <v>7109</v>
      </c>
      <c r="B195" s="20" t="s">
        <v>817</v>
      </c>
      <c r="C195" s="391" t="s">
        <v>3346</v>
      </c>
      <c r="D195" s="391" t="s">
        <v>3352</v>
      </c>
      <c r="E195" s="391" t="s">
        <v>987</v>
      </c>
      <c r="F195" s="184" t="s">
        <v>5762</v>
      </c>
      <c r="G195" s="235" t="s">
        <v>4529</v>
      </c>
      <c r="H195" s="1059">
        <v>23170</v>
      </c>
      <c r="I195" s="194">
        <v>0</v>
      </c>
      <c r="J195" s="194">
        <v>330300</v>
      </c>
      <c r="K195" s="185">
        <v>0.9</v>
      </c>
      <c r="L195" s="183" t="s">
        <v>806</v>
      </c>
      <c r="M195" s="184" t="s">
        <v>662</v>
      </c>
      <c r="N195" s="184" t="s">
        <v>662</v>
      </c>
      <c r="O195" s="1066" t="s">
        <v>6808</v>
      </c>
    </row>
    <row r="196" spans="1:15" s="182" customFormat="1" ht="21.95" customHeight="1" x14ac:dyDescent="0.15">
      <c r="A196" s="151" t="s">
        <v>7109</v>
      </c>
      <c r="B196" s="20" t="s">
        <v>7113</v>
      </c>
      <c r="C196" s="184" t="s">
        <v>4982</v>
      </c>
      <c r="D196" s="184" t="s">
        <v>4942</v>
      </c>
      <c r="E196" s="184" t="s">
        <v>6931</v>
      </c>
      <c r="F196" s="184" t="s">
        <v>3332</v>
      </c>
      <c r="G196" s="235" t="s">
        <v>5030</v>
      </c>
      <c r="H196" s="509">
        <v>25012</v>
      </c>
      <c r="I196" s="194">
        <v>0</v>
      </c>
      <c r="J196" s="194">
        <v>91000</v>
      </c>
      <c r="K196" s="185">
        <v>1</v>
      </c>
      <c r="L196" s="183" t="s">
        <v>806</v>
      </c>
      <c r="M196" s="184" t="s">
        <v>693</v>
      </c>
      <c r="N196" s="184" t="s">
        <v>693</v>
      </c>
      <c r="O196" s="233"/>
    </row>
    <row r="197" spans="1:15" s="182" customFormat="1" ht="21.95" customHeight="1" x14ac:dyDescent="0.15">
      <c r="A197" s="151" t="s">
        <v>7109</v>
      </c>
      <c r="B197" s="20" t="s">
        <v>7114</v>
      </c>
      <c r="C197" s="1070" t="s">
        <v>4941</v>
      </c>
      <c r="D197" s="1070" t="s">
        <v>4964</v>
      </c>
      <c r="E197" s="1070" t="s">
        <v>7150</v>
      </c>
      <c r="F197" s="184" t="s">
        <v>5078</v>
      </c>
      <c r="G197" s="235" t="s">
        <v>5658</v>
      </c>
      <c r="H197" s="509">
        <v>24158</v>
      </c>
      <c r="I197" s="194">
        <v>0</v>
      </c>
      <c r="J197" s="194">
        <v>20940</v>
      </c>
      <c r="K197" s="185">
        <v>0.3</v>
      </c>
      <c r="L197" s="183" t="s">
        <v>6622</v>
      </c>
      <c r="M197" s="184" t="s">
        <v>5255</v>
      </c>
      <c r="N197" s="184" t="s">
        <v>5255</v>
      </c>
      <c r="O197" s="233"/>
    </row>
    <row r="198" spans="1:15" s="182" customFormat="1" ht="21.95" customHeight="1" x14ac:dyDescent="0.15">
      <c r="A198" s="151" t="s">
        <v>7110</v>
      </c>
      <c r="B198" s="20" t="s">
        <v>7115</v>
      </c>
      <c r="C198" s="1070" t="s">
        <v>4941</v>
      </c>
      <c r="D198" s="1070" t="s">
        <v>4964</v>
      </c>
      <c r="E198" s="1070" t="s">
        <v>7144</v>
      </c>
      <c r="F198" s="184" t="s">
        <v>5078</v>
      </c>
      <c r="G198" s="235" t="s">
        <v>5658</v>
      </c>
      <c r="H198" s="509" t="s">
        <v>7136</v>
      </c>
      <c r="I198" s="194">
        <v>0</v>
      </c>
      <c r="J198" s="194">
        <v>20940</v>
      </c>
      <c r="K198" s="185">
        <v>0.3</v>
      </c>
      <c r="L198" s="183" t="s">
        <v>6622</v>
      </c>
      <c r="M198" s="184" t="s">
        <v>5255</v>
      </c>
      <c r="N198" s="184" t="s">
        <v>5255</v>
      </c>
      <c r="O198" s="233"/>
    </row>
    <row r="199" spans="1:15" s="182" customFormat="1" ht="21.95" customHeight="1" x14ac:dyDescent="0.15">
      <c r="A199" s="151" t="s">
        <v>7110</v>
      </c>
      <c r="B199" s="20" t="s">
        <v>7115</v>
      </c>
      <c r="C199" s="1070" t="s">
        <v>4941</v>
      </c>
      <c r="D199" s="1070" t="s">
        <v>4964</v>
      </c>
      <c r="E199" s="1070" t="s">
        <v>7145</v>
      </c>
      <c r="F199" s="184" t="s">
        <v>5078</v>
      </c>
      <c r="G199" s="235" t="s">
        <v>5658</v>
      </c>
      <c r="H199" s="509" t="s">
        <v>7137</v>
      </c>
      <c r="I199" s="194">
        <v>0</v>
      </c>
      <c r="J199" s="194">
        <v>20940</v>
      </c>
      <c r="K199" s="185">
        <v>0.3</v>
      </c>
      <c r="L199" s="183" t="s">
        <v>6622</v>
      </c>
      <c r="M199" s="184" t="s">
        <v>5255</v>
      </c>
      <c r="N199" s="184" t="s">
        <v>5255</v>
      </c>
      <c r="O199" s="233"/>
    </row>
    <row r="200" spans="1:15" s="182" customFormat="1" ht="21.95" customHeight="1" x14ac:dyDescent="0.15">
      <c r="A200" s="151" t="s">
        <v>7110</v>
      </c>
      <c r="B200" s="20" t="s">
        <v>7115</v>
      </c>
      <c r="C200" s="1070" t="s">
        <v>4941</v>
      </c>
      <c r="D200" s="1070" t="s">
        <v>4964</v>
      </c>
      <c r="E200" s="1070" t="s">
        <v>7146</v>
      </c>
      <c r="F200" s="184" t="s">
        <v>5078</v>
      </c>
      <c r="G200" s="235" t="s">
        <v>5658</v>
      </c>
      <c r="H200" s="509" t="s">
        <v>7138</v>
      </c>
      <c r="I200" s="194">
        <v>0</v>
      </c>
      <c r="J200" s="194">
        <v>20940</v>
      </c>
      <c r="K200" s="185">
        <v>0.3</v>
      </c>
      <c r="L200" s="183" t="s">
        <v>6622</v>
      </c>
      <c r="M200" s="184" t="s">
        <v>5255</v>
      </c>
      <c r="N200" s="184" t="s">
        <v>5255</v>
      </c>
      <c r="O200" s="233"/>
    </row>
    <row r="201" spans="1:15" s="182" customFormat="1" ht="21.95" customHeight="1" x14ac:dyDescent="0.15">
      <c r="A201" s="151" t="s">
        <v>7110</v>
      </c>
      <c r="B201" s="20" t="s">
        <v>7115</v>
      </c>
      <c r="C201" s="1070" t="s">
        <v>4941</v>
      </c>
      <c r="D201" s="1070" t="s">
        <v>4964</v>
      </c>
      <c r="E201" s="1070" t="s">
        <v>7147</v>
      </c>
      <c r="F201" s="184" t="s">
        <v>5078</v>
      </c>
      <c r="G201" s="235" t="s">
        <v>5658</v>
      </c>
      <c r="H201" s="509" t="s">
        <v>7139</v>
      </c>
      <c r="I201" s="194">
        <v>0</v>
      </c>
      <c r="J201" s="194">
        <v>20940</v>
      </c>
      <c r="K201" s="185">
        <v>0.3</v>
      </c>
      <c r="L201" s="183" t="s">
        <v>6622</v>
      </c>
      <c r="M201" s="184" t="s">
        <v>5255</v>
      </c>
      <c r="N201" s="184" t="s">
        <v>5255</v>
      </c>
      <c r="O201" s="233"/>
    </row>
    <row r="202" spans="1:15" s="182" customFormat="1" ht="21.95" customHeight="1" x14ac:dyDescent="0.15">
      <c r="A202" s="151" t="s">
        <v>7110</v>
      </c>
      <c r="B202" s="20" t="s">
        <v>7115</v>
      </c>
      <c r="C202" s="1070" t="s">
        <v>4941</v>
      </c>
      <c r="D202" s="1070" t="s">
        <v>4964</v>
      </c>
      <c r="E202" s="1070" t="s">
        <v>7148</v>
      </c>
      <c r="F202" s="184" t="s">
        <v>4944</v>
      </c>
      <c r="G202" s="235" t="s">
        <v>5658</v>
      </c>
      <c r="H202" s="509" t="s">
        <v>7140</v>
      </c>
      <c r="I202" s="194">
        <v>0</v>
      </c>
      <c r="J202" s="194">
        <v>20940</v>
      </c>
      <c r="K202" s="185">
        <v>0.3</v>
      </c>
      <c r="L202" s="183" t="s">
        <v>6622</v>
      </c>
      <c r="M202" s="184" t="s">
        <v>5255</v>
      </c>
      <c r="N202" s="184" t="s">
        <v>5255</v>
      </c>
      <c r="O202" s="233"/>
    </row>
    <row r="203" spans="1:15" s="182" customFormat="1" ht="21.95" customHeight="1" x14ac:dyDescent="0.15">
      <c r="A203" s="151" t="s">
        <v>7110</v>
      </c>
      <c r="B203" s="20" t="s">
        <v>7115</v>
      </c>
      <c r="C203" s="1070" t="s">
        <v>4941</v>
      </c>
      <c r="D203" s="1070" t="s">
        <v>4964</v>
      </c>
      <c r="E203" s="1070" t="s">
        <v>7149</v>
      </c>
      <c r="F203" s="184" t="s">
        <v>4944</v>
      </c>
      <c r="G203" s="235" t="s">
        <v>5658</v>
      </c>
      <c r="H203" s="509" t="s">
        <v>7141</v>
      </c>
      <c r="I203" s="194">
        <v>0</v>
      </c>
      <c r="J203" s="194">
        <v>20940</v>
      </c>
      <c r="K203" s="185">
        <v>0.3</v>
      </c>
      <c r="L203" s="183" t="s">
        <v>6622</v>
      </c>
      <c r="M203" s="184" t="s">
        <v>5255</v>
      </c>
      <c r="N203" s="184" t="s">
        <v>5255</v>
      </c>
      <c r="O203" s="233"/>
    </row>
    <row r="204" spans="1:15" s="182" customFormat="1" ht="21.95" customHeight="1" x14ac:dyDescent="0.15">
      <c r="A204" s="151" t="s">
        <v>7110</v>
      </c>
      <c r="B204" s="20" t="s">
        <v>7117</v>
      </c>
      <c r="C204" s="1070" t="s">
        <v>4941</v>
      </c>
      <c r="D204" s="1070" t="s">
        <v>4964</v>
      </c>
      <c r="E204" s="1070" t="s">
        <v>7151</v>
      </c>
      <c r="F204" s="184" t="s">
        <v>4944</v>
      </c>
      <c r="G204" s="235" t="s">
        <v>5658</v>
      </c>
      <c r="H204" s="1059">
        <v>24159</v>
      </c>
      <c r="I204" s="194">
        <v>0</v>
      </c>
      <c r="J204" s="194">
        <v>20940</v>
      </c>
      <c r="K204" s="185">
        <v>0.3</v>
      </c>
      <c r="L204" s="183" t="s">
        <v>6622</v>
      </c>
      <c r="M204" s="184" t="s">
        <v>5255</v>
      </c>
      <c r="N204" s="184" t="s">
        <v>5255</v>
      </c>
      <c r="O204" s="233"/>
    </row>
    <row r="205" spans="1:15" s="182" customFormat="1" ht="21.95" customHeight="1" x14ac:dyDescent="0.15">
      <c r="A205" s="151" t="s">
        <v>7110</v>
      </c>
      <c r="B205" s="20" t="s">
        <v>7116</v>
      </c>
      <c r="C205" s="1070" t="s">
        <v>4941</v>
      </c>
      <c r="D205" s="1070" t="s">
        <v>4964</v>
      </c>
      <c r="E205" s="1070" t="s">
        <v>7152</v>
      </c>
      <c r="F205" s="184" t="s">
        <v>4944</v>
      </c>
      <c r="G205" s="235" t="s">
        <v>5658</v>
      </c>
      <c r="H205" s="509">
        <v>24160</v>
      </c>
      <c r="I205" s="194">
        <v>0</v>
      </c>
      <c r="J205" s="194">
        <v>20940</v>
      </c>
      <c r="K205" s="185">
        <v>0.3</v>
      </c>
      <c r="L205" s="183" t="s">
        <v>6622</v>
      </c>
      <c r="M205" s="184" t="s">
        <v>5255</v>
      </c>
      <c r="N205" s="184" t="s">
        <v>5255</v>
      </c>
      <c r="O205" s="233"/>
    </row>
    <row r="206" spans="1:15" s="182" customFormat="1" ht="21.95" customHeight="1" x14ac:dyDescent="0.15">
      <c r="A206" s="151" t="s">
        <v>7110</v>
      </c>
      <c r="B206" s="20" t="s">
        <v>7119</v>
      </c>
      <c r="C206" s="1070" t="s">
        <v>4941</v>
      </c>
      <c r="D206" s="1070" t="s">
        <v>4964</v>
      </c>
      <c r="E206" s="1070" t="s">
        <v>7153</v>
      </c>
      <c r="F206" s="184" t="s">
        <v>4944</v>
      </c>
      <c r="G206" s="235" t="s">
        <v>5658</v>
      </c>
      <c r="H206" s="509" t="s">
        <v>7142</v>
      </c>
      <c r="I206" s="194">
        <v>0</v>
      </c>
      <c r="J206" s="194">
        <v>20940</v>
      </c>
      <c r="K206" s="185">
        <v>0.3</v>
      </c>
      <c r="L206" s="183" t="s">
        <v>6622</v>
      </c>
      <c r="M206" s="184" t="s">
        <v>5255</v>
      </c>
      <c r="N206" s="184" t="s">
        <v>5255</v>
      </c>
      <c r="O206" s="233"/>
    </row>
    <row r="207" spans="1:15" s="182" customFormat="1" ht="21.95" customHeight="1" x14ac:dyDescent="0.15">
      <c r="A207" s="151" t="s">
        <v>7110</v>
      </c>
      <c r="B207" s="20" t="s">
        <v>7119</v>
      </c>
      <c r="C207" s="1070" t="s">
        <v>4941</v>
      </c>
      <c r="D207" s="1070" t="s">
        <v>4964</v>
      </c>
      <c r="E207" s="1070" t="s">
        <v>7154</v>
      </c>
      <c r="F207" s="184" t="s">
        <v>4944</v>
      </c>
      <c r="G207" s="235" t="s">
        <v>5658</v>
      </c>
      <c r="H207" s="509" t="s">
        <v>7143</v>
      </c>
      <c r="I207" s="194">
        <v>0</v>
      </c>
      <c r="J207" s="194">
        <v>20940</v>
      </c>
      <c r="K207" s="185">
        <v>0.3</v>
      </c>
      <c r="L207" s="183" t="s">
        <v>6622</v>
      </c>
      <c r="M207" s="184" t="s">
        <v>5255</v>
      </c>
      <c r="N207" s="184" t="s">
        <v>5255</v>
      </c>
      <c r="O207" s="233"/>
    </row>
    <row r="208" spans="1:15" s="182" customFormat="1" ht="21.95" customHeight="1" x14ac:dyDescent="0.15">
      <c r="A208" s="151" t="s">
        <v>7110</v>
      </c>
      <c r="B208" s="20" t="s">
        <v>6840</v>
      </c>
      <c r="C208" s="184" t="s">
        <v>4941</v>
      </c>
      <c r="D208" s="184" t="s">
        <v>4942</v>
      </c>
      <c r="E208" s="184" t="s">
        <v>6415</v>
      </c>
      <c r="F208" s="184" t="s">
        <v>3328</v>
      </c>
      <c r="G208" s="235" t="s">
        <v>3329</v>
      </c>
      <c r="H208" s="1059" t="s">
        <v>7158</v>
      </c>
      <c r="I208" s="194">
        <v>0</v>
      </c>
      <c r="J208" s="194">
        <v>17464.500000000098</v>
      </c>
      <c r="K208" s="222">
        <v>5.4833594976452321E-2</v>
      </c>
      <c r="L208" s="183" t="s">
        <v>806</v>
      </c>
      <c r="M208" s="184" t="s">
        <v>5255</v>
      </c>
      <c r="N208" s="184" t="s">
        <v>5255</v>
      </c>
      <c r="O208" s="233"/>
    </row>
    <row r="209" spans="1:15" s="182" customFormat="1" ht="21.95" customHeight="1" x14ac:dyDescent="0.15">
      <c r="A209" s="151" t="s">
        <v>7110</v>
      </c>
      <c r="B209" s="20" t="s">
        <v>6840</v>
      </c>
      <c r="C209" s="184" t="s">
        <v>4941</v>
      </c>
      <c r="D209" s="184" t="s">
        <v>4942</v>
      </c>
      <c r="E209" s="184" t="s">
        <v>6417</v>
      </c>
      <c r="F209" s="184" t="s">
        <v>5078</v>
      </c>
      <c r="G209" s="235" t="s">
        <v>3329</v>
      </c>
      <c r="H209" s="1059" t="s">
        <v>7159</v>
      </c>
      <c r="I209" s="194">
        <v>0</v>
      </c>
      <c r="J209" s="194">
        <v>19893</v>
      </c>
      <c r="K209" s="222">
        <v>5.7000000000000002E-2</v>
      </c>
      <c r="L209" s="183" t="s">
        <v>806</v>
      </c>
      <c r="M209" s="184" t="s">
        <v>5255</v>
      </c>
      <c r="N209" s="184" t="s">
        <v>5255</v>
      </c>
      <c r="O209" s="233"/>
    </row>
    <row r="210" spans="1:15" s="182" customFormat="1" ht="21.95" customHeight="1" x14ac:dyDescent="0.15">
      <c r="A210" s="151" t="s">
        <v>7110</v>
      </c>
      <c r="B210" s="20" t="s">
        <v>6840</v>
      </c>
      <c r="C210" s="184" t="s">
        <v>4941</v>
      </c>
      <c r="D210" s="184" t="s">
        <v>4942</v>
      </c>
      <c r="E210" s="184" t="s">
        <v>6418</v>
      </c>
      <c r="F210" s="184" t="s">
        <v>5078</v>
      </c>
      <c r="G210" s="235" t="s">
        <v>5090</v>
      </c>
      <c r="H210" s="1059" t="s">
        <v>7160</v>
      </c>
      <c r="I210" s="194">
        <v>0</v>
      </c>
      <c r="J210" s="194">
        <v>20406</v>
      </c>
      <c r="K210" s="222">
        <v>5.7000000000000141E-2</v>
      </c>
      <c r="L210" s="183" t="s">
        <v>806</v>
      </c>
      <c r="M210" s="184" t="s">
        <v>5255</v>
      </c>
      <c r="N210" s="184" t="s">
        <v>5255</v>
      </c>
      <c r="O210" s="233"/>
    </row>
    <row r="211" spans="1:15" s="182" customFormat="1" ht="21.95" customHeight="1" x14ac:dyDescent="0.15">
      <c r="A211" s="151" t="s">
        <v>7110</v>
      </c>
      <c r="B211" s="20" t="s">
        <v>6840</v>
      </c>
      <c r="C211" s="184" t="s">
        <v>4941</v>
      </c>
      <c r="D211" s="184" t="s">
        <v>4942</v>
      </c>
      <c r="E211" s="184" t="s">
        <v>6420</v>
      </c>
      <c r="F211" s="184" t="s">
        <v>5078</v>
      </c>
      <c r="G211" s="235" t="s">
        <v>5090</v>
      </c>
      <c r="H211" s="1059" t="s">
        <v>7161</v>
      </c>
      <c r="I211" s="194">
        <v>0</v>
      </c>
      <c r="J211" s="194">
        <v>20406</v>
      </c>
      <c r="K211" s="222">
        <v>5.7000000000000141E-2</v>
      </c>
      <c r="L211" s="183" t="s">
        <v>806</v>
      </c>
      <c r="M211" s="184" t="s">
        <v>5255</v>
      </c>
      <c r="N211" s="184" t="s">
        <v>5255</v>
      </c>
      <c r="O211" s="233"/>
    </row>
    <row r="212" spans="1:15" s="182" customFormat="1" ht="21.95" customHeight="1" x14ac:dyDescent="0.15">
      <c r="A212" s="151" t="s">
        <v>7110</v>
      </c>
      <c r="B212" s="20" t="s">
        <v>6840</v>
      </c>
      <c r="C212" s="184" t="s">
        <v>4941</v>
      </c>
      <c r="D212" s="184" t="s">
        <v>4942</v>
      </c>
      <c r="E212" s="184" t="s">
        <v>6421</v>
      </c>
      <c r="F212" s="184" t="s">
        <v>5078</v>
      </c>
      <c r="G212" s="235" t="s">
        <v>3375</v>
      </c>
      <c r="H212" s="1059" t="s">
        <v>7162</v>
      </c>
      <c r="I212" s="194">
        <v>0</v>
      </c>
      <c r="J212" s="194">
        <v>25792.500000000098</v>
      </c>
      <c r="K212" s="222">
        <v>5.7000000000000196E-2</v>
      </c>
      <c r="L212" s="183" t="s">
        <v>806</v>
      </c>
      <c r="M212" s="184" t="s">
        <v>5255</v>
      </c>
      <c r="N212" s="184" t="s">
        <v>5255</v>
      </c>
      <c r="O212" s="233"/>
    </row>
    <row r="213" spans="1:15" s="182" customFormat="1" ht="21.95" customHeight="1" x14ac:dyDescent="0.15">
      <c r="A213" s="151" t="s">
        <v>7110</v>
      </c>
      <c r="B213" s="20" t="s">
        <v>6840</v>
      </c>
      <c r="C213" s="184" t="s">
        <v>4941</v>
      </c>
      <c r="D213" s="184" t="s">
        <v>4942</v>
      </c>
      <c r="E213" s="184" t="s">
        <v>6423</v>
      </c>
      <c r="F213" s="184" t="s">
        <v>5078</v>
      </c>
      <c r="G213" s="235" t="s">
        <v>3329</v>
      </c>
      <c r="H213" s="1059" t="s">
        <v>7163</v>
      </c>
      <c r="I213" s="194">
        <v>0</v>
      </c>
      <c r="J213" s="194">
        <v>19864.500000000098</v>
      </c>
      <c r="K213" s="222">
        <v>5.7000000000000141E-2</v>
      </c>
      <c r="L213" s="183" t="s">
        <v>806</v>
      </c>
      <c r="M213" s="184" t="s">
        <v>5255</v>
      </c>
      <c r="N213" s="184" t="s">
        <v>5255</v>
      </c>
      <c r="O213" s="233"/>
    </row>
    <row r="214" spans="1:15" s="182" customFormat="1" ht="21.95" customHeight="1" x14ac:dyDescent="0.15">
      <c r="A214" s="151" t="s">
        <v>7110</v>
      </c>
      <c r="B214" s="20" t="s">
        <v>6840</v>
      </c>
      <c r="C214" s="184" t="s">
        <v>4941</v>
      </c>
      <c r="D214" s="184" t="s">
        <v>4942</v>
      </c>
      <c r="E214" s="184" t="s">
        <v>6424</v>
      </c>
      <c r="F214" s="184" t="s">
        <v>5078</v>
      </c>
      <c r="G214" s="235" t="s">
        <v>3329</v>
      </c>
      <c r="H214" s="1059" t="s">
        <v>7164</v>
      </c>
      <c r="I214" s="194">
        <v>0</v>
      </c>
      <c r="J214" s="194">
        <v>16444.5</v>
      </c>
      <c r="K214" s="222">
        <v>5.7000000000000085E-2</v>
      </c>
      <c r="L214" s="183" t="s">
        <v>806</v>
      </c>
      <c r="M214" s="184" t="s">
        <v>5255</v>
      </c>
      <c r="N214" s="184" t="s">
        <v>5255</v>
      </c>
      <c r="O214" s="233"/>
    </row>
    <row r="215" spans="1:15" s="182" customFormat="1" ht="21.95" customHeight="1" x14ac:dyDescent="0.15">
      <c r="A215" s="151" t="s">
        <v>7110</v>
      </c>
      <c r="B215" s="20" t="s">
        <v>6840</v>
      </c>
      <c r="C215" s="184" t="s">
        <v>4941</v>
      </c>
      <c r="D215" s="184" t="s">
        <v>4942</v>
      </c>
      <c r="E215" s="184" t="s">
        <v>6425</v>
      </c>
      <c r="F215" s="184" t="s">
        <v>5078</v>
      </c>
      <c r="G215" s="235" t="s">
        <v>3329</v>
      </c>
      <c r="H215" s="1059" t="s">
        <v>7165</v>
      </c>
      <c r="I215" s="194">
        <v>0</v>
      </c>
      <c r="J215" s="194">
        <v>19294.5</v>
      </c>
      <c r="K215" s="222">
        <v>5.7000000000000078E-2</v>
      </c>
      <c r="L215" s="183" t="s">
        <v>806</v>
      </c>
      <c r="M215" s="184" t="s">
        <v>5255</v>
      </c>
      <c r="N215" s="184" t="s">
        <v>5255</v>
      </c>
      <c r="O215" s="233"/>
    </row>
    <row r="216" spans="1:15" s="182" customFormat="1" ht="21.95" customHeight="1" x14ac:dyDescent="0.15">
      <c r="A216" s="151" t="s">
        <v>7110</v>
      </c>
      <c r="B216" s="20" t="s">
        <v>6840</v>
      </c>
      <c r="C216" s="184" t="s">
        <v>4941</v>
      </c>
      <c r="D216" s="184" t="s">
        <v>4942</v>
      </c>
      <c r="E216" s="184" t="s">
        <v>6426</v>
      </c>
      <c r="F216" s="184" t="s">
        <v>5078</v>
      </c>
      <c r="G216" s="235" t="s">
        <v>3329</v>
      </c>
      <c r="H216" s="1059" t="s">
        <v>7166</v>
      </c>
      <c r="I216" s="194">
        <v>0</v>
      </c>
      <c r="J216" s="194">
        <v>20434.5</v>
      </c>
      <c r="K216" s="222">
        <v>5.6999999999999995E-2</v>
      </c>
      <c r="L216" s="183" t="s">
        <v>806</v>
      </c>
      <c r="M216" s="184" t="s">
        <v>5255</v>
      </c>
      <c r="N216" s="184" t="s">
        <v>5255</v>
      </c>
      <c r="O216" s="233"/>
    </row>
    <row r="217" spans="1:15" s="182" customFormat="1" ht="21.95" customHeight="1" x14ac:dyDescent="0.15">
      <c r="A217" s="151" t="s">
        <v>7110</v>
      </c>
      <c r="B217" s="20" t="s">
        <v>6840</v>
      </c>
      <c r="C217" s="184" t="s">
        <v>4941</v>
      </c>
      <c r="D217" s="184" t="s">
        <v>4942</v>
      </c>
      <c r="E217" s="184" t="s">
        <v>7167</v>
      </c>
      <c r="F217" s="184" t="s">
        <v>4944</v>
      </c>
      <c r="G217" s="235" t="s">
        <v>3345</v>
      </c>
      <c r="H217" s="509">
        <v>23177</v>
      </c>
      <c r="I217" s="194">
        <v>0</v>
      </c>
      <c r="J217" s="194">
        <v>70000</v>
      </c>
      <c r="K217" s="185" t="s">
        <v>7168</v>
      </c>
      <c r="L217" s="183" t="s">
        <v>806</v>
      </c>
      <c r="M217" s="184" t="s">
        <v>5255</v>
      </c>
      <c r="N217" s="184" t="s">
        <v>5255</v>
      </c>
      <c r="O217" s="233"/>
    </row>
    <row r="218" spans="1:15" s="182" customFormat="1" ht="21.95" customHeight="1" x14ac:dyDescent="0.15">
      <c r="A218" s="151" t="s">
        <v>7118</v>
      </c>
      <c r="B218" s="20" t="s">
        <v>6656</v>
      </c>
      <c r="C218" s="224" t="s">
        <v>3351</v>
      </c>
      <c r="D218" s="224" t="s">
        <v>3352</v>
      </c>
      <c r="E218" s="184" t="s">
        <v>2795</v>
      </c>
      <c r="F218" s="184" t="s">
        <v>3332</v>
      </c>
      <c r="G218" s="235" t="s">
        <v>6504</v>
      </c>
      <c r="H218" s="981">
        <v>23074</v>
      </c>
      <c r="I218" s="194">
        <v>0</v>
      </c>
      <c r="J218" s="194">
        <v>4325</v>
      </c>
      <c r="K218" s="185">
        <v>0.05</v>
      </c>
      <c r="L218" s="183" t="s">
        <v>5744</v>
      </c>
      <c r="M218" s="184" t="s">
        <v>5255</v>
      </c>
      <c r="N218" s="184" t="s">
        <v>5255</v>
      </c>
      <c r="O218" s="233"/>
    </row>
    <row r="219" spans="1:15" s="182" customFormat="1" ht="21.75" customHeight="1" x14ac:dyDescent="0.15">
      <c r="A219" s="151" t="s">
        <v>7118</v>
      </c>
      <c r="B219" s="20" t="s">
        <v>5948</v>
      </c>
      <c r="C219" s="1069" t="s">
        <v>4982</v>
      </c>
      <c r="D219" s="1069" t="s">
        <v>5018</v>
      </c>
      <c r="E219" s="1069" t="s">
        <v>5335</v>
      </c>
      <c r="F219" s="184" t="s">
        <v>3328</v>
      </c>
      <c r="G219" s="235" t="s">
        <v>6951</v>
      </c>
      <c r="H219" s="509" t="s">
        <v>7127</v>
      </c>
      <c r="I219" s="194">
        <v>0</v>
      </c>
      <c r="J219" s="194">
        <v>68750</v>
      </c>
      <c r="K219" s="185" t="s">
        <v>4960</v>
      </c>
      <c r="L219" s="183" t="s">
        <v>4706</v>
      </c>
      <c r="M219" s="184" t="s">
        <v>6106</v>
      </c>
      <c r="N219" s="184" t="s">
        <v>5255</v>
      </c>
      <c r="O219" s="233"/>
    </row>
    <row r="220" spans="1:15" s="182" customFormat="1" ht="21.95" customHeight="1" x14ac:dyDescent="0.15">
      <c r="A220" s="151" t="s">
        <v>7118</v>
      </c>
      <c r="B220" s="20" t="s">
        <v>7084</v>
      </c>
      <c r="C220" s="184" t="s">
        <v>4941</v>
      </c>
      <c r="D220" s="184" t="s">
        <v>4942</v>
      </c>
      <c r="E220" s="184" t="s">
        <v>6503</v>
      </c>
      <c r="F220" s="184" t="s">
        <v>5078</v>
      </c>
      <c r="G220" s="239" t="s">
        <v>3349</v>
      </c>
      <c r="H220" s="509" t="s">
        <v>7132</v>
      </c>
      <c r="I220" s="194">
        <v>0</v>
      </c>
      <c r="J220" s="194">
        <v>57050</v>
      </c>
      <c r="K220" s="222">
        <v>0.81499999999999995</v>
      </c>
      <c r="L220" s="183" t="s">
        <v>4706</v>
      </c>
      <c r="M220" s="184" t="s">
        <v>5255</v>
      </c>
      <c r="N220" s="184" t="s">
        <v>5255</v>
      </c>
      <c r="O220" s="233"/>
    </row>
    <row r="221" spans="1:15" s="182" customFormat="1" ht="21.95" customHeight="1" x14ac:dyDescent="0.15">
      <c r="A221" s="151" t="s">
        <v>7118</v>
      </c>
      <c r="B221" s="20" t="s">
        <v>7084</v>
      </c>
      <c r="C221" s="184" t="s">
        <v>4941</v>
      </c>
      <c r="D221" s="184" t="s">
        <v>4942</v>
      </c>
      <c r="E221" s="184" t="s">
        <v>6505</v>
      </c>
      <c r="F221" s="184" t="s">
        <v>5078</v>
      </c>
      <c r="G221" s="239" t="s">
        <v>3349</v>
      </c>
      <c r="H221" s="509" t="s">
        <v>7133</v>
      </c>
      <c r="I221" s="194">
        <v>0</v>
      </c>
      <c r="J221" s="194">
        <v>57050</v>
      </c>
      <c r="K221" s="222">
        <v>0.81499999999999995</v>
      </c>
      <c r="L221" s="183" t="s">
        <v>4706</v>
      </c>
      <c r="M221" s="184" t="s">
        <v>5255</v>
      </c>
      <c r="N221" s="184" t="s">
        <v>5255</v>
      </c>
      <c r="O221" s="233"/>
    </row>
    <row r="222" spans="1:15" s="182" customFormat="1" ht="21.95" customHeight="1" x14ac:dyDescent="0.15">
      <c r="A222" s="151" t="s">
        <v>7118</v>
      </c>
      <c r="B222" s="20" t="s">
        <v>7084</v>
      </c>
      <c r="C222" s="184" t="s">
        <v>4941</v>
      </c>
      <c r="D222" s="184" t="s">
        <v>4942</v>
      </c>
      <c r="E222" s="184" t="s">
        <v>6506</v>
      </c>
      <c r="F222" s="184" t="s">
        <v>5078</v>
      </c>
      <c r="G222" s="239" t="s">
        <v>3349</v>
      </c>
      <c r="H222" s="509" t="s">
        <v>7134</v>
      </c>
      <c r="I222" s="194">
        <v>0</v>
      </c>
      <c r="J222" s="194">
        <v>54600</v>
      </c>
      <c r="K222" s="185">
        <v>0.78</v>
      </c>
      <c r="L222" s="183" t="s">
        <v>4706</v>
      </c>
      <c r="M222" s="184" t="s">
        <v>5255</v>
      </c>
      <c r="N222" s="184" t="s">
        <v>5255</v>
      </c>
      <c r="O222" s="233"/>
    </row>
    <row r="223" spans="1:15" s="182" customFormat="1" ht="21.95" customHeight="1" x14ac:dyDescent="0.15">
      <c r="A223" s="151" t="s">
        <v>7120</v>
      </c>
      <c r="B223" s="20" t="s">
        <v>7121</v>
      </c>
      <c r="C223" s="184" t="s">
        <v>4963</v>
      </c>
      <c r="D223" s="184" t="s">
        <v>5028</v>
      </c>
      <c r="E223" s="184" t="s">
        <v>7135</v>
      </c>
      <c r="F223" s="184" t="s">
        <v>4944</v>
      </c>
      <c r="G223" s="235" t="s">
        <v>5333</v>
      </c>
      <c r="H223" s="509">
        <v>25037</v>
      </c>
      <c r="I223" s="194">
        <v>0</v>
      </c>
      <c r="J223" s="194">
        <v>100833</v>
      </c>
      <c r="K223" s="185">
        <v>0.95</v>
      </c>
      <c r="L223" s="183" t="s">
        <v>5768</v>
      </c>
      <c r="M223" s="184" t="s">
        <v>5765</v>
      </c>
      <c r="N223" s="184" t="s">
        <v>5765</v>
      </c>
      <c r="O223" s="233"/>
    </row>
    <row r="224" spans="1:15" s="182" customFormat="1" ht="21.95" customHeight="1" x14ac:dyDescent="0.15">
      <c r="A224" s="151" t="s">
        <v>7120</v>
      </c>
      <c r="B224" s="20" t="s">
        <v>6710</v>
      </c>
      <c r="C224" s="224" t="s">
        <v>3351</v>
      </c>
      <c r="D224" s="224" t="s">
        <v>3352</v>
      </c>
      <c r="E224" s="394" t="s">
        <v>6616</v>
      </c>
      <c r="F224" s="184" t="s">
        <v>5078</v>
      </c>
      <c r="G224" s="235" t="s">
        <v>6711</v>
      </c>
      <c r="H224" s="509">
        <v>23127</v>
      </c>
      <c r="I224" s="194">
        <v>0</v>
      </c>
      <c r="J224" s="194">
        <v>40800</v>
      </c>
      <c r="K224" s="185">
        <v>0.2</v>
      </c>
      <c r="L224" s="183" t="s">
        <v>5743</v>
      </c>
      <c r="M224" s="184" t="s">
        <v>5255</v>
      </c>
      <c r="N224" s="184" t="s">
        <v>5255</v>
      </c>
      <c r="O224" s="233"/>
    </row>
    <row r="225" spans="1:15" s="182" customFormat="1" ht="21.95" customHeight="1" x14ac:dyDescent="0.15">
      <c r="A225" s="151" t="s">
        <v>7120</v>
      </c>
      <c r="B225" s="20" t="s">
        <v>6710</v>
      </c>
      <c r="C225" s="224" t="s">
        <v>3351</v>
      </c>
      <c r="D225" s="224" t="s">
        <v>3352</v>
      </c>
      <c r="E225" s="394" t="s">
        <v>6616</v>
      </c>
      <c r="F225" s="184" t="s">
        <v>5078</v>
      </c>
      <c r="G225" s="235" t="s">
        <v>6711</v>
      </c>
      <c r="H225" s="509">
        <v>23127</v>
      </c>
      <c r="I225" s="194">
        <v>0</v>
      </c>
      <c r="J225" s="194">
        <v>27200</v>
      </c>
      <c r="K225" s="185" t="s">
        <v>7082</v>
      </c>
      <c r="L225" s="183" t="s">
        <v>5743</v>
      </c>
      <c r="M225" s="184" t="s">
        <v>5255</v>
      </c>
      <c r="N225" s="184" t="s">
        <v>5255</v>
      </c>
      <c r="O225" s="233"/>
    </row>
    <row r="226" spans="1:15" s="182" customFormat="1" ht="21.95" customHeight="1" x14ac:dyDescent="0.15">
      <c r="A226" s="151" t="s">
        <v>7120</v>
      </c>
      <c r="B226" s="20" t="s">
        <v>7122</v>
      </c>
      <c r="C226" s="184" t="s">
        <v>4941</v>
      </c>
      <c r="D226" s="184" t="s">
        <v>4942</v>
      </c>
      <c r="E226" s="184" t="s">
        <v>6668</v>
      </c>
      <c r="F226" s="184" t="s">
        <v>5078</v>
      </c>
      <c r="G226" s="239" t="s">
        <v>3349</v>
      </c>
      <c r="H226" s="509">
        <v>23118</v>
      </c>
      <c r="I226" s="194">
        <v>0</v>
      </c>
      <c r="J226" s="194">
        <v>70000</v>
      </c>
      <c r="K226" s="185">
        <v>1</v>
      </c>
      <c r="L226" s="183" t="s">
        <v>5743</v>
      </c>
      <c r="M226" s="184" t="s">
        <v>5255</v>
      </c>
      <c r="N226" s="184" t="s">
        <v>5255</v>
      </c>
      <c r="O226" s="233"/>
    </row>
    <row r="227" spans="1:15" s="182" customFormat="1" ht="21.95" customHeight="1" x14ac:dyDescent="0.15">
      <c r="A227" s="151" t="s">
        <v>7169</v>
      </c>
      <c r="B227" s="20" t="s">
        <v>6839</v>
      </c>
      <c r="C227" s="184" t="s">
        <v>4941</v>
      </c>
      <c r="D227" s="184" t="s">
        <v>4942</v>
      </c>
      <c r="E227" s="184" t="s">
        <v>7226</v>
      </c>
      <c r="F227" s="184" t="s">
        <v>5078</v>
      </c>
      <c r="G227" s="235" t="s">
        <v>6504</v>
      </c>
      <c r="H227" s="1059" t="s">
        <v>7224</v>
      </c>
      <c r="I227" s="194">
        <v>0</v>
      </c>
      <c r="J227" s="194">
        <v>3750</v>
      </c>
      <c r="K227" s="185">
        <v>0.05</v>
      </c>
      <c r="L227" s="183" t="s">
        <v>6315</v>
      </c>
      <c r="M227" s="184" t="s">
        <v>5255</v>
      </c>
      <c r="N227" s="184" t="s">
        <v>5255</v>
      </c>
      <c r="O227" s="233"/>
    </row>
    <row r="228" spans="1:15" s="182" customFormat="1" ht="21.95" customHeight="1" x14ac:dyDescent="0.15">
      <c r="A228" s="151" t="s">
        <v>7169</v>
      </c>
      <c r="B228" s="20" t="s">
        <v>6839</v>
      </c>
      <c r="C228" s="184" t="s">
        <v>4941</v>
      </c>
      <c r="D228" s="184" t="s">
        <v>4942</v>
      </c>
      <c r="E228" s="184" t="s">
        <v>7227</v>
      </c>
      <c r="F228" s="184" t="s">
        <v>5078</v>
      </c>
      <c r="G228" s="235" t="s">
        <v>6504</v>
      </c>
      <c r="H228" s="1059" t="s">
        <v>7225</v>
      </c>
      <c r="I228" s="194">
        <v>0</v>
      </c>
      <c r="J228" s="194">
        <v>6100</v>
      </c>
      <c r="K228" s="185">
        <v>0.05</v>
      </c>
      <c r="L228" s="183" t="s">
        <v>6315</v>
      </c>
      <c r="M228" s="184" t="s">
        <v>5255</v>
      </c>
      <c r="N228" s="184" t="s">
        <v>5255</v>
      </c>
      <c r="O228" s="233"/>
    </row>
    <row r="229" spans="1:15" s="182" customFormat="1" ht="21.95" customHeight="1" x14ac:dyDescent="0.15">
      <c r="A229" s="151" t="s">
        <v>7170</v>
      </c>
      <c r="B229" s="20" t="s">
        <v>5797</v>
      </c>
      <c r="C229" s="945" t="s">
        <v>3351</v>
      </c>
      <c r="D229" s="945" t="s">
        <v>3352</v>
      </c>
      <c r="E229" s="945" t="s">
        <v>4475</v>
      </c>
      <c r="F229" s="945" t="s">
        <v>3328</v>
      </c>
      <c r="G229" s="460" t="s">
        <v>4515</v>
      </c>
      <c r="H229" s="509">
        <v>20069</v>
      </c>
      <c r="I229" s="194">
        <v>0</v>
      </c>
      <c r="J229" s="194">
        <v>49300</v>
      </c>
      <c r="K229" s="185">
        <v>0.1</v>
      </c>
      <c r="L229" s="183" t="s">
        <v>5744</v>
      </c>
      <c r="M229" s="945" t="s">
        <v>4699</v>
      </c>
      <c r="N229" s="958" t="s">
        <v>3726</v>
      </c>
      <c r="O229" s="233"/>
    </row>
    <row r="230" spans="1:15" s="182" customFormat="1" ht="21.95" customHeight="1" x14ac:dyDescent="0.15">
      <c r="A230" s="151" t="s">
        <v>7170</v>
      </c>
      <c r="B230" s="20" t="s">
        <v>5797</v>
      </c>
      <c r="C230" s="945" t="s">
        <v>3351</v>
      </c>
      <c r="D230" s="945" t="s">
        <v>3352</v>
      </c>
      <c r="E230" s="945" t="s">
        <v>4513</v>
      </c>
      <c r="F230" s="945" t="s">
        <v>3328</v>
      </c>
      <c r="G230" s="460" t="s">
        <v>3378</v>
      </c>
      <c r="H230" s="509">
        <v>20093</v>
      </c>
      <c r="I230" s="194">
        <v>0</v>
      </c>
      <c r="J230" s="194">
        <v>48660</v>
      </c>
      <c r="K230" s="185" t="s">
        <v>7178</v>
      </c>
      <c r="L230" s="183" t="s">
        <v>7179</v>
      </c>
      <c r="M230" s="945" t="s">
        <v>4699</v>
      </c>
      <c r="N230" s="945" t="s">
        <v>3726</v>
      </c>
      <c r="O230" s="233"/>
    </row>
    <row r="231" spans="1:15" s="182" customFormat="1" ht="21.95" customHeight="1" x14ac:dyDescent="0.15">
      <c r="A231" s="151" t="s">
        <v>7171</v>
      </c>
      <c r="B231" s="20" t="s">
        <v>6074</v>
      </c>
      <c r="C231" s="1071" t="s">
        <v>4963</v>
      </c>
      <c r="D231" s="1071" t="s">
        <v>5714</v>
      </c>
      <c r="E231" s="1071" t="s">
        <v>5715</v>
      </c>
      <c r="F231" s="224" t="s">
        <v>3328</v>
      </c>
      <c r="G231" s="239" t="s">
        <v>6695</v>
      </c>
      <c r="H231" s="509">
        <v>24064</v>
      </c>
      <c r="I231" s="194">
        <v>0</v>
      </c>
      <c r="J231" s="194">
        <v>45000</v>
      </c>
      <c r="K231" s="185" t="s">
        <v>7180</v>
      </c>
      <c r="L231" s="183" t="s">
        <v>806</v>
      </c>
      <c r="M231" s="184" t="s">
        <v>5765</v>
      </c>
      <c r="N231" s="184" t="s">
        <v>5765</v>
      </c>
      <c r="O231" s="233"/>
    </row>
    <row r="232" spans="1:15" s="182" customFormat="1" ht="21.95" customHeight="1" x14ac:dyDescent="0.15">
      <c r="A232" s="151" t="s">
        <v>7172</v>
      </c>
      <c r="B232" s="20" t="s">
        <v>7176</v>
      </c>
      <c r="C232" s="945" t="s">
        <v>3414</v>
      </c>
      <c r="D232" s="945" t="s">
        <v>3415</v>
      </c>
      <c r="E232" s="454" t="s">
        <v>169</v>
      </c>
      <c r="F232" s="410" t="s">
        <v>3328</v>
      </c>
      <c r="G232" s="411" t="s">
        <v>3378</v>
      </c>
      <c r="H232" s="509">
        <v>14007</v>
      </c>
      <c r="I232" s="194">
        <v>0</v>
      </c>
      <c r="J232" s="194">
        <v>1250</v>
      </c>
      <c r="K232" s="185" t="s">
        <v>7181</v>
      </c>
      <c r="L232" s="183" t="s">
        <v>5744</v>
      </c>
      <c r="M232" s="184" t="s">
        <v>4708</v>
      </c>
      <c r="N232" s="184" t="s">
        <v>4708</v>
      </c>
      <c r="O232" s="233"/>
    </row>
    <row r="233" spans="1:15" s="182" customFormat="1" ht="21.95" customHeight="1" x14ac:dyDescent="0.15">
      <c r="A233" s="151" t="s">
        <v>7172</v>
      </c>
      <c r="B233" s="20" t="s">
        <v>5912</v>
      </c>
      <c r="C233" s="224" t="s">
        <v>3351</v>
      </c>
      <c r="D233" s="224" t="s">
        <v>3352</v>
      </c>
      <c r="E233" s="394" t="s">
        <v>2787</v>
      </c>
      <c r="F233" s="184" t="s">
        <v>3332</v>
      </c>
      <c r="G233" s="235" t="s">
        <v>6504</v>
      </c>
      <c r="H233" s="981">
        <v>23072</v>
      </c>
      <c r="I233" s="194">
        <v>0</v>
      </c>
      <c r="J233" s="194">
        <v>4325</v>
      </c>
      <c r="K233" s="185">
        <v>0.05</v>
      </c>
      <c r="L233" s="183" t="s">
        <v>5744</v>
      </c>
      <c r="M233" s="184" t="s">
        <v>5255</v>
      </c>
      <c r="N233" s="184" t="s">
        <v>5255</v>
      </c>
      <c r="O233" s="233"/>
    </row>
    <row r="234" spans="1:15" s="182" customFormat="1" ht="21.95" customHeight="1" x14ac:dyDescent="0.15">
      <c r="A234" s="151" t="s">
        <v>7172</v>
      </c>
      <c r="B234" s="20" t="s">
        <v>6847</v>
      </c>
      <c r="C234" s="184" t="s">
        <v>4941</v>
      </c>
      <c r="D234" s="184" t="s">
        <v>4942</v>
      </c>
      <c r="E234" s="399" t="s">
        <v>6552</v>
      </c>
      <c r="F234" s="184" t="s">
        <v>5078</v>
      </c>
      <c r="G234" s="235" t="s">
        <v>6711</v>
      </c>
      <c r="H234" s="509">
        <v>24094</v>
      </c>
      <c r="I234" s="194">
        <v>0</v>
      </c>
      <c r="J234" s="194">
        <v>34500</v>
      </c>
      <c r="K234" s="185" t="s">
        <v>6456</v>
      </c>
      <c r="L234" s="183" t="s">
        <v>5743</v>
      </c>
      <c r="M234" s="184" t="s">
        <v>5255</v>
      </c>
      <c r="N234" s="184" t="s">
        <v>5255</v>
      </c>
      <c r="O234" s="233"/>
    </row>
    <row r="235" spans="1:15" s="182" customFormat="1" ht="21.95" customHeight="1" x14ac:dyDescent="0.15">
      <c r="A235" s="151" t="s">
        <v>7172</v>
      </c>
      <c r="B235" s="20" t="s">
        <v>5221</v>
      </c>
      <c r="C235" s="1071" t="s">
        <v>3346</v>
      </c>
      <c r="D235" s="1071" t="s">
        <v>3354</v>
      </c>
      <c r="E235" s="1071" t="s">
        <v>845</v>
      </c>
      <c r="F235" s="267" t="s">
        <v>3328</v>
      </c>
      <c r="G235" s="235" t="s">
        <v>6951</v>
      </c>
      <c r="H235" s="509" t="s">
        <v>6999</v>
      </c>
      <c r="I235" s="194">
        <v>0</v>
      </c>
      <c r="J235" s="194">
        <v>68750</v>
      </c>
      <c r="K235" s="185" t="s">
        <v>4960</v>
      </c>
      <c r="L235" s="183" t="s">
        <v>4706</v>
      </c>
      <c r="M235" s="184" t="s">
        <v>6106</v>
      </c>
      <c r="N235" s="184" t="s">
        <v>5255</v>
      </c>
      <c r="O235" s="233"/>
    </row>
    <row r="236" spans="1:15" s="182" customFormat="1" ht="21.95" customHeight="1" x14ac:dyDescent="0.15">
      <c r="A236" s="151" t="s">
        <v>7173</v>
      </c>
      <c r="B236" s="20" t="s">
        <v>5917</v>
      </c>
      <c r="C236" s="224" t="s">
        <v>3351</v>
      </c>
      <c r="D236" s="224" t="s">
        <v>3352</v>
      </c>
      <c r="E236" s="184" t="s">
        <v>6637</v>
      </c>
      <c r="F236" s="184" t="s">
        <v>3332</v>
      </c>
      <c r="G236" s="235" t="s">
        <v>6504</v>
      </c>
      <c r="H236" s="981" t="s">
        <v>6635</v>
      </c>
      <c r="I236" s="194">
        <v>0</v>
      </c>
      <c r="J236" s="194">
        <v>4325</v>
      </c>
      <c r="K236" s="185">
        <v>0.05</v>
      </c>
      <c r="L236" s="183" t="s">
        <v>5744</v>
      </c>
      <c r="M236" s="184" t="s">
        <v>5255</v>
      </c>
      <c r="N236" s="184" t="s">
        <v>5255</v>
      </c>
      <c r="O236" s="233"/>
    </row>
    <row r="237" spans="1:15" s="182" customFormat="1" ht="21.95" customHeight="1" x14ac:dyDescent="0.15">
      <c r="A237" s="151" t="s">
        <v>7173</v>
      </c>
      <c r="B237" s="20" t="s">
        <v>5917</v>
      </c>
      <c r="C237" s="224" t="s">
        <v>3351</v>
      </c>
      <c r="D237" s="224" t="s">
        <v>3352</v>
      </c>
      <c r="E237" s="184" t="s">
        <v>6638</v>
      </c>
      <c r="F237" s="184" t="s">
        <v>3332</v>
      </c>
      <c r="G237" s="235" t="s">
        <v>6504</v>
      </c>
      <c r="H237" s="981" t="s">
        <v>6636</v>
      </c>
      <c r="I237" s="194">
        <v>0</v>
      </c>
      <c r="J237" s="194">
        <v>4325</v>
      </c>
      <c r="K237" s="185">
        <v>0.05</v>
      </c>
      <c r="L237" s="183" t="s">
        <v>5744</v>
      </c>
      <c r="M237" s="184" t="s">
        <v>5255</v>
      </c>
      <c r="N237" s="184" t="s">
        <v>5255</v>
      </c>
      <c r="O237" s="233"/>
    </row>
    <row r="238" spans="1:15" s="182" customFormat="1" ht="21.95" customHeight="1" x14ac:dyDescent="0.15">
      <c r="A238" s="151" t="s">
        <v>7174</v>
      </c>
      <c r="B238" s="20" t="s">
        <v>6699</v>
      </c>
      <c r="C238" s="1072" t="s">
        <v>3346</v>
      </c>
      <c r="D238" s="1072" t="s">
        <v>3354</v>
      </c>
      <c r="E238" s="1072" t="s">
        <v>3675</v>
      </c>
      <c r="F238" s="224" t="s">
        <v>3328</v>
      </c>
      <c r="G238" s="235" t="s">
        <v>6951</v>
      </c>
      <c r="H238" s="509" t="s">
        <v>6985</v>
      </c>
      <c r="I238" s="194">
        <v>0</v>
      </c>
      <c r="J238" s="194">
        <v>68750</v>
      </c>
      <c r="K238" s="185" t="s">
        <v>4960</v>
      </c>
      <c r="L238" s="183" t="s">
        <v>4706</v>
      </c>
      <c r="M238" s="184" t="s">
        <v>6106</v>
      </c>
      <c r="N238" s="184" t="s">
        <v>5255</v>
      </c>
      <c r="O238" s="233"/>
    </row>
    <row r="239" spans="1:15" s="182" customFormat="1" ht="21.95" customHeight="1" x14ac:dyDescent="0.15">
      <c r="A239" s="151" t="s">
        <v>7174</v>
      </c>
      <c r="B239" s="20" t="s">
        <v>7177</v>
      </c>
      <c r="C239" s="184" t="s">
        <v>4982</v>
      </c>
      <c r="D239" s="184" t="s">
        <v>5098</v>
      </c>
      <c r="E239" s="184" t="s">
        <v>7182</v>
      </c>
      <c r="F239" s="184" t="s">
        <v>5078</v>
      </c>
      <c r="G239" s="235" t="s">
        <v>7183</v>
      </c>
      <c r="H239" s="509">
        <v>25104</v>
      </c>
      <c r="I239" s="194">
        <v>0</v>
      </c>
      <c r="J239" s="194">
        <v>40000</v>
      </c>
      <c r="K239" s="185">
        <v>0.5</v>
      </c>
      <c r="L239" s="183" t="s">
        <v>5743</v>
      </c>
      <c r="M239" s="184" t="s">
        <v>6038</v>
      </c>
      <c r="N239" s="184" t="s">
        <v>6038</v>
      </c>
      <c r="O239" s="233"/>
    </row>
    <row r="240" spans="1:15" s="182" customFormat="1" ht="21.95" customHeight="1" x14ac:dyDescent="0.15">
      <c r="A240" s="151" t="s">
        <v>7174</v>
      </c>
      <c r="B240" s="20" t="s">
        <v>5260</v>
      </c>
      <c r="C240" s="1073" t="s">
        <v>3346</v>
      </c>
      <c r="D240" s="236" t="s">
        <v>3354</v>
      </c>
      <c r="E240" s="30" t="s">
        <v>3562</v>
      </c>
      <c r="F240" s="184" t="s">
        <v>3328</v>
      </c>
      <c r="G240" s="235" t="s">
        <v>6951</v>
      </c>
      <c r="H240" s="509" t="s">
        <v>6997</v>
      </c>
      <c r="I240" s="194">
        <v>0</v>
      </c>
      <c r="J240" s="194">
        <v>68750</v>
      </c>
      <c r="K240" s="185" t="s">
        <v>4960</v>
      </c>
      <c r="L240" s="183" t="s">
        <v>4706</v>
      </c>
      <c r="M240" s="184" t="s">
        <v>6106</v>
      </c>
      <c r="N240" s="184" t="s">
        <v>5255</v>
      </c>
      <c r="O240" s="233"/>
    </row>
    <row r="241" spans="1:15" s="182" customFormat="1" ht="21.95" customHeight="1" x14ac:dyDescent="0.15">
      <c r="A241" s="151" t="s">
        <v>7174</v>
      </c>
      <c r="B241" s="20" t="s">
        <v>5260</v>
      </c>
      <c r="C241" s="184" t="s">
        <v>4982</v>
      </c>
      <c r="D241" s="184" t="s">
        <v>5018</v>
      </c>
      <c r="E241" s="184" t="s">
        <v>7017</v>
      </c>
      <c r="F241" s="184" t="s">
        <v>5078</v>
      </c>
      <c r="G241" s="235" t="s">
        <v>6951</v>
      </c>
      <c r="H241" s="509" t="s">
        <v>6998</v>
      </c>
      <c r="I241" s="194">
        <v>0</v>
      </c>
      <c r="J241" s="194">
        <v>68750</v>
      </c>
      <c r="K241" s="185" t="s">
        <v>4960</v>
      </c>
      <c r="L241" s="183" t="s">
        <v>4706</v>
      </c>
      <c r="M241" s="184" t="s">
        <v>6106</v>
      </c>
      <c r="N241" s="184" t="s">
        <v>5255</v>
      </c>
      <c r="O241" s="233"/>
    </row>
    <row r="242" spans="1:15" s="182" customFormat="1" ht="21.95" customHeight="1" x14ac:dyDescent="0.15">
      <c r="A242" s="151" t="s">
        <v>7175</v>
      </c>
      <c r="B242" s="20" t="s">
        <v>5931</v>
      </c>
      <c r="C242" s="184" t="s">
        <v>4982</v>
      </c>
      <c r="D242" s="184" t="s">
        <v>5018</v>
      </c>
      <c r="E242" s="184" t="s">
        <v>6952</v>
      </c>
      <c r="F242" s="184" t="s">
        <v>5078</v>
      </c>
      <c r="G242" s="235" t="s">
        <v>6951</v>
      </c>
      <c r="H242" s="509" t="s">
        <v>7184</v>
      </c>
      <c r="I242" s="194">
        <v>0</v>
      </c>
      <c r="J242" s="194">
        <v>68750</v>
      </c>
      <c r="K242" s="185" t="s">
        <v>4960</v>
      </c>
      <c r="L242" s="183" t="s">
        <v>4706</v>
      </c>
      <c r="M242" s="184" t="s">
        <v>6106</v>
      </c>
      <c r="N242" s="184" t="s">
        <v>5255</v>
      </c>
      <c r="O242" s="233"/>
    </row>
    <row r="243" spans="1:15" s="182" customFormat="1" ht="21.95" customHeight="1" x14ac:dyDescent="0.15">
      <c r="A243" s="151" t="s">
        <v>7175</v>
      </c>
      <c r="B243" s="277" t="s">
        <v>7427</v>
      </c>
      <c r="C243" s="399" t="s">
        <v>4982</v>
      </c>
      <c r="D243" s="399" t="s">
        <v>5018</v>
      </c>
      <c r="E243" s="399" t="s">
        <v>7187</v>
      </c>
      <c r="F243" s="184" t="s">
        <v>3328</v>
      </c>
      <c r="G243" s="235" t="s">
        <v>3378</v>
      </c>
      <c r="H243" s="509" t="s">
        <v>7186</v>
      </c>
      <c r="I243" s="194">
        <v>179190.74</v>
      </c>
      <c r="J243" s="194">
        <v>0</v>
      </c>
      <c r="K243" s="185" t="s">
        <v>7185</v>
      </c>
      <c r="L243" s="183" t="s">
        <v>6622</v>
      </c>
      <c r="M243" s="184" t="s">
        <v>5161</v>
      </c>
      <c r="N243" s="184" t="s">
        <v>3726</v>
      </c>
      <c r="O243" s="1074" t="s">
        <v>7285</v>
      </c>
    </row>
    <row r="244" spans="1:15" s="182" customFormat="1" ht="21.95" customHeight="1" x14ac:dyDescent="0.15">
      <c r="A244" s="151" t="s">
        <v>7175</v>
      </c>
      <c r="B244" s="277" t="s">
        <v>7427</v>
      </c>
      <c r="C244" s="399" t="s">
        <v>4982</v>
      </c>
      <c r="D244" s="399" t="s">
        <v>5018</v>
      </c>
      <c r="E244" s="399" t="s">
        <v>7187</v>
      </c>
      <c r="F244" s="184" t="s">
        <v>3937</v>
      </c>
      <c r="G244" s="235" t="s">
        <v>5300</v>
      </c>
      <c r="H244" s="509" t="s">
        <v>7283</v>
      </c>
      <c r="I244" s="194">
        <v>220809.26</v>
      </c>
      <c r="J244" s="194">
        <v>0</v>
      </c>
      <c r="K244" s="185" t="s">
        <v>7185</v>
      </c>
      <c r="L244" s="183" t="s">
        <v>6622</v>
      </c>
      <c r="M244" s="184" t="s">
        <v>5161</v>
      </c>
      <c r="N244" s="184" t="s">
        <v>3726</v>
      </c>
      <c r="O244" s="1074" t="s">
        <v>7188</v>
      </c>
    </row>
    <row r="245" spans="1:15" s="182" customFormat="1" ht="21.95" customHeight="1" x14ac:dyDescent="0.15">
      <c r="A245" s="151" t="s">
        <v>7189</v>
      </c>
      <c r="B245" s="20" t="s">
        <v>5949</v>
      </c>
      <c r="C245" s="581" t="s">
        <v>3346</v>
      </c>
      <c r="D245" s="581" t="s">
        <v>3354</v>
      </c>
      <c r="E245" s="285" t="s">
        <v>4723</v>
      </c>
      <c r="F245" s="224" t="s">
        <v>3328</v>
      </c>
      <c r="G245" s="235" t="s">
        <v>6951</v>
      </c>
      <c r="H245" s="509" t="s">
        <v>6987</v>
      </c>
      <c r="I245" s="194">
        <v>0</v>
      </c>
      <c r="J245" s="194">
        <v>68750</v>
      </c>
      <c r="K245" s="185" t="s">
        <v>4960</v>
      </c>
      <c r="L245" s="183" t="s">
        <v>4706</v>
      </c>
      <c r="M245" s="184" t="s">
        <v>6106</v>
      </c>
      <c r="N245" s="184" t="s">
        <v>5255</v>
      </c>
      <c r="O245" s="233"/>
    </row>
    <row r="246" spans="1:15" s="182" customFormat="1" ht="21.95" customHeight="1" x14ac:dyDescent="0.15">
      <c r="A246" s="151" t="s">
        <v>7189</v>
      </c>
      <c r="B246" s="20" t="s">
        <v>6840</v>
      </c>
      <c r="C246" s="184" t="s">
        <v>4941</v>
      </c>
      <c r="D246" s="184" t="s">
        <v>4942</v>
      </c>
      <c r="E246" s="184" t="s">
        <v>7167</v>
      </c>
      <c r="F246" s="184" t="s">
        <v>4944</v>
      </c>
      <c r="G246" s="235" t="s">
        <v>3345</v>
      </c>
      <c r="H246" s="509">
        <v>23177</v>
      </c>
      <c r="I246" s="194">
        <v>0</v>
      </c>
      <c r="J246" s="194">
        <v>150000</v>
      </c>
      <c r="K246" s="185" t="s">
        <v>7190</v>
      </c>
      <c r="L246" s="183" t="s">
        <v>4707</v>
      </c>
      <c r="M246" s="184" t="s">
        <v>5255</v>
      </c>
      <c r="N246" s="184" t="s">
        <v>5255</v>
      </c>
      <c r="O246" s="233"/>
    </row>
    <row r="247" spans="1:15" s="182" customFormat="1" ht="21.95" customHeight="1" x14ac:dyDescent="0.15">
      <c r="A247" s="151" t="s">
        <v>7191</v>
      </c>
      <c r="B247" s="20" t="s">
        <v>6227</v>
      </c>
      <c r="C247" s="184" t="s">
        <v>4963</v>
      </c>
      <c r="D247" s="184" t="s">
        <v>5422</v>
      </c>
      <c r="E247" s="184" t="s">
        <v>5423</v>
      </c>
      <c r="F247" s="267" t="s">
        <v>3328</v>
      </c>
      <c r="G247" s="235" t="s">
        <v>7192</v>
      </c>
      <c r="H247" s="509">
        <v>25083</v>
      </c>
      <c r="I247" s="194">
        <v>0</v>
      </c>
      <c r="J247" s="194">
        <v>44800</v>
      </c>
      <c r="K247" s="185">
        <v>1</v>
      </c>
      <c r="L247" s="183" t="s">
        <v>4707</v>
      </c>
      <c r="M247" s="184" t="s">
        <v>693</v>
      </c>
      <c r="N247" s="184" t="s">
        <v>693</v>
      </c>
      <c r="O247" s="233"/>
    </row>
    <row r="248" spans="1:15" s="182" customFormat="1" ht="21.95" customHeight="1" x14ac:dyDescent="0.15">
      <c r="A248" s="151" t="s">
        <v>7193</v>
      </c>
      <c r="B248" s="849" t="s">
        <v>6768</v>
      </c>
      <c r="C248" s="184" t="s">
        <v>4963</v>
      </c>
      <c r="D248" s="184" t="s">
        <v>5028</v>
      </c>
      <c r="E248" s="184" t="s">
        <v>6779</v>
      </c>
      <c r="F248" s="184" t="s">
        <v>3340</v>
      </c>
      <c r="G248" s="235" t="s">
        <v>3345</v>
      </c>
      <c r="H248" s="509" t="s">
        <v>7011</v>
      </c>
      <c r="I248" s="194">
        <v>60000</v>
      </c>
      <c r="J248" s="194">
        <v>0</v>
      </c>
      <c r="K248" s="185">
        <v>0.4</v>
      </c>
      <c r="L248" s="183" t="s">
        <v>7273</v>
      </c>
      <c r="M248" s="184" t="s">
        <v>5765</v>
      </c>
      <c r="N248" s="184" t="s">
        <v>5765</v>
      </c>
      <c r="O248" s="233"/>
    </row>
    <row r="249" spans="1:15" s="182" customFormat="1" ht="21.95" customHeight="1" x14ac:dyDescent="0.15">
      <c r="A249" s="151" t="s">
        <v>7193</v>
      </c>
      <c r="B249" s="849" t="s">
        <v>6768</v>
      </c>
      <c r="C249" s="184" t="s">
        <v>4963</v>
      </c>
      <c r="D249" s="184" t="s">
        <v>5028</v>
      </c>
      <c r="E249" s="184" t="s">
        <v>6780</v>
      </c>
      <c r="F249" s="184" t="s">
        <v>3340</v>
      </c>
      <c r="G249" s="235" t="s">
        <v>3345</v>
      </c>
      <c r="H249" s="509" t="s">
        <v>7012</v>
      </c>
      <c r="I249" s="194">
        <v>60000</v>
      </c>
      <c r="J249" s="194">
        <v>0</v>
      </c>
      <c r="K249" s="185">
        <v>0.4</v>
      </c>
      <c r="L249" s="183" t="s">
        <v>7273</v>
      </c>
      <c r="M249" s="184" t="s">
        <v>5765</v>
      </c>
      <c r="N249" s="184" t="s">
        <v>5765</v>
      </c>
      <c r="O249" s="233"/>
    </row>
    <row r="250" spans="1:15" s="182" customFormat="1" ht="21.95" customHeight="1" x14ac:dyDescent="0.15">
      <c r="A250" s="151" t="s">
        <v>7193</v>
      </c>
      <c r="B250" s="20" t="s">
        <v>5956</v>
      </c>
      <c r="C250" s="184" t="s">
        <v>4982</v>
      </c>
      <c r="D250" s="184" t="s">
        <v>5018</v>
      </c>
      <c r="E250" s="184" t="s">
        <v>5959</v>
      </c>
      <c r="F250" s="184" t="s">
        <v>5078</v>
      </c>
      <c r="G250" s="235" t="s">
        <v>6951</v>
      </c>
      <c r="H250" s="509" t="s">
        <v>7054</v>
      </c>
      <c r="I250" s="194">
        <v>0</v>
      </c>
      <c r="J250" s="194">
        <v>68750</v>
      </c>
      <c r="K250" s="185" t="s">
        <v>4960</v>
      </c>
      <c r="L250" s="183" t="s">
        <v>4706</v>
      </c>
      <c r="M250" s="184" t="s">
        <v>6106</v>
      </c>
      <c r="N250" s="184" t="s">
        <v>5255</v>
      </c>
      <c r="O250" s="233"/>
    </row>
    <row r="251" spans="1:15" s="182" customFormat="1" ht="21.95" customHeight="1" x14ac:dyDescent="0.15">
      <c r="A251" s="151" t="s">
        <v>7194</v>
      </c>
      <c r="B251" s="20" t="s">
        <v>5258</v>
      </c>
      <c r="C251" s="184" t="s">
        <v>3371</v>
      </c>
      <c r="D251" s="184" t="s">
        <v>7130</v>
      </c>
      <c r="E251" s="184" t="s">
        <v>7210</v>
      </c>
      <c r="F251" s="184" t="s">
        <v>3579</v>
      </c>
      <c r="G251" s="235" t="s">
        <v>7125</v>
      </c>
      <c r="H251" s="509">
        <v>25086</v>
      </c>
      <c r="I251" s="194">
        <v>0</v>
      </c>
      <c r="J251" s="194">
        <v>20000</v>
      </c>
      <c r="K251" s="185">
        <v>1</v>
      </c>
      <c r="L251" s="183" t="s">
        <v>806</v>
      </c>
      <c r="M251" s="184" t="s">
        <v>5835</v>
      </c>
      <c r="N251" s="184" t="s">
        <v>5835</v>
      </c>
      <c r="O251" s="233"/>
    </row>
    <row r="252" spans="1:15" s="182" customFormat="1" ht="21.95" customHeight="1" x14ac:dyDescent="0.15">
      <c r="A252" s="151" t="s">
        <v>7195</v>
      </c>
      <c r="B252" s="20" t="s">
        <v>5815</v>
      </c>
      <c r="C252" s="945" t="s">
        <v>3985</v>
      </c>
      <c r="D252" s="945" t="s">
        <v>3419</v>
      </c>
      <c r="E252" s="952" t="s">
        <v>6980</v>
      </c>
      <c r="F252" s="952" t="s">
        <v>3332</v>
      </c>
      <c r="G252" s="430" t="s">
        <v>3381</v>
      </c>
      <c r="H252" s="509">
        <v>24019</v>
      </c>
      <c r="I252" s="194">
        <v>0</v>
      </c>
      <c r="J252" s="194">
        <v>85000</v>
      </c>
      <c r="K252" s="185">
        <v>1</v>
      </c>
      <c r="L252" s="183" t="s">
        <v>5743</v>
      </c>
      <c r="M252" s="184" t="s">
        <v>5765</v>
      </c>
      <c r="N252" s="184" t="s">
        <v>5765</v>
      </c>
      <c r="O252" s="233"/>
    </row>
    <row r="253" spans="1:15" s="182" customFormat="1" ht="21.95" customHeight="1" x14ac:dyDescent="0.15">
      <c r="A253" s="151" t="s">
        <v>7195</v>
      </c>
      <c r="B253" s="20" t="s">
        <v>5265</v>
      </c>
      <c r="C253" s="1075" t="s">
        <v>3346</v>
      </c>
      <c r="D253" s="1075" t="s">
        <v>3354</v>
      </c>
      <c r="E253" s="1075" t="s">
        <v>846</v>
      </c>
      <c r="F253" s="267" t="s">
        <v>3328</v>
      </c>
      <c r="G253" s="235" t="s">
        <v>6951</v>
      </c>
      <c r="H253" s="509" t="s">
        <v>7024</v>
      </c>
      <c r="I253" s="194">
        <v>0</v>
      </c>
      <c r="J253" s="194">
        <v>68750</v>
      </c>
      <c r="K253" s="185" t="s">
        <v>4960</v>
      </c>
      <c r="L253" s="183" t="s">
        <v>4706</v>
      </c>
      <c r="M253" s="184" t="s">
        <v>6106</v>
      </c>
      <c r="N253" s="184" t="s">
        <v>5255</v>
      </c>
      <c r="O253" s="233"/>
    </row>
    <row r="254" spans="1:15" s="182" customFormat="1" ht="21.95" customHeight="1" x14ac:dyDescent="0.15">
      <c r="A254" s="151" t="s">
        <v>7195</v>
      </c>
      <c r="B254" s="20" t="s">
        <v>679</v>
      </c>
      <c r="C254" s="1075" t="s">
        <v>3346</v>
      </c>
      <c r="D254" s="236" t="s">
        <v>3354</v>
      </c>
      <c r="E254" s="30" t="s">
        <v>921</v>
      </c>
      <c r="F254" s="184" t="s">
        <v>3328</v>
      </c>
      <c r="G254" s="235" t="s">
        <v>6951</v>
      </c>
      <c r="H254" s="509" t="s">
        <v>7089</v>
      </c>
      <c r="I254" s="194">
        <v>0</v>
      </c>
      <c r="J254" s="194">
        <v>68750</v>
      </c>
      <c r="K254" s="185" t="s">
        <v>4960</v>
      </c>
      <c r="L254" s="183" t="s">
        <v>4706</v>
      </c>
      <c r="M254" s="184" t="s">
        <v>6106</v>
      </c>
      <c r="N254" s="184" t="s">
        <v>5255</v>
      </c>
      <c r="O254" s="233"/>
    </row>
    <row r="255" spans="1:15" s="182" customFormat="1" ht="21.95" customHeight="1" x14ac:dyDescent="0.15">
      <c r="A255" s="151" t="s">
        <v>7195</v>
      </c>
      <c r="B255" s="20" t="s">
        <v>679</v>
      </c>
      <c r="C255" s="1075" t="s">
        <v>3346</v>
      </c>
      <c r="D255" s="236" t="s">
        <v>3354</v>
      </c>
      <c r="E255" s="30" t="s">
        <v>925</v>
      </c>
      <c r="F255" s="184" t="s">
        <v>3328</v>
      </c>
      <c r="G255" s="235" t="s">
        <v>6951</v>
      </c>
      <c r="H255" s="509" t="s">
        <v>7090</v>
      </c>
      <c r="I255" s="194">
        <v>0</v>
      </c>
      <c r="J255" s="194">
        <v>68750</v>
      </c>
      <c r="K255" s="185" t="s">
        <v>4960</v>
      </c>
      <c r="L255" s="183" t="s">
        <v>4706</v>
      </c>
      <c r="M255" s="184" t="s">
        <v>6106</v>
      </c>
      <c r="N255" s="184" t="s">
        <v>5255</v>
      </c>
      <c r="O255" s="233"/>
    </row>
    <row r="256" spans="1:15" s="182" customFormat="1" ht="21.95" customHeight="1" x14ac:dyDescent="0.15">
      <c r="A256" s="151" t="s">
        <v>7196</v>
      </c>
      <c r="B256" s="20" t="s">
        <v>5261</v>
      </c>
      <c r="C256" s="1075" t="s">
        <v>3346</v>
      </c>
      <c r="D256" s="1075" t="s">
        <v>3354</v>
      </c>
      <c r="E256" s="1075" t="s">
        <v>844</v>
      </c>
      <c r="F256" s="267" t="s">
        <v>3328</v>
      </c>
      <c r="G256" s="235" t="s">
        <v>6951</v>
      </c>
      <c r="H256" s="509" t="s">
        <v>7104</v>
      </c>
      <c r="I256" s="194">
        <v>0</v>
      </c>
      <c r="J256" s="194">
        <v>68750</v>
      </c>
      <c r="K256" s="185" t="s">
        <v>4960</v>
      </c>
      <c r="L256" s="183" t="s">
        <v>4706</v>
      </c>
      <c r="M256" s="184" t="s">
        <v>6106</v>
      </c>
      <c r="N256" s="184" t="s">
        <v>5255</v>
      </c>
      <c r="O256" s="233"/>
    </row>
    <row r="257" spans="1:15" s="182" customFormat="1" ht="21.95" customHeight="1" x14ac:dyDescent="0.15">
      <c r="A257" s="151" t="s">
        <v>7196</v>
      </c>
      <c r="B257" s="20" t="s">
        <v>5948</v>
      </c>
      <c r="C257" s="1075" t="s">
        <v>4982</v>
      </c>
      <c r="D257" s="1075" t="s">
        <v>5018</v>
      </c>
      <c r="E257" s="1075" t="s">
        <v>5335</v>
      </c>
      <c r="F257" s="184" t="s">
        <v>3328</v>
      </c>
      <c r="G257" s="235" t="s">
        <v>6951</v>
      </c>
      <c r="H257" s="509" t="s">
        <v>7127</v>
      </c>
      <c r="I257" s="194">
        <v>0</v>
      </c>
      <c r="J257" s="194">
        <v>68750</v>
      </c>
      <c r="K257" s="185" t="s">
        <v>4960</v>
      </c>
      <c r="L257" s="183" t="s">
        <v>4706</v>
      </c>
      <c r="M257" s="184" t="s">
        <v>6106</v>
      </c>
      <c r="N257" s="184" t="s">
        <v>5255</v>
      </c>
      <c r="O257" s="233"/>
    </row>
    <row r="258" spans="1:15" s="182" customFormat="1" ht="21.95" customHeight="1" x14ac:dyDescent="0.15">
      <c r="A258" s="151" t="s">
        <v>7196</v>
      </c>
      <c r="B258" s="20" t="s">
        <v>7197</v>
      </c>
      <c r="C258" s="1076" t="s">
        <v>4982</v>
      </c>
      <c r="D258" s="1076" t="s">
        <v>5018</v>
      </c>
      <c r="E258" s="1076" t="s">
        <v>664</v>
      </c>
      <c r="F258" s="224" t="s">
        <v>3328</v>
      </c>
      <c r="G258" s="235" t="s">
        <v>6951</v>
      </c>
      <c r="H258" s="509" t="s">
        <v>6949</v>
      </c>
      <c r="I258" s="194">
        <v>0</v>
      </c>
      <c r="J258" s="194">
        <v>68750</v>
      </c>
      <c r="K258" s="185" t="s">
        <v>4960</v>
      </c>
      <c r="L258" s="183" t="s">
        <v>4706</v>
      </c>
      <c r="M258" s="184" t="s">
        <v>6106</v>
      </c>
      <c r="N258" s="184" t="s">
        <v>5255</v>
      </c>
      <c r="O258" s="233"/>
    </row>
    <row r="259" spans="1:15" s="182" customFormat="1" ht="21.95" customHeight="1" x14ac:dyDescent="0.15">
      <c r="A259" s="151" t="s">
        <v>7198</v>
      </c>
      <c r="B259" s="20" t="s">
        <v>7050</v>
      </c>
      <c r="C259" s="184" t="s">
        <v>4941</v>
      </c>
      <c r="D259" s="184" t="s">
        <v>4942</v>
      </c>
      <c r="E259" s="1077" t="s">
        <v>7211</v>
      </c>
      <c r="F259" s="184" t="s">
        <v>5078</v>
      </c>
      <c r="G259" s="235" t="s">
        <v>6504</v>
      </c>
      <c r="H259" s="509" t="s">
        <v>7201</v>
      </c>
      <c r="I259" s="194">
        <v>0</v>
      </c>
      <c r="J259" s="194">
        <v>143640</v>
      </c>
      <c r="K259" s="185">
        <v>0.9</v>
      </c>
      <c r="L259" s="183" t="s">
        <v>7214</v>
      </c>
      <c r="M259" s="184" t="s">
        <v>5255</v>
      </c>
      <c r="N259" s="184" t="s">
        <v>5255</v>
      </c>
      <c r="O259" s="233"/>
    </row>
    <row r="260" spans="1:15" s="182" customFormat="1" ht="21.95" customHeight="1" x14ac:dyDescent="0.15">
      <c r="A260" s="151" t="s">
        <v>7198</v>
      </c>
      <c r="B260" s="20" t="s">
        <v>7050</v>
      </c>
      <c r="C260" s="184" t="s">
        <v>4941</v>
      </c>
      <c r="D260" s="184" t="s">
        <v>4942</v>
      </c>
      <c r="E260" s="1077" t="s">
        <v>7212</v>
      </c>
      <c r="F260" s="184" t="s">
        <v>5078</v>
      </c>
      <c r="G260" s="235" t="s">
        <v>6504</v>
      </c>
      <c r="H260" s="509" t="s">
        <v>7202</v>
      </c>
      <c r="I260" s="194">
        <v>0</v>
      </c>
      <c r="J260" s="194">
        <v>143640</v>
      </c>
      <c r="K260" s="185">
        <v>0.9</v>
      </c>
      <c r="L260" s="183" t="s">
        <v>7214</v>
      </c>
      <c r="M260" s="184" t="s">
        <v>5255</v>
      </c>
      <c r="N260" s="184" t="s">
        <v>5255</v>
      </c>
      <c r="O260" s="233"/>
    </row>
    <row r="261" spans="1:15" s="182" customFormat="1" ht="21.95" customHeight="1" x14ac:dyDescent="0.15">
      <c r="A261" s="151" t="s">
        <v>7198</v>
      </c>
      <c r="B261" s="20" t="s">
        <v>7050</v>
      </c>
      <c r="C261" s="184" t="s">
        <v>4941</v>
      </c>
      <c r="D261" s="184" t="s">
        <v>4942</v>
      </c>
      <c r="E261" s="1077" t="s">
        <v>7213</v>
      </c>
      <c r="F261" s="184" t="s">
        <v>5078</v>
      </c>
      <c r="G261" s="235" t="s">
        <v>6504</v>
      </c>
      <c r="H261" s="509" t="s">
        <v>7203</v>
      </c>
      <c r="I261" s="194">
        <v>0</v>
      </c>
      <c r="J261" s="194">
        <v>143640</v>
      </c>
      <c r="K261" s="185">
        <v>0.9</v>
      </c>
      <c r="L261" s="183" t="s">
        <v>7214</v>
      </c>
      <c r="M261" s="184" t="s">
        <v>5255</v>
      </c>
      <c r="N261" s="184" t="s">
        <v>5255</v>
      </c>
      <c r="O261" s="233"/>
    </row>
    <row r="262" spans="1:15" s="182" customFormat="1" ht="21.95" customHeight="1" x14ac:dyDescent="0.15">
      <c r="A262" s="151" t="s">
        <v>7198</v>
      </c>
      <c r="B262" s="20" t="s">
        <v>7121</v>
      </c>
      <c r="C262" s="184" t="s">
        <v>4963</v>
      </c>
      <c r="D262" s="184" t="s">
        <v>5153</v>
      </c>
      <c r="E262" s="184" t="s">
        <v>7215</v>
      </c>
      <c r="F262" s="184" t="s">
        <v>4944</v>
      </c>
      <c r="G262" s="235" t="s">
        <v>5333</v>
      </c>
      <c r="H262" s="509" t="s">
        <v>7208</v>
      </c>
      <c r="I262" s="194">
        <v>0</v>
      </c>
      <c r="J262" s="194">
        <v>71156.899999999994</v>
      </c>
      <c r="K262" s="185">
        <v>0.95</v>
      </c>
      <c r="L262" s="183" t="s">
        <v>5768</v>
      </c>
      <c r="M262" s="184" t="s">
        <v>5765</v>
      </c>
      <c r="N262" s="184" t="s">
        <v>5765</v>
      </c>
      <c r="O262" s="233"/>
    </row>
    <row r="263" spans="1:15" s="182" customFormat="1" ht="21.95" customHeight="1" x14ac:dyDescent="0.15">
      <c r="A263" s="151" t="s">
        <v>7198</v>
      </c>
      <c r="B263" s="20" t="s">
        <v>7121</v>
      </c>
      <c r="C263" s="184" t="s">
        <v>4963</v>
      </c>
      <c r="D263" s="184" t="s">
        <v>5028</v>
      </c>
      <c r="E263" s="184" t="s">
        <v>7216</v>
      </c>
      <c r="F263" s="184" t="s">
        <v>4944</v>
      </c>
      <c r="G263" s="235" t="s">
        <v>5333</v>
      </c>
      <c r="H263" s="509" t="s">
        <v>7209</v>
      </c>
      <c r="I263" s="194">
        <v>0</v>
      </c>
      <c r="J263" s="194">
        <v>71156.899999999994</v>
      </c>
      <c r="K263" s="185">
        <v>0.95</v>
      </c>
      <c r="L263" s="183" t="s">
        <v>5768</v>
      </c>
      <c r="M263" s="184" t="s">
        <v>5765</v>
      </c>
      <c r="N263" s="184" t="s">
        <v>5765</v>
      </c>
      <c r="O263" s="233"/>
    </row>
    <row r="264" spans="1:15" s="182" customFormat="1" ht="21.95" customHeight="1" x14ac:dyDescent="0.15">
      <c r="A264" s="151" t="s">
        <v>7198</v>
      </c>
      <c r="B264" s="20" t="s">
        <v>7200</v>
      </c>
      <c r="C264" s="1078" t="s">
        <v>3351</v>
      </c>
      <c r="D264" s="1078" t="s">
        <v>7217</v>
      </c>
      <c r="E264" s="1078" t="s">
        <v>7218</v>
      </c>
      <c r="F264" s="184" t="s">
        <v>3328</v>
      </c>
      <c r="G264" s="235" t="s">
        <v>3329</v>
      </c>
      <c r="H264" s="509" t="s">
        <v>7204</v>
      </c>
      <c r="I264" s="194">
        <v>0</v>
      </c>
      <c r="J264" s="194">
        <v>355770</v>
      </c>
      <c r="K264" s="185">
        <v>0.9</v>
      </c>
      <c r="L264" s="183" t="s">
        <v>5768</v>
      </c>
      <c r="M264" s="184" t="s">
        <v>5255</v>
      </c>
      <c r="N264" s="184" t="s">
        <v>5255</v>
      </c>
      <c r="O264" s="233"/>
    </row>
    <row r="265" spans="1:15" s="182" customFormat="1" ht="21.95" customHeight="1" x14ac:dyDescent="0.15">
      <c r="A265" s="151" t="s">
        <v>7199</v>
      </c>
      <c r="B265" s="20" t="s">
        <v>5883</v>
      </c>
      <c r="C265" s="184" t="s">
        <v>4982</v>
      </c>
      <c r="D265" s="184" t="s">
        <v>5098</v>
      </c>
      <c r="E265" s="184" t="s">
        <v>7219</v>
      </c>
      <c r="F265" s="184" t="s">
        <v>3400</v>
      </c>
      <c r="G265" s="235" t="s">
        <v>5086</v>
      </c>
      <c r="H265" s="509">
        <v>22040</v>
      </c>
      <c r="I265" s="194">
        <v>70200</v>
      </c>
      <c r="J265" s="194">
        <v>0</v>
      </c>
      <c r="K265" s="185">
        <v>0.9</v>
      </c>
      <c r="L265" s="183" t="s">
        <v>7220</v>
      </c>
      <c r="M265" s="184" t="s">
        <v>5835</v>
      </c>
      <c r="N265" s="184" t="s">
        <v>5835</v>
      </c>
      <c r="O265" s="233"/>
    </row>
    <row r="266" spans="1:15" s="182" customFormat="1" ht="21.95" customHeight="1" x14ac:dyDescent="0.15">
      <c r="A266" s="151" t="s">
        <v>7199</v>
      </c>
      <c r="B266" s="849" t="s">
        <v>7207</v>
      </c>
      <c r="C266" s="1079" t="s">
        <v>3363</v>
      </c>
      <c r="D266" s="1079" t="s">
        <v>7221</v>
      </c>
      <c r="E266" s="1079" t="s">
        <v>7222</v>
      </c>
      <c r="F266" s="184" t="s">
        <v>5078</v>
      </c>
      <c r="G266" s="235" t="s">
        <v>5090</v>
      </c>
      <c r="H266" s="509" t="s">
        <v>7205</v>
      </c>
      <c r="I266" s="194">
        <v>44000</v>
      </c>
      <c r="J266" s="194">
        <v>0</v>
      </c>
      <c r="K266" s="185">
        <v>0.1</v>
      </c>
      <c r="L266" s="183" t="s">
        <v>6144</v>
      </c>
      <c r="M266" s="184" t="s">
        <v>5765</v>
      </c>
      <c r="N266" s="184" t="s">
        <v>5765</v>
      </c>
      <c r="O266" s="233"/>
    </row>
    <row r="267" spans="1:15" s="182" customFormat="1" ht="21.95" customHeight="1" x14ac:dyDescent="0.15">
      <c r="A267" s="151" t="s">
        <v>7199</v>
      </c>
      <c r="B267" s="849" t="s">
        <v>7207</v>
      </c>
      <c r="C267" s="1079" t="s">
        <v>3363</v>
      </c>
      <c r="D267" s="1079" t="s">
        <v>7221</v>
      </c>
      <c r="E267" s="1079" t="s">
        <v>7223</v>
      </c>
      <c r="F267" s="184" t="s">
        <v>5078</v>
      </c>
      <c r="G267" s="235" t="s">
        <v>5090</v>
      </c>
      <c r="H267" s="509" t="s">
        <v>7206</v>
      </c>
      <c r="I267" s="194">
        <v>44000</v>
      </c>
      <c r="J267" s="194">
        <v>0</v>
      </c>
      <c r="K267" s="185">
        <v>0.1</v>
      </c>
      <c r="L267" s="183" t="s">
        <v>6144</v>
      </c>
      <c r="M267" s="184" t="s">
        <v>5765</v>
      </c>
      <c r="N267" s="184" t="s">
        <v>5765</v>
      </c>
      <c r="O267" s="233"/>
    </row>
    <row r="268" spans="1:15" s="182" customFormat="1" ht="21.95" customHeight="1" x14ac:dyDescent="0.15">
      <c r="A268" s="151" t="s">
        <v>7228</v>
      </c>
      <c r="B268" s="20" t="s">
        <v>6725</v>
      </c>
      <c r="C268" s="184" t="s">
        <v>3371</v>
      </c>
      <c r="D268" s="184" t="s">
        <v>3547</v>
      </c>
      <c r="E268" s="184" t="s">
        <v>7244</v>
      </c>
      <c r="F268" s="184" t="s">
        <v>3344</v>
      </c>
      <c r="G268" s="235" t="s">
        <v>7245</v>
      </c>
      <c r="H268" s="509">
        <v>25124</v>
      </c>
      <c r="I268" s="194">
        <v>0</v>
      </c>
      <c r="J268" s="194">
        <v>65000</v>
      </c>
      <c r="K268" s="185" t="s">
        <v>6375</v>
      </c>
      <c r="L268" s="183" t="s">
        <v>5743</v>
      </c>
      <c r="M268" s="184" t="s">
        <v>7246</v>
      </c>
      <c r="N268" s="184" t="s">
        <v>7246</v>
      </c>
      <c r="O268" s="233"/>
    </row>
    <row r="269" spans="1:15" s="182" customFormat="1" ht="21.95" customHeight="1" x14ac:dyDescent="0.15">
      <c r="A269" s="151" t="s">
        <v>7229</v>
      </c>
      <c r="B269" s="20" t="s">
        <v>7238</v>
      </c>
      <c r="C269" s="391" t="s">
        <v>3346</v>
      </c>
      <c r="D269" s="391" t="s">
        <v>3360</v>
      </c>
      <c r="E269" s="391" t="s">
        <v>6590</v>
      </c>
      <c r="F269" s="184" t="s">
        <v>5762</v>
      </c>
      <c r="G269" s="235" t="s">
        <v>6591</v>
      </c>
      <c r="H269" s="509">
        <v>23171</v>
      </c>
      <c r="I269" s="194">
        <v>0</v>
      </c>
      <c r="J269" s="194">
        <v>113750</v>
      </c>
      <c r="K269" s="185">
        <v>0.35</v>
      </c>
      <c r="L269" s="183" t="s">
        <v>7247</v>
      </c>
      <c r="M269" s="945" t="s">
        <v>3433</v>
      </c>
      <c r="N269" s="945" t="s">
        <v>3433</v>
      </c>
      <c r="O269" s="233"/>
    </row>
    <row r="270" spans="1:15" s="182" customFormat="1" ht="21.95" customHeight="1" x14ac:dyDescent="0.15">
      <c r="A270" s="151" t="s">
        <v>7229</v>
      </c>
      <c r="B270" s="20" t="s">
        <v>7239</v>
      </c>
      <c r="C270" s="391" t="s">
        <v>3346</v>
      </c>
      <c r="D270" s="391" t="s">
        <v>3360</v>
      </c>
      <c r="E270" s="391" t="s">
        <v>6602</v>
      </c>
      <c r="F270" s="184" t="s">
        <v>5762</v>
      </c>
      <c r="G270" s="235" t="s">
        <v>6591</v>
      </c>
      <c r="H270" s="509">
        <v>23172</v>
      </c>
      <c r="I270" s="194">
        <v>0</v>
      </c>
      <c r="J270" s="194">
        <v>113750</v>
      </c>
      <c r="K270" s="185">
        <v>0.35</v>
      </c>
      <c r="L270" s="183" t="s">
        <v>7247</v>
      </c>
      <c r="M270" s="945" t="s">
        <v>3433</v>
      </c>
      <c r="N270" s="945" t="s">
        <v>3433</v>
      </c>
      <c r="O270" s="233"/>
    </row>
    <row r="271" spans="1:15" s="182" customFormat="1" ht="21.95" customHeight="1" x14ac:dyDescent="0.15">
      <c r="A271" s="151" t="s">
        <v>7229</v>
      </c>
      <c r="B271" s="20" t="s">
        <v>5968</v>
      </c>
      <c r="C271" s="236" t="s">
        <v>3346</v>
      </c>
      <c r="D271" s="1080" t="s">
        <v>3354</v>
      </c>
      <c r="E271" s="180" t="s">
        <v>4130</v>
      </c>
      <c r="F271" s="224" t="s">
        <v>3328</v>
      </c>
      <c r="G271" s="235" t="s">
        <v>6951</v>
      </c>
      <c r="H271" s="509" t="s">
        <v>6973</v>
      </c>
      <c r="I271" s="194">
        <v>0</v>
      </c>
      <c r="J271" s="194">
        <v>68750</v>
      </c>
      <c r="K271" s="185" t="s">
        <v>4960</v>
      </c>
      <c r="L271" s="183" t="s">
        <v>4706</v>
      </c>
      <c r="M271" s="184" t="s">
        <v>6106</v>
      </c>
      <c r="N271" s="184" t="s">
        <v>5255</v>
      </c>
      <c r="O271" s="233"/>
    </row>
    <row r="272" spans="1:15" s="182" customFormat="1" ht="21.95" customHeight="1" x14ac:dyDescent="0.15">
      <c r="A272" s="151" t="s">
        <v>7230</v>
      </c>
      <c r="B272" s="20" t="s">
        <v>7240</v>
      </c>
      <c r="C272" s="1081" t="s">
        <v>3351</v>
      </c>
      <c r="D272" s="1081" t="s">
        <v>7217</v>
      </c>
      <c r="E272" s="1081" t="s">
        <v>7249</v>
      </c>
      <c r="F272" s="184" t="s">
        <v>3328</v>
      </c>
      <c r="G272" s="235" t="s">
        <v>6020</v>
      </c>
      <c r="H272" s="509" t="s">
        <v>7248</v>
      </c>
      <c r="I272" s="194">
        <v>0</v>
      </c>
      <c r="J272" s="194">
        <v>241200</v>
      </c>
      <c r="K272" s="185">
        <v>0.9</v>
      </c>
      <c r="L272" s="183" t="s">
        <v>5768</v>
      </c>
      <c r="M272" s="184" t="s">
        <v>3726</v>
      </c>
      <c r="N272" s="184" t="s">
        <v>3726</v>
      </c>
      <c r="O272" s="233"/>
    </row>
    <row r="273" spans="1:15" s="182" customFormat="1" ht="21.95" customHeight="1" x14ac:dyDescent="0.15">
      <c r="A273" s="151" t="s">
        <v>7230</v>
      </c>
      <c r="B273" s="20" t="s">
        <v>5832</v>
      </c>
      <c r="C273" s="945" t="s">
        <v>3985</v>
      </c>
      <c r="D273" s="945" t="s">
        <v>3837</v>
      </c>
      <c r="E273" s="952" t="s">
        <v>43</v>
      </c>
      <c r="F273" s="184" t="s">
        <v>5078</v>
      </c>
      <c r="G273" s="239" t="s">
        <v>3566</v>
      </c>
      <c r="H273" s="509">
        <v>24118</v>
      </c>
      <c r="I273" s="194">
        <v>0</v>
      </c>
      <c r="J273" s="194">
        <v>73450</v>
      </c>
      <c r="K273" s="185" t="s">
        <v>7250</v>
      </c>
      <c r="L273" s="183" t="s">
        <v>5743</v>
      </c>
      <c r="M273" s="184" t="s">
        <v>5765</v>
      </c>
      <c r="N273" s="184" t="s">
        <v>5765</v>
      </c>
      <c r="O273" s="233"/>
    </row>
    <row r="274" spans="1:15" s="182" customFormat="1" ht="21.95" customHeight="1" x14ac:dyDescent="0.15">
      <c r="A274" s="151" t="s">
        <v>7231</v>
      </c>
      <c r="B274" s="20" t="s">
        <v>5797</v>
      </c>
      <c r="C274" s="399" t="s">
        <v>5567</v>
      </c>
      <c r="D274" s="399" t="s">
        <v>5760</v>
      </c>
      <c r="E274" s="399" t="s">
        <v>5761</v>
      </c>
      <c r="F274" s="184" t="s">
        <v>5762</v>
      </c>
      <c r="G274" s="235" t="s">
        <v>5763</v>
      </c>
      <c r="H274" s="509" t="s">
        <v>6604</v>
      </c>
      <c r="I274" s="194">
        <v>0</v>
      </c>
      <c r="J274" s="194">
        <v>3822.8</v>
      </c>
      <c r="K274" s="185">
        <v>0.1</v>
      </c>
      <c r="L274" s="183" t="s">
        <v>806</v>
      </c>
      <c r="M274" s="184" t="s">
        <v>5765</v>
      </c>
      <c r="N274" s="184" t="s">
        <v>5765</v>
      </c>
      <c r="O274" s="233"/>
    </row>
    <row r="275" spans="1:15" s="182" customFormat="1" ht="21.95" customHeight="1" x14ac:dyDescent="0.15">
      <c r="A275" s="151" t="s">
        <v>7231</v>
      </c>
      <c r="B275" s="20" t="s">
        <v>5797</v>
      </c>
      <c r="C275" s="399" t="s">
        <v>5567</v>
      </c>
      <c r="D275" s="399" t="s">
        <v>5760</v>
      </c>
      <c r="E275" s="399" t="s">
        <v>5761</v>
      </c>
      <c r="F275" s="184" t="s">
        <v>5078</v>
      </c>
      <c r="G275" s="235" t="s">
        <v>3329</v>
      </c>
      <c r="H275" s="509" t="s">
        <v>5758</v>
      </c>
      <c r="I275" s="194">
        <v>0</v>
      </c>
      <c r="J275" s="194">
        <v>66627.7</v>
      </c>
      <c r="K275" s="185">
        <v>0.1</v>
      </c>
      <c r="L275" s="183" t="s">
        <v>806</v>
      </c>
      <c r="M275" s="184" t="s">
        <v>5765</v>
      </c>
      <c r="N275" s="184" t="s">
        <v>5765</v>
      </c>
      <c r="O275" s="233"/>
    </row>
    <row r="276" spans="1:15" s="182" customFormat="1" ht="21.95" customHeight="1" x14ac:dyDescent="0.15">
      <c r="A276" s="151" t="s">
        <v>7231</v>
      </c>
      <c r="B276" s="20" t="s">
        <v>5797</v>
      </c>
      <c r="C276" s="399" t="s">
        <v>5567</v>
      </c>
      <c r="D276" s="399" t="s">
        <v>5760</v>
      </c>
      <c r="E276" s="399" t="s">
        <v>5761</v>
      </c>
      <c r="F276" s="184" t="s">
        <v>3400</v>
      </c>
      <c r="G276" s="235" t="s">
        <v>5764</v>
      </c>
      <c r="H276" s="509" t="s">
        <v>5759</v>
      </c>
      <c r="I276" s="194">
        <v>0</v>
      </c>
      <c r="J276" s="194">
        <v>2349.5</v>
      </c>
      <c r="K276" s="185">
        <v>0.1</v>
      </c>
      <c r="L276" s="183" t="s">
        <v>806</v>
      </c>
      <c r="M276" s="184" t="s">
        <v>5765</v>
      </c>
      <c r="N276" s="184" t="s">
        <v>5765</v>
      </c>
      <c r="O276" s="233"/>
    </row>
    <row r="277" spans="1:15" s="182" customFormat="1" ht="21.95" customHeight="1" x14ac:dyDescent="0.15">
      <c r="A277" s="151" t="s">
        <v>7232</v>
      </c>
      <c r="B277" s="20" t="s">
        <v>7241</v>
      </c>
      <c r="C277" s="184" t="s">
        <v>4941</v>
      </c>
      <c r="D277" s="184" t="s">
        <v>5153</v>
      </c>
      <c r="E277" s="184" t="s">
        <v>6643</v>
      </c>
      <c r="F277" s="184" t="s">
        <v>5078</v>
      </c>
      <c r="G277" s="235" t="s">
        <v>5681</v>
      </c>
      <c r="H277" s="509">
        <v>23122</v>
      </c>
      <c r="I277" s="194">
        <v>0</v>
      </c>
      <c r="J277" s="194">
        <v>4194</v>
      </c>
      <c r="K277" s="185">
        <v>0.03</v>
      </c>
      <c r="L277" s="183" t="s">
        <v>5744</v>
      </c>
      <c r="M277" s="184" t="s">
        <v>5255</v>
      </c>
      <c r="N277" s="184" t="s">
        <v>5255</v>
      </c>
      <c r="O277" s="233"/>
    </row>
    <row r="278" spans="1:15" s="182" customFormat="1" ht="21.95" customHeight="1" x14ac:dyDescent="0.15">
      <c r="A278" s="151" t="s">
        <v>7233</v>
      </c>
      <c r="B278" s="20" t="s">
        <v>6302</v>
      </c>
      <c r="C278" s="224" t="s">
        <v>3351</v>
      </c>
      <c r="D278" s="224" t="s">
        <v>3352</v>
      </c>
      <c r="E278" s="394" t="s">
        <v>2794</v>
      </c>
      <c r="F278" s="403" t="s">
        <v>3340</v>
      </c>
      <c r="G278" s="239" t="s">
        <v>3349</v>
      </c>
      <c r="H278" s="509">
        <v>22089</v>
      </c>
      <c r="I278" s="194">
        <v>0</v>
      </c>
      <c r="J278" s="194">
        <v>22050</v>
      </c>
      <c r="K278" s="222">
        <v>0.315</v>
      </c>
      <c r="L278" s="183" t="s">
        <v>5743</v>
      </c>
      <c r="M278" s="184" t="s">
        <v>5255</v>
      </c>
      <c r="N278" s="184" t="s">
        <v>5255</v>
      </c>
      <c r="O278" s="233"/>
    </row>
    <row r="279" spans="1:15" s="182" customFormat="1" ht="21.95" customHeight="1" x14ac:dyDescent="0.15">
      <c r="A279" s="151" t="s">
        <v>7233</v>
      </c>
      <c r="B279" s="20" t="s">
        <v>6302</v>
      </c>
      <c r="C279" s="224" t="s">
        <v>3351</v>
      </c>
      <c r="D279" s="224" t="s">
        <v>3352</v>
      </c>
      <c r="E279" s="180" t="s">
        <v>2794</v>
      </c>
      <c r="F279" s="207" t="s">
        <v>3340</v>
      </c>
      <c r="G279" s="239" t="s">
        <v>3566</v>
      </c>
      <c r="H279" s="509">
        <v>24104</v>
      </c>
      <c r="I279" s="194">
        <v>0</v>
      </c>
      <c r="J279" s="194">
        <v>34500</v>
      </c>
      <c r="K279" s="185" t="s">
        <v>6456</v>
      </c>
      <c r="L279" s="183" t="s">
        <v>5743</v>
      </c>
      <c r="M279" s="184" t="s">
        <v>5255</v>
      </c>
      <c r="N279" s="184" t="s">
        <v>5255</v>
      </c>
      <c r="O279" s="233"/>
    </row>
    <row r="280" spans="1:15" s="182" customFormat="1" ht="21.95" customHeight="1" x14ac:dyDescent="0.15">
      <c r="A280" s="151" t="s">
        <v>7233</v>
      </c>
      <c r="B280" s="20" t="s">
        <v>6301</v>
      </c>
      <c r="C280" s="224" t="s">
        <v>3351</v>
      </c>
      <c r="D280" s="224" t="s">
        <v>3352</v>
      </c>
      <c r="E280" s="394" t="s">
        <v>3643</v>
      </c>
      <c r="F280" s="403" t="s">
        <v>3340</v>
      </c>
      <c r="G280" s="239" t="s">
        <v>3349</v>
      </c>
      <c r="H280" s="509">
        <v>23104</v>
      </c>
      <c r="I280" s="194">
        <v>0</v>
      </c>
      <c r="J280" s="194">
        <v>24150</v>
      </c>
      <c r="K280" s="222">
        <v>0.34499999999999997</v>
      </c>
      <c r="L280" s="183" t="s">
        <v>5743</v>
      </c>
      <c r="M280" s="184" t="s">
        <v>5255</v>
      </c>
      <c r="N280" s="184" t="s">
        <v>5255</v>
      </c>
      <c r="O280" s="233"/>
    </row>
    <row r="281" spans="1:15" s="182" customFormat="1" ht="21.95" customHeight="1" x14ac:dyDescent="0.15">
      <c r="A281" s="151" t="s">
        <v>7233</v>
      </c>
      <c r="B281" s="20" t="s">
        <v>6301</v>
      </c>
      <c r="C281" s="224" t="s">
        <v>3351</v>
      </c>
      <c r="D281" s="224" t="s">
        <v>3352</v>
      </c>
      <c r="E281" s="180" t="s">
        <v>3643</v>
      </c>
      <c r="F281" s="207" t="s">
        <v>3340</v>
      </c>
      <c r="G281" s="239" t="s">
        <v>3566</v>
      </c>
      <c r="H281" s="509">
        <v>24108</v>
      </c>
      <c r="I281" s="194">
        <v>0</v>
      </c>
      <c r="J281" s="194">
        <v>34500</v>
      </c>
      <c r="K281" s="185" t="s">
        <v>6456</v>
      </c>
      <c r="L281" s="183" t="s">
        <v>5743</v>
      </c>
      <c r="M281" s="184" t="s">
        <v>5255</v>
      </c>
      <c r="N281" s="184" t="s">
        <v>5255</v>
      </c>
      <c r="O281" s="233"/>
    </row>
    <row r="282" spans="1:15" s="182" customFormat="1" ht="21.95" customHeight="1" x14ac:dyDescent="0.15">
      <c r="A282" s="151" t="s">
        <v>7233</v>
      </c>
      <c r="B282" s="20" t="s">
        <v>7242</v>
      </c>
      <c r="C282" s="945" t="s">
        <v>3346</v>
      </c>
      <c r="D282" s="391" t="s">
        <v>3354</v>
      </c>
      <c r="E282" s="958" t="s">
        <v>925</v>
      </c>
      <c r="F282" s="419" t="s">
        <v>3355</v>
      </c>
      <c r="G282" s="460" t="s">
        <v>3775</v>
      </c>
      <c r="H282" s="509">
        <v>19072</v>
      </c>
      <c r="I282" s="194">
        <v>0</v>
      </c>
      <c r="J282" s="194">
        <v>16113.9</v>
      </c>
      <c r="K282" s="185">
        <v>0.1</v>
      </c>
      <c r="L282" s="183" t="s">
        <v>7252</v>
      </c>
      <c r="M282" s="184" t="s">
        <v>662</v>
      </c>
      <c r="N282" s="184" t="s">
        <v>693</v>
      </c>
      <c r="O282" s="233"/>
    </row>
    <row r="283" spans="1:15" s="182" customFormat="1" ht="21.95" customHeight="1" x14ac:dyDescent="0.15">
      <c r="A283" s="151" t="s">
        <v>7233</v>
      </c>
      <c r="B283" s="20" t="s">
        <v>7242</v>
      </c>
      <c r="C283" s="945" t="s">
        <v>3346</v>
      </c>
      <c r="D283" s="945" t="s">
        <v>3354</v>
      </c>
      <c r="E283" s="945" t="s">
        <v>846</v>
      </c>
      <c r="F283" s="419" t="s">
        <v>3355</v>
      </c>
      <c r="G283" s="460" t="s">
        <v>3775</v>
      </c>
      <c r="H283" s="509">
        <v>19074</v>
      </c>
      <c r="I283" s="194">
        <v>0</v>
      </c>
      <c r="J283" s="194">
        <v>16113.9</v>
      </c>
      <c r="K283" s="185">
        <v>0.1</v>
      </c>
      <c r="L283" s="183" t="s">
        <v>7252</v>
      </c>
      <c r="M283" s="184" t="s">
        <v>662</v>
      </c>
      <c r="N283" s="184" t="s">
        <v>693</v>
      </c>
      <c r="O283" s="233"/>
    </row>
    <row r="284" spans="1:15" s="182" customFormat="1" ht="21.95" customHeight="1" x14ac:dyDescent="0.15">
      <c r="A284" s="151" t="s">
        <v>7233</v>
      </c>
      <c r="B284" s="20" t="s">
        <v>7242</v>
      </c>
      <c r="C284" s="945" t="s">
        <v>3346</v>
      </c>
      <c r="D284" s="945" t="s">
        <v>3354</v>
      </c>
      <c r="E284" s="945" t="s">
        <v>7251</v>
      </c>
      <c r="F284" s="419" t="s">
        <v>3355</v>
      </c>
      <c r="G284" s="460" t="s">
        <v>3775</v>
      </c>
      <c r="H284" s="509">
        <v>19073</v>
      </c>
      <c r="I284" s="194">
        <v>0</v>
      </c>
      <c r="J284" s="194">
        <v>61139.1</v>
      </c>
      <c r="K284" s="185" t="s">
        <v>7254</v>
      </c>
      <c r="L284" s="183" t="s">
        <v>5768</v>
      </c>
      <c r="M284" s="184" t="s">
        <v>662</v>
      </c>
      <c r="N284" s="184" t="s">
        <v>693</v>
      </c>
      <c r="O284" s="233"/>
    </row>
    <row r="285" spans="1:15" s="182" customFormat="1" ht="21.95" customHeight="1" x14ac:dyDescent="0.15">
      <c r="A285" s="151" t="s">
        <v>7233</v>
      </c>
      <c r="B285" s="20" t="s">
        <v>7242</v>
      </c>
      <c r="C285" s="945" t="s">
        <v>3346</v>
      </c>
      <c r="D285" s="945" t="s">
        <v>3354</v>
      </c>
      <c r="E285" s="945" t="s">
        <v>7251</v>
      </c>
      <c r="F285" s="419" t="s">
        <v>3355</v>
      </c>
      <c r="G285" s="460" t="s">
        <v>3775</v>
      </c>
      <c r="H285" s="509">
        <v>19073</v>
      </c>
      <c r="I285" s="194">
        <v>100000</v>
      </c>
      <c r="J285" s="194">
        <v>0</v>
      </c>
      <c r="K285" s="185" t="s">
        <v>7253</v>
      </c>
      <c r="L285" s="183" t="s">
        <v>7255</v>
      </c>
      <c r="M285" s="184" t="s">
        <v>662</v>
      </c>
      <c r="N285" s="184" t="s">
        <v>693</v>
      </c>
      <c r="O285" s="233"/>
    </row>
    <row r="286" spans="1:15" s="182" customFormat="1" ht="21.95" customHeight="1" x14ac:dyDescent="0.15">
      <c r="A286" s="151" t="s">
        <v>7234</v>
      </c>
      <c r="B286" s="20" t="s">
        <v>5912</v>
      </c>
      <c r="C286" s="224" t="s">
        <v>3351</v>
      </c>
      <c r="D286" s="224" t="s">
        <v>3352</v>
      </c>
      <c r="E286" s="394" t="s">
        <v>2789</v>
      </c>
      <c r="F286" s="403" t="s">
        <v>3340</v>
      </c>
      <c r="G286" s="239" t="s">
        <v>3349</v>
      </c>
      <c r="H286" s="509">
        <v>23103</v>
      </c>
      <c r="I286" s="194">
        <v>0</v>
      </c>
      <c r="J286" s="194">
        <v>35000</v>
      </c>
      <c r="K286" s="185">
        <v>0.5</v>
      </c>
      <c r="L286" s="183" t="s">
        <v>5743</v>
      </c>
      <c r="M286" s="184" t="s">
        <v>5255</v>
      </c>
      <c r="N286" s="184" t="s">
        <v>5255</v>
      </c>
      <c r="O286" s="233"/>
    </row>
    <row r="287" spans="1:15" s="182" customFormat="1" ht="21.95" customHeight="1" x14ac:dyDescent="0.15">
      <c r="A287" s="151" t="s">
        <v>7234</v>
      </c>
      <c r="B287" s="20" t="s">
        <v>5912</v>
      </c>
      <c r="C287" s="224" t="s">
        <v>3351</v>
      </c>
      <c r="D287" s="224" t="s">
        <v>3352</v>
      </c>
      <c r="E287" s="394" t="s">
        <v>2788</v>
      </c>
      <c r="F287" s="403" t="s">
        <v>3340</v>
      </c>
      <c r="G287" s="239" t="s">
        <v>3349</v>
      </c>
      <c r="H287" s="509">
        <v>23108</v>
      </c>
      <c r="I287" s="194">
        <v>0</v>
      </c>
      <c r="J287" s="194">
        <v>35000</v>
      </c>
      <c r="K287" s="185">
        <v>0.5</v>
      </c>
      <c r="L287" s="183" t="s">
        <v>5743</v>
      </c>
      <c r="M287" s="184" t="s">
        <v>5255</v>
      </c>
      <c r="N287" s="184" t="s">
        <v>5255</v>
      </c>
      <c r="O287" s="233"/>
    </row>
    <row r="288" spans="1:15" s="182" customFormat="1" ht="21.95" customHeight="1" x14ac:dyDescent="0.15">
      <c r="A288" s="151" t="s">
        <v>7234</v>
      </c>
      <c r="B288" s="20" t="s">
        <v>5912</v>
      </c>
      <c r="C288" s="224" t="s">
        <v>3351</v>
      </c>
      <c r="D288" s="224" t="s">
        <v>3352</v>
      </c>
      <c r="E288" s="180" t="s">
        <v>2789</v>
      </c>
      <c r="F288" s="207" t="s">
        <v>3340</v>
      </c>
      <c r="G288" s="239" t="s">
        <v>3566</v>
      </c>
      <c r="H288" s="509">
        <v>24107</v>
      </c>
      <c r="I288" s="194">
        <v>0</v>
      </c>
      <c r="J288" s="194">
        <v>34500</v>
      </c>
      <c r="K288" s="185" t="s">
        <v>6456</v>
      </c>
      <c r="L288" s="183" t="s">
        <v>5743</v>
      </c>
      <c r="M288" s="184" t="s">
        <v>5255</v>
      </c>
      <c r="N288" s="184" t="s">
        <v>5255</v>
      </c>
      <c r="O288" s="233"/>
    </row>
    <row r="289" spans="1:15" s="182" customFormat="1" ht="21.95" customHeight="1" x14ac:dyDescent="0.15">
      <c r="A289" s="151" t="s">
        <v>7234</v>
      </c>
      <c r="B289" s="20" t="s">
        <v>5912</v>
      </c>
      <c r="C289" s="224" t="s">
        <v>3351</v>
      </c>
      <c r="D289" s="224" t="s">
        <v>3352</v>
      </c>
      <c r="E289" s="180" t="s">
        <v>2788</v>
      </c>
      <c r="F289" s="207" t="s">
        <v>3340</v>
      </c>
      <c r="G289" s="239" t="s">
        <v>3566</v>
      </c>
      <c r="H289" s="509">
        <v>24112</v>
      </c>
      <c r="I289" s="194">
        <v>0</v>
      </c>
      <c r="J289" s="194">
        <v>34500</v>
      </c>
      <c r="K289" s="185" t="s">
        <v>6456</v>
      </c>
      <c r="L289" s="183" t="s">
        <v>5743</v>
      </c>
      <c r="M289" s="184" t="s">
        <v>5255</v>
      </c>
      <c r="N289" s="184" t="s">
        <v>5255</v>
      </c>
      <c r="O289" s="233"/>
    </row>
    <row r="290" spans="1:15" s="182" customFormat="1" ht="21.95" customHeight="1" x14ac:dyDescent="0.15">
      <c r="A290" s="151" t="s">
        <v>7234</v>
      </c>
      <c r="B290" s="20" t="s">
        <v>7243</v>
      </c>
      <c r="C290" s="224" t="s">
        <v>3351</v>
      </c>
      <c r="D290" s="224" t="s">
        <v>3352</v>
      </c>
      <c r="E290" s="180" t="s">
        <v>2784</v>
      </c>
      <c r="F290" s="207" t="s">
        <v>3328</v>
      </c>
      <c r="G290" s="239" t="s">
        <v>3566</v>
      </c>
      <c r="H290" s="509">
        <v>24103</v>
      </c>
      <c r="I290" s="194">
        <v>0</v>
      </c>
      <c r="J290" s="194">
        <v>34500</v>
      </c>
      <c r="K290" s="185" t="s">
        <v>6456</v>
      </c>
      <c r="L290" s="183" t="s">
        <v>5743</v>
      </c>
      <c r="M290" s="184" t="s">
        <v>5255</v>
      </c>
      <c r="N290" s="184" t="s">
        <v>5255</v>
      </c>
      <c r="O290" s="233"/>
    </row>
    <row r="291" spans="1:15" s="182" customFormat="1" ht="21.95" customHeight="1" x14ac:dyDescent="0.15">
      <c r="A291" s="151" t="s">
        <v>7235</v>
      </c>
      <c r="B291" s="20" t="s">
        <v>5808</v>
      </c>
      <c r="C291" s="399" t="s">
        <v>3368</v>
      </c>
      <c r="D291" s="399" t="s">
        <v>3369</v>
      </c>
      <c r="E291" s="399" t="s">
        <v>3466</v>
      </c>
      <c r="F291" s="184" t="s">
        <v>3400</v>
      </c>
      <c r="G291" s="235" t="s">
        <v>6316</v>
      </c>
      <c r="H291" s="509">
        <v>23024</v>
      </c>
      <c r="I291" s="194">
        <v>0</v>
      </c>
      <c r="J291" s="194">
        <v>6700</v>
      </c>
      <c r="K291" s="185">
        <v>0.1</v>
      </c>
      <c r="L291" s="183" t="s">
        <v>5744</v>
      </c>
      <c r="M291" s="184" t="s">
        <v>6038</v>
      </c>
      <c r="N291" s="184" t="s">
        <v>6038</v>
      </c>
      <c r="O291" s="233"/>
    </row>
    <row r="292" spans="1:15" s="182" customFormat="1" ht="21.95" customHeight="1" x14ac:dyDescent="0.15">
      <c r="A292" s="151" t="s">
        <v>7235</v>
      </c>
      <c r="B292" s="20" t="s">
        <v>5797</v>
      </c>
      <c r="C292" s="399" t="s">
        <v>5567</v>
      </c>
      <c r="D292" s="399" t="s">
        <v>5760</v>
      </c>
      <c r="E292" s="399" t="s">
        <v>6405</v>
      </c>
      <c r="F292" s="184" t="s">
        <v>5762</v>
      </c>
      <c r="G292" s="235" t="s">
        <v>5249</v>
      </c>
      <c r="H292" s="509" t="s">
        <v>6402</v>
      </c>
      <c r="I292" s="194">
        <v>0</v>
      </c>
      <c r="J292" s="194">
        <v>1100</v>
      </c>
      <c r="K292" s="185">
        <v>0.1</v>
      </c>
      <c r="L292" s="183" t="s">
        <v>806</v>
      </c>
      <c r="M292" s="184" t="s">
        <v>5765</v>
      </c>
      <c r="N292" s="184" t="s">
        <v>5765</v>
      </c>
      <c r="O292" s="233"/>
    </row>
    <row r="293" spans="1:15" s="182" customFormat="1" ht="21.95" customHeight="1" x14ac:dyDescent="0.15">
      <c r="A293" s="151" t="s">
        <v>7235</v>
      </c>
      <c r="B293" s="20" t="s">
        <v>5797</v>
      </c>
      <c r="C293" s="399" t="s">
        <v>5567</v>
      </c>
      <c r="D293" s="399" t="s">
        <v>5760</v>
      </c>
      <c r="E293" s="399" t="s">
        <v>5761</v>
      </c>
      <c r="F293" s="184" t="s">
        <v>5078</v>
      </c>
      <c r="G293" s="235" t="s">
        <v>5249</v>
      </c>
      <c r="H293" s="509" t="s">
        <v>7256</v>
      </c>
      <c r="I293" s="194">
        <v>0</v>
      </c>
      <c r="J293" s="194">
        <v>18100</v>
      </c>
      <c r="K293" s="185">
        <v>0.1</v>
      </c>
      <c r="L293" s="183" t="s">
        <v>806</v>
      </c>
      <c r="M293" s="184" t="s">
        <v>5765</v>
      </c>
      <c r="N293" s="184" t="s">
        <v>5765</v>
      </c>
      <c r="O293" s="233"/>
    </row>
    <row r="294" spans="1:15" s="182" customFormat="1" ht="21.95" customHeight="1" x14ac:dyDescent="0.15">
      <c r="A294" s="151" t="s">
        <v>7235</v>
      </c>
      <c r="B294" s="20" t="s">
        <v>5797</v>
      </c>
      <c r="C294" s="399" t="s">
        <v>5567</v>
      </c>
      <c r="D294" s="399" t="s">
        <v>5760</v>
      </c>
      <c r="E294" s="399" t="s">
        <v>5761</v>
      </c>
      <c r="F294" s="184" t="s">
        <v>3400</v>
      </c>
      <c r="G294" s="235" t="s">
        <v>5249</v>
      </c>
      <c r="H294" s="509" t="s">
        <v>7257</v>
      </c>
      <c r="I294" s="194">
        <v>0</v>
      </c>
      <c r="J294" s="194">
        <v>700</v>
      </c>
      <c r="K294" s="185">
        <v>0.1</v>
      </c>
      <c r="L294" s="183" t="s">
        <v>806</v>
      </c>
      <c r="M294" s="184" t="s">
        <v>5765</v>
      </c>
      <c r="N294" s="184" t="s">
        <v>5765</v>
      </c>
      <c r="O294" s="233"/>
    </row>
    <row r="295" spans="1:15" s="182" customFormat="1" ht="21.95" customHeight="1" x14ac:dyDescent="0.15">
      <c r="A295" s="151" t="s">
        <v>7236</v>
      </c>
      <c r="B295" s="20" t="s">
        <v>5822</v>
      </c>
      <c r="C295" s="391" t="s">
        <v>3337</v>
      </c>
      <c r="D295" s="393" t="s">
        <v>3702</v>
      </c>
      <c r="E295" s="391" t="s">
        <v>4587</v>
      </c>
      <c r="F295" s="184" t="s">
        <v>5078</v>
      </c>
      <c r="G295" s="235" t="s">
        <v>7258</v>
      </c>
      <c r="H295" s="509">
        <v>23080</v>
      </c>
      <c r="I295" s="194">
        <v>0</v>
      </c>
      <c r="J295" s="194">
        <v>70000</v>
      </c>
      <c r="K295" s="185" t="s">
        <v>6375</v>
      </c>
      <c r="L295" s="183" t="s">
        <v>5743</v>
      </c>
      <c r="M295" s="184" t="s">
        <v>5255</v>
      </c>
      <c r="N295" s="184" t="s">
        <v>5255</v>
      </c>
      <c r="O295" s="233"/>
    </row>
    <row r="296" spans="1:15" s="182" customFormat="1" ht="21.95" customHeight="1" x14ac:dyDescent="0.15">
      <c r="A296" s="151" t="s">
        <v>7236</v>
      </c>
      <c r="B296" s="20" t="s">
        <v>866</v>
      </c>
      <c r="C296" s="399" t="s">
        <v>4982</v>
      </c>
      <c r="D296" s="184" t="s">
        <v>5422</v>
      </c>
      <c r="E296" s="399" t="s">
        <v>5828</v>
      </c>
      <c r="F296" s="419" t="s">
        <v>3328</v>
      </c>
      <c r="G296" s="235" t="s">
        <v>6531</v>
      </c>
      <c r="H296" s="509">
        <v>23016</v>
      </c>
      <c r="I296" s="194">
        <v>0</v>
      </c>
      <c r="J296" s="194">
        <v>92000</v>
      </c>
      <c r="K296" s="185">
        <v>0.5</v>
      </c>
      <c r="L296" s="183" t="s">
        <v>5743</v>
      </c>
      <c r="M296" s="184" t="s">
        <v>693</v>
      </c>
      <c r="N296" s="184" t="s">
        <v>693</v>
      </c>
      <c r="O296" s="233"/>
    </row>
    <row r="297" spans="1:15" s="182" customFormat="1" ht="21.95" customHeight="1" x14ac:dyDescent="0.15">
      <c r="A297" s="151" t="s">
        <v>7236</v>
      </c>
      <c r="B297" s="20" t="s">
        <v>6194</v>
      </c>
      <c r="C297" s="399" t="s">
        <v>4982</v>
      </c>
      <c r="D297" s="399" t="s">
        <v>5422</v>
      </c>
      <c r="E297" s="399" t="s">
        <v>5506</v>
      </c>
      <c r="F297" s="184" t="s">
        <v>5078</v>
      </c>
      <c r="G297" s="235" t="s">
        <v>6531</v>
      </c>
      <c r="H297" s="509">
        <v>23030</v>
      </c>
      <c r="I297" s="194">
        <v>0</v>
      </c>
      <c r="J297" s="194">
        <v>92000</v>
      </c>
      <c r="K297" s="185">
        <v>0.5</v>
      </c>
      <c r="L297" s="183" t="s">
        <v>5743</v>
      </c>
      <c r="M297" s="184" t="s">
        <v>693</v>
      </c>
      <c r="N297" s="184" t="s">
        <v>693</v>
      </c>
      <c r="O297" s="233"/>
    </row>
    <row r="298" spans="1:15" s="182" customFormat="1" ht="21.95" customHeight="1" x14ac:dyDescent="0.15">
      <c r="A298" s="151" t="s">
        <v>7237</v>
      </c>
      <c r="B298" s="20" t="s">
        <v>5888</v>
      </c>
      <c r="C298" s="945" t="s">
        <v>3351</v>
      </c>
      <c r="D298" s="945" t="s">
        <v>3768</v>
      </c>
      <c r="E298" s="945" t="s">
        <v>3535</v>
      </c>
      <c r="F298" s="945" t="s">
        <v>3332</v>
      </c>
      <c r="G298" s="460" t="s">
        <v>4375</v>
      </c>
      <c r="H298" s="509">
        <v>21059</v>
      </c>
      <c r="I298" s="194">
        <v>0</v>
      </c>
      <c r="J298" s="194">
        <v>33000</v>
      </c>
      <c r="K298" s="185">
        <v>0.3</v>
      </c>
      <c r="L298" s="183" t="s">
        <v>5743</v>
      </c>
      <c r="M298" s="945" t="s">
        <v>4699</v>
      </c>
      <c r="N298" s="945" t="s">
        <v>3726</v>
      </c>
      <c r="O298" s="233"/>
    </row>
    <row r="299" spans="1:15" s="182" customFormat="1" ht="21.75" customHeight="1" x14ac:dyDescent="0.15">
      <c r="A299" s="151" t="s">
        <v>7259</v>
      </c>
      <c r="B299" s="20" t="s">
        <v>6839</v>
      </c>
      <c r="C299" s="184" t="s">
        <v>4941</v>
      </c>
      <c r="D299" s="184" t="s">
        <v>4942</v>
      </c>
      <c r="E299" s="184" t="s">
        <v>7226</v>
      </c>
      <c r="F299" s="184" t="s">
        <v>5078</v>
      </c>
      <c r="G299" s="235" t="s">
        <v>6504</v>
      </c>
      <c r="H299" s="509" t="s">
        <v>7260</v>
      </c>
      <c r="I299" s="194">
        <v>0</v>
      </c>
      <c r="J299" s="194">
        <v>71250</v>
      </c>
      <c r="K299" s="185">
        <v>0.95</v>
      </c>
      <c r="L299" s="183" t="s">
        <v>5639</v>
      </c>
      <c r="M299" s="184" t="s">
        <v>5255</v>
      </c>
      <c r="N299" s="184" t="s">
        <v>5255</v>
      </c>
      <c r="O299" s="233"/>
    </row>
    <row r="300" spans="1:15" s="182" customFormat="1" ht="21.95" customHeight="1" x14ac:dyDescent="0.15">
      <c r="A300" s="151" t="s">
        <v>7259</v>
      </c>
      <c r="B300" s="20" t="s">
        <v>6839</v>
      </c>
      <c r="C300" s="184" t="s">
        <v>4941</v>
      </c>
      <c r="D300" s="184" t="s">
        <v>4942</v>
      </c>
      <c r="E300" s="184" t="s">
        <v>7227</v>
      </c>
      <c r="F300" s="184" t="s">
        <v>5078</v>
      </c>
      <c r="G300" s="235" t="s">
        <v>6504</v>
      </c>
      <c r="H300" s="509" t="s">
        <v>7261</v>
      </c>
      <c r="I300" s="194">
        <v>0</v>
      </c>
      <c r="J300" s="194">
        <v>115900</v>
      </c>
      <c r="K300" s="185">
        <v>0.95</v>
      </c>
      <c r="L300" s="183" t="s">
        <v>5639</v>
      </c>
      <c r="M300" s="184" t="s">
        <v>5255</v>
      </c>
      <c r="N300" s="184" t="s">
        <v>5255</v>
      </c>
      <c r="O300" s="233"/>
    </row>
    <row r="301" spans="1:15" s="182" customFormat="1" ht="21.95" customHeight="1" x14ac:dyDescent="0.15">
      <c r="A301" s="151" t="s">
        <v>7259</v>
      </c>
      <c r="B301" s="20" t="s">
        <v>6847</v>
      </c>
      <c r="C301" s="399" t="s">
        <v>4941</v>
      </c>
      <c r="D301" s="399" t="s">
        <v>4942</v>
      </c>
      <c r="E301" s="399" t="s">
        <v>6552</v>
      </c>
      <c r="F301" s="403" t="s">
        <v>3328</v>
      </c>
      <c r="G301" s="239" t="s">
        <v>3349</v>
      </c>
      <c r="H301" s="509">
        <v>23116</v>
      </c>
      <c r="I301" s="194">
        <v>0</v>
      </c>
      <c r="J301" s="194">
        <v>35000</v>
      </c>
      <c r="K301" s="185">
        <v>0.5</v>
      </c>
      <c r="L301" s="183" t="s">
        <v>4706</v>
      </c>
      <c r="M301" s="184" t="s">
        <v>5255</v>
      </c>
      <c r="N301" s="184" t="s">
        <v>5255</v>
      </c>
      <c r="O301" s="233"/>
    </row>
    <row r="302" spans="1:15" s="182" customFormat="1" ht="21.95" customHeight="1" x14ac:dyDescent="0.15">
      <c r="A302" s="151" t="s">
        <v>7262</v>
      </c>
      <c r="B302" s="20" t="s">
        <v>5831</v>
      </c>
      <c r="C302" s="391" t="s">
        <v>3337</v>
      </c>
      <c r="D302" s="393" t="s">
        <v>3702</v>
      </c>
      <c r="E302" s="391" t="s">
        <v>4589</v>
      </c>
      <c r="F302" s="184" t="s">
        <v>4944</v>
      </c>
      <c r="G302" s="235" t="s">
        <v>7258</v>
      </c>
      <c r="H302" s="509">
        <v>23082</v>
      </c>
      <c r="I302" s="194">
        <v>0</v>
      </c>
      <c r="J302" s="194">
        <v>70000</v>
      </c>
      <c r="K302" s="185" t="s">
        <v>6375</v>
      </c>
      <c r="L302" s="183" t="s">
        <v>4706</v>
      </c>
      <c r="M302" s="184" t="s">
        <v>5255</v>
      </c>
      <c r="N302" s="184" t="s">
        <v>5255</v>
      </c>
      <c r="O302" s="233"/>
    </row>
    <row r="303" spans="1:15" s="182" customFormat="1" ht="21.95" customHeight="1" x14ac:dyDescent="0.15">
      <c r="A303" s="151" t="s">
        <v>7263</v>
      </c>
      <c r="B303" s="20" t="s">
        <v>6867</v>
      </c>
      <c r="C303" s="184" t="s">
        <v>4982</v>
      </c>
      <c r="D303" s="184" t="s">
        <v>5422</v>
      </c>
      <c r="E303" s="184" t="s">
        <v>879</v>
      </c>
      <c r="F303" s="184" t="s">
        <v>4944</v>
      </c>
      <c r="G303" s="235" t="s">
        <v>3997</v>
      </c>
      <c r="H303" s="509">
        <v>25135</v>
      </c>
      <c r="I303" s="194">
        <v>0</v>
      </c>
      <c r="J303" s="194">
        <v>2400</v>
      </c>
      <c r="K303" s="185">
        <v>1</v>
      </c>
      <c r="L303" s="183" t="s">
        <v>806</v>
      </c>
      <c r="M303" s="184" t="s">
        <v>693</v>
      </c>
      <c r="N303" s="184" t="s">
        <v>693</v>
      </c>
      <c r="O303" s="233"/>
    </row>
    <row r="304" spans="1:15" s="182" customFormat="1" ht="21.95" customHeight="1" x14ac:dyDescent="0.15">
      <c r="A304" s="151" t="s">
        <v>7263</v>
      </c>
      <c r="B304" s="20" t="s">
        <v>6074</v>
      </c>
      <c r="C304" s="184" t="s">
        <v>3985</v>
      </c>
      <c r="D304" s="184" t="s">
        <v>4429</v>
      </c>
      <c r="E304" s="184" t="s">
        <v>7264</v>
      </c>
      <c r="F304" s="184" t="s">
        <v>3332</v>
      </c>
      <c r="G304" s="235" t="s">
        <v>3381</v>
      </c>
      <c r="H304" s="509">
        <v>25122</v>
      </c>
      <c r="I304" s="194">
        <v>0</v>
      </c>
      <c r="J304" s="194">
        <v>13200</v>
      </c>
      <c r="K304" s="1083">
        <v>1</v>
      </c>
      <c r="L304" s="183" t="s">
        <v>6746</v>
      </c>
      <c r="M304" s="184" t="s">
        <v>5765</v>
      </c>
      <c r="N304" s="184" t="s">
        <v>5765</v>
      </c>
      <c r="O304" s="233"/>
    </row>
    <row r="305" spans="1:15" s="182" customFormat="1" ht="21.95" customHeight="1" x14ac:dyDescent="0.15">
      <c r="A305" s="151" t="s">
        <v>7263</v>
      </c>
      <c r="B305" s="20" t="s">
        <v>6074</v>
      </c>
      <c r="C305" s="184" t="s">
        <v>3985</v>
      </c>
      <c r="D305" s="184" t="s">
        <v>4429</v>
      </c>
      <c r="E305" s="184" t="s">
        <v>7264</v>
      </c>
      <c r="F305" s="184" t="s">
        <v>3332</v>
      </c>
      <c r="G305" s="235" t="s">
        <v>3381</v>
      </c>
      <c r="H305" s="509">
        <v>25122</v>
      </c>
      <c r="I305" s="194">
        <v>0</v>
      </c>
      <c r="J305" s="194">
        <v>45000</v>
      </c>
      <c r="K305" s="185">
        <v>0.5</v>
      </c>
      <c r="L305" s="183" t="s">
        <v>5743</v>
      </c>
      <c r="M305" s="184" t="s">
        <v>5765</v>
      </c>
      <c r="N305" s="184" t="s">
        <v>5765</v>
      </c>
      <c r="O305" s="233"/>
    </row>
    <row r="306" spans="1:15" s="182" customFormat="1" ht="21.95" customHeight="1" x14ac:dyDescent="0.15">
      <c r="A306" s="151" t="s">
        <v>7263</v>
      </c>
      <c r="B306" s="20" t="s">
        <v>5180</v>
      </c>
      <c r="C306" s="399" t="s">
        <v>4982</v>
      </c>
      <c r="D306" s="399" t="s">
        <v>5098</v>
      </c>
      <c r="E306" s="399" t="s">
        <v>5181</v>
      </c>
      <c r="F306" s="184" t="s">
        <v>5078</v>
      </c>
      <c r="G306" s="235" t="s">
        <v>3329</v>
      </c>
      <c r="H306" s="509" t="s">
        <v>5444</v>
      </c>
      <c r="I306" s="194">
        <v>30500</v>
      </c>
      <c r="J306" s="194">
        <v>0</v>
      </c>
      <c r="K306" s="185" t="s">
        <v>7266</v>
      </c>
      <c r="L306" s="183" t="s">
        <v>5744</v>
      </c>
      <c r="M306" s="184" t="s">
        <v>5835</v>
      </c>
      <c r="N306" s="184" t="s">
        <v>5835</v>
      </c>
      <c r="O306" s="233"/>
    </row>
    <row r="307" spans="1:15" s="182" customFormat="1" ht="21.95" customHeight="1" x14ac:dyDescent="0.15">
      <c r="A307" s="151" t="s">
        <v>7263</v>
      </c>
      <c r="B307" s="20" t="s">
        <v>5180</v>
      </c>
      <c r="C307" s="399" t="s">
        <v>4982</v>
      </c>
      <c r="D307" s="399" t="s">
        <v>5098</v>
      </c>
      <c r="E307" s="399" t="s">
        <v>5181</v>
      </c>
      <c r="F307" s="184" t="s">
        <v>5078</v>
      </c>
      <c r="G307" s="235" t="s">
        <v>3329</v>
      </c>
      <c r="H307" s="509" t="s">
        <v>5444</v>
      </c>
      <c r="I307" s="194">
        <v>2200</v>
      </c>
      <c r="J307" s="194">
        <v>0</v>
      </c>
      <c r="K307" s="185" t="s">
        <v>7267</v>
      </c>
      <c r="L307" s="183" t="s">
        <v>5744</v>
      </c>
      <c r="M307" s="184" t="s">
        <v>5835</v>
      </c>
      <c r="N307" s="184" t="s">
        <v>5835</v>
      </c>
      <c r="O307" s="233"/>
    </row>
    <row r="308" spans="1:15" s="182" customFormat="1" ht="21.95" customHeight="1" x14ac:dyDescent="0.15">
      <c r="A308" s="151" t="s">
        <v>7263</v>
      </c>
      <c r="B308" s="20" t="s">
        <v>5180</v>
      </c>
      <c r="C308" s="399" t="s">
        <v>4982</v>
      </c>
      <c r="D308" s="399" t="s">
        <v>5098</v>
      </c>
      <c r="E308" s="399" t="s">
        <v>5181</v>
      </c>
      <c r="F308" s="184" t="s">
        <v>3400</v>
      </c>
      <c r="G308" s="235" t="s">
        <v>5086</v>
      </c>
      <c r="H308" s="509" t="s">
        <v>7265</v>
      </c>
      <c r="I308" s="194">
        <v>2800</v>
      </c>
      <c r="J308" s="194">
        <v>0</v>
      </c>
      <c r="K308" s="185">
        <v>0.1</v>
      </c>
      <c r="L308" s="183" t="s">
        <v>5744</v>
      </c>
      <c r="M308" s="184" t="s">
        <v>5835</v>
      </c>
      <c r="N308" s="184" t="s">
        <v>5835</v>
      </c>
      <c r="O308" s="233"/>
    </row>
    <row r="309" spans="1:15" s="182" customFormat="1" ht="21.95" customHeight="1" x14ac:dyDescent="0.15">
      <c r="A309" s="151" t="s">
        <v>7263</v>
      </c>
      <c r="B309" s="20" t="s">
        <v>6067</v>
      </c>
      <c r="C309" s="224" t="s">
        <v>3363</v>
      </c>
      <c r="D309" s="224" t="s">
        <v>3457</v>
      </c>
      <c r="E309" s="224" t="s">
        <v>3458</v>
      </c>
      <c r="F309" s="207" t="s">
        <v>3328</v>
      </c>
      <c r="G309" s="235" t="s">
        <v>5030</v>
      </c>
      <c r="H309" s="509">
        <v>24023</v>
      </c>
      <c r="I309" s="194">
        <v>0</v>
      </c>
      <c r="J309" s="194">
        <v>47500</v>
      </c>
      <c r="K309" s="222" t="s">
        <v>7268</v>
      </c>
      <c r="L309" s="183" t="s">
        <v>5743</v>
      </c>
      <c r="M309" s="184" t="s">
        <v>5765</v>
      </c>
      <c r="N309" s="184" t="s">
        <v>5765</v>
      </c>
      <c r="O309" s="233"/>
    </row>
    <row r="310" spans="1:15" s="182" customFormat="1" ht="21.95" customHeight="1" x14ac:dyDescent="0.15">
      <c r="A310" s="151" t="s">
        <v>7269</v>
      </c>
      <c r="B310" s="20" t="s">
        <v>7270</v>
      </c>
      <c r="C310" s="184" t="s">
        <v>4941</v>
      </c>
      <c r="D310" s="184" t="s">
        <v>5153</v>
      </c>
      <c r="E310" s="184" t="s">
        <v>7271</v>
      </c>
      <c r="F310" s="184" t="s">
        <v>5078</v>
      </c>
      <c r="G310" s="235" t="s">
        <v>5249</v>
      </c>
      <c r="H310" s="509">
        <v>25082</v>
      </c>
      <c r="I310" s="194">
        <v>0</v>
      </c>
      <c r="J310" s="194">
        <v>185832.6</v>
      </c>
      <c r="K310" s="185">
        <v>0.97</v>
      </c>
      <c r="L310" s="183" t="s">
        <v>7272</v>
      </c>
      <c r="M310" s="184" t="s">
        <v>3726</v>
      </c>
      <c r="N310" s="184" t="s">
        <v>3726</v>
      </c>
      <c r="O310" s="233"/>
    </row>
    <row r="311" spans="1:15" s="182" customFormat="1" ht="21.95" customHeight="1" x14ac:dyDescent="0.15">
      <c r="A311" s="151" t="s">
        <v>7274</v>
      </c>
      <c r="B311" s="20" t="s">
        <v>7277</v>
      </c>
      <c r="C311" s="1084" t="s">
        <v>4418</v>
      </c>
      <c r="D311" s="1084" t="s">
        <v>4418</v>
      </c>
      <c r="E311" s="1084" t="s">
        <v>4418</v>
      </c>
      <c r="F311" s="184" t="s">
        <v>3355</v>
      </c>
      <c r="G311" s="1084" t="s">
        <v>4418</v>
      </c>
      <c r="H311" s="509">
        <v>25107</v>
      </c>
      <c r="I311" s="194">
        <v>0</v>
      </c>
      <c r="J311" s="194">
        <v>51410</v>
      </c>
      <c r="K311" s="185">
        <v>0.97</v>
      </c>
      <c r="L311" s="183" t="s">
        <v>4707</v>
      </c>
      <c r="M311" s="184" t="s">
        <v>5765</v>
      </c>
      <c r="N311" s="184" t="s">
        <v>5765</v>
      </c>
      <c r="O311" s="233"/>
    </row>
    <row r="312" spans="1:15" s="182" customFormat="1" ht="21.95" customHeight="1" x14ac:dyDescent="0.15">
      <c r="A312" s="151" t="s">
        <v>7275</v>
      </c>
      <c r="B312" s="20" t="s">
        <v>7278</v>
      </c>
      <c r="C312" s="184" t="s">
        <v>4982</v>
      </c>
      <c r="D312" s="184" t="s">
        <v>5028</v>
      </c>
      <c r="E312" s="184" t="s">
        <v>6974</v>
      </c>
      <c r="F312" s="184" t="s">
        <v>5078</v>
      </c>
      <c r="G312" s="235" t="s">
        <v>5090</v>
      </c>
      <c r="H312" s="509">
        <v>24122</v>
      </c>
      <c r="I312" s="194">
        <v>0</v>
      </c>
      <c r="J312" s="194">
        <v>54000</v>
      </c>
      <c r="K312" s="185">
        <v>0.12</v>
      </c>
      <c r="L312" s="183" t="s">
        <v>7280</v>
      </c>
      <c r="M312" s="184" t="s">
        <v>3433</v>
      </c>
      <c r="N312" s="184" t="s">
        <v>3433</v>
      </c>
      <c r="O312" s="233"/>
    </row>
    <row r="313" spans="1:15" s="182" customFormat="1" ht="21.95" customHeight="1" x14ac:dyDescent="0.15">
      <c r="A313" s="151" t="s">
        <v>7275</v>
      </c>
      <c r="B313" s="20" t="s">
        <v>5260</v>
      </c>
      <c r="C313" s="945" t="s">
        <v>3346</v>
      </c>
      <c r="D313" s="945" t="s">
        <v>3354</v>
      </c>
      <c r="E313" s="945" t="s">
        <v>3562</v>
      </c>
      <c r="F313" s="945" t="s">
        <v>3355</v>
      </c>
      <c r="G313" s="460" t="s">
        <v>3775</v>
      </c>
      <c r="H313" s="509">
        <v>19031</v>
      </c>
      <c r="I313" s="194">
        <v>0</v>
      </c>
      <c r="J313" s="194">
        <v>23345.8</v>
      </c>
      <c r="K313" s="185">
        <v>0.1</v>
      </c>
      <c r="L313" s="183" t="s">
        <v>4724</v>
      </c>
      <c r="M313" s="945" t="s">
        <v>3725</v>
      </c>
      <c r="N313" s="945" t="s">
        <v>3726</v>
      </c>
      <c r="O313" s="233"/>
    </row>
    <row r="314" spans="1:15" s="182" customFormat="1" ht="21.95" customHeight="1" x14ac:dyDescent="0.15">
      <c r="A314" s="151" t="s">
        <v>7276</v>
      </c>
      <c r="B314" s="20" t="s">
        <v>7279</v>
      </c>
      <c r="C314" s="184" t="s">
        <v>4963</v>
      </c>
      <c r="D314" s="184" t="s">
        <v>7281</v>
      </c>
      <c r="E314" s="184" t="s">
        <v>7282</v>
      </c>
      <c r="F314" s="184" t="s">
        <v>3328</v>
      </c>
      <c r="G314" s="235" t="s">
        <v>6975</v>
      </c>
      <c r="H314" s="509">
        <v>25101</v>
      </c>
      <c r="I314" s="194">
        <v>0</v>
      </c>
      <c r="J314" s="194">
        <v>220500</v>
      </c>
      <c r="K314" s="185">
        <v>0.9</v>
      </c>
      <c r="L314" s="183" t="s">
        <v>4711</v>
      </c>
      <c r="M314" s="184" t="s">
        <v>3957</v>
      </c>
      <c r="N314" s="184" t="s">
        <v>3957</v>
      </c>
      <c r="O314" s="233"/>
    </row>
    <row r="315" spans="1:15" s="182" customFormat="1" ht="21.95" customHeight="1" x14ac:dyDescent="0.15">
      <c r="A315" s="151" t="s">
        <v>7276</v>
      </c>
      <c r="B315" s="277" t="s">
        <v>7427</v>
      </c>
      <c r="C315" s="399" t="s">
        <v>4982</v>
      </c>
      <c r="D315" s="399" t="s">
        <v>5018</v>
      </c>
      <c r="E315" s="399" t="s">
        <v>7187</v>
      </c>
      <c r="F315" s="184" t="s">
        <v>3328</v>
      </c>
      <c r="G315" s="235" t="s">
        <v>3378</v>
      </c>
      <c r="H315" s="1082" t="s">
        <v>7186</v>
      </c>
      <c r="I315" s="194">
        <v>179190.74</v>
      </c>
      <c r="J315" s="194">
        <v>0</v>
      </c>
      <c r="K315" s="185" t="s">
        <v>7185</v>
      </c>
      <c r="L315" s="183" t="s">
        <v>6622</v>
      </c>
      <c r="M315" s="184" t="s">
        <v>5161</v>
      </c>
      <c r="N315" s="184" t="s">
        <v>3726</v>
      </c>
      <c r="O315" s="1086" t="s">
        <v>7286</v>
      </c>
    </row>
    <row r="316" spans="1:15" s="182" customFormat="1" ht="21.95" customHeight="1" x14ac:dyDescent="0.15">
      <c r="A316" s="151" t="s">
        <v>7276</v>
      </c>
      <c r="B316" s="277" t="s">
        <v>7427</v>
      </c>
      <c r="C316" s="399" t="s">
        <v>4982</v>
      </c>
      <c r="D316" s="399" t="s">
        <v>5018</v>
      </c>
      <c r="E316" s="399" t="s">
        <v>7187</v>
      </c>
      <c r="F316" s="184" t="s">
        <v>3937</v>
      </c>
      <c r="G316" s="235" t="s">
        <v>5300</v>
      </c>
      <c r="H316" s="1085" t="s">
        <v>7284</v>
      </c>
      <c r="I316" s="194">
        <v>220809.26</v>
      </c>
      <c r="J316" s="194">
        <v>0</v>
      </c>
      <c r="K316" s="185" t="s">
        <v>7185</v>
      </c>
      <c r="L316" s="183" t="s">
        <v>6622</v>
      </c>
      <c r="M316" s="184" t="s">
        <v>5161</v>
      </c>
      <c r="N316" s="184" t="s">
        <v>3726</v>
      </c>
      <c r="O316" s="1086" t="s">
        <v>7286</v>
      </c>
    </row>
    <row r="317" spans="1:15" s="182" customFormat="1" ht="21.95" customHeight="1" x14ac:dyDescent="0.15">
      <c r="A317" s="151" t="s">
        <v>7287</v>
      </c>
      <c r="B317" s="20" t="s">
        <v>7288</v>
      </c>
      <c r="C317" s="399" t="s">
        <v>4963</v>
      </c>
      <c r="D317" s="399" t="s">
        <v>4964</v>
      </c>
      <c r="E317" s="399" t="s">
        <v>5909</v>
      </c>
      <c r="F317" s="403" t="s">
        <v>3328</v>
      </c>
      <c r="G317" s="235" t="s">
        <v>3329</v>
      </c>
      <c r="H317" s="509">
        <v>21108</v>
      </c>
      <c r="I317" s="194">
        <v>0</v>
      </c>
      <c r="J317" s="194">
        <v>43000</v>
      </c>
      <c r="K317" s="185">
        <v>0.1</v>
      </c>
      <c r="L317" s="183" t="s">
        <v>4724</v>
      </c>
      <c r="M317" s="945" t="s">
        <v>3434</v>
      </c>
      <c r="N317" s="945" t="s">
        <v>3957</v>
      </c>
      <c r="O317" s="233"/>
    </row>
    <row r="318" spans="1:15" s="182" customFormat="1" ht="21.95" customHeight="1" x14ac:dyDescent="0.15">
      <c r="A318" s="151" t="s">
        <v>7289</v>
      </c>
      <c r="B318" s="20" t="s">
        <v>7290</v>
      </c>
      <c r="C318" s="1087" t="s">
        <v>3371</v>
      </c>
      <c r="D318" s="184" t="s">
        <v>6294</v>
      </c>
      <c r="E318" s="1087" t="s">
        <v>4986</v>
      </c>
      <c r="F318" s="184" t="s">
        <v>3355</v>
      </c>
      <c r="G318" s="235" t="s">
        <v>7302</v>
      </c>
      <c r="H318" s="509">
        <v>25087</v>
      </c>
      <c r="I318" s="194">
        <v>0</v>
      </c>
      <c r="J318" s="194">
        <v>50000</v>
      </c>
      <c r="K318" s="185">
        <v>1</v>
      </c>
      <c r="L318" s="183" t="s">
        <v>4707</v>
      </c>
      <c r="M318" s="184" t="s">
        <v>2704</v>
      </c>
      <c r="N318" s="184" t="s">
        <v>2704</v>
      </c>
      <c r="O318" s="233"/>
    </row>
    <row r="319" spans="1:15" s="182" customFormat="1" ht="21.95" customHeight="1" x14ac:dyDescent="0.15">
      <c r="A319" s="151" t="s">
        <v>7289</v>
      </c>
      <c r="B319" s="20" t="s">
        <v>545</v>
      </c>
      <c r="C319" s="945" t="s">
        <v>3346</v>
      </c>
      <c r="D319" s="945" t="s">
        <v>3354</v>
      </c>
      <c r="E319" s="945" t="s">
        <v>921</v>
      </c>
      <c r="F319" s="945" t="s">
        <v>3355</v>
      </c>
      <c r="G319" s="460" t="s">
        <v>3775</v>
      </c>
      <c r="H319" s="509">
        <v>19033</v>
      </c>
      <c r="I319" s="194">
        <v>0</v>
      </c>
      <c r="J319" s="194">
        <v>23345.8</v>
      </c>
      <c r="K319" s="185">
        <v>0.1</v>
      </c>
      <c r="L319" s="183" t="s">
        <v>4724</v>
      </c>
      <c r="M319" s="945" t="s">
        <v>3725</v>
      </c>
      <c r="N319" s="945" t="s">
        <v>3726</v>
      </c>
      <c r="O319" s="233"/>
    </row>
    <row r="320" spans="1:15" s="182" customFormat="1" ht="21.95" customHeight="1" x14ac:dyDescent="0.15">
      <c r="A320" s="151" t="s">
        <v>7291</v>
      </c>
      <c r="B320" s="20" t="s">
        <v>6046</v>
      </c>
      <c r="C320" s="224" t="s">
        <v>3351</v>
      </c>
      <c r="D320" s="224" t="s">
        <v>3352</v>
      </c>
      <c r="E320" s="394" t="s">
        <v>3688</v>
      </c>
      <c r="F320" s="224" t="s">
        <v>3328</v>
      </c>
      <c r="G320" s="239" t="s">
        <v>3566</v>
      </c>
      <c r="H320" s="509">
        <v>23132</v>
      </c>
      <c r="I320" s="194">
        <v>0</v>
      </c>
      <c r="J320" s="194">
        <v>27200</v>
      </c>
      <c r="K320" s="185" t="s">
        <v>7082</v>
      </c>
      <c r="L320" s="183" t="s">
        <v>4706</v>
      </c>
      <c r="M320" s="184" t="s">
        <v>5255</v>
      </c>
      <c r="N320" s="184" t="s">
        <v>5255</v>
      </c>
      <c r="O320" s="233"/>
    </row>
    <row r="321" spans="1:15" s="182" customFormat="1" ht="21.95" customHeight="1" x14ac:dyDescent="0.15">
      <c r="A321" s="151" t="s">
        <v>7291</v>
      </c>
      <c r="B321" s="20" t="s">
        <v>7292</v>
      </c>
      <c r="C321" s="224" t="s">
        <v>3346</v>
      </c>
      <c r="D321" s="224" t="s">
        <v>3352</v>
      </c>
      <c r="E321" s="394" t="s">
        <v>4241</v>
      </c>
      <c r="F321" s="224" t="s">
        <v>3328</v>
      </c>
      <c r="G321" s="239" t="s">
        <v>3349</v>
      </c>
      <c r="H321" s="509">
        <v>23160</v>
      </c>
      <c r="I321" s="194">
        <v>0</v>
      </c>
      <c r="J321" s="194">
        <v>45500</v>
      </c>
      <c r="K321" s="185">
        <v>0.5</v>
      </c>
      <c r="L321" s="183" t="s">
        <v>4706</v>
      </c>
      <c r="M321" s="184" t="s">
        <v>693</v>
      </c>
      <c r="N321" s="184" t="s">
        <v>693</v>
      </c>
      <c r="O321" s="233"/>
    </row>
    <row r="322" spans="1:15" s="182" customFormat="1" ht="21.95" customHeight="1" x14ac:dyDescent="0.15">
      <c r="A322" s="151" t="s">
        <v>7291</v>
      </c>
      <c r="B322" s="20" t="s">
        <v>7292</v>
      </c>
      <c r="C322" s="224" t="s">
        <v>3346</v>
      </c>
      <c r="D322" s="224" t="s">
        <v>3352</v>
      </c>
      <c r="E322" s="394" t="s">
        <v>4241</v>
      </c>
      <c r="F322" s="224" t="s">
        <v>3328</v>
      </c>
      <c r="G322" s="239" t="s">
        <v>3349</v>
      </c>
      <c r="H322" s="509">
        <v>25009</v>
      </c>
      <c r="I322" s="194">
        <v>0</v>
      </c>
      <c r="J322" s="194">
        <v>91000</v>
      </c>
      <c r="K322" s="185">
        <v>1</v>
      </c>
      <c r="L322" s="183" t="s">
        <v>4706</v>
      </c>
      <c r="M322" s="184" t="s">
        <v>693</v>
      </c>
      <c r="N322" s="184" t="s">
        <v>693</v>
      </c>
      <c r="O322" s="233"/>
    </row>
    <row r="323" spans="1:15" s="182" customFormat="1" ht="21.95" customHeight="1" x14ac:dyDescent="0.15">
      <c r="A323" s="151" t="s">
        <v>7293</v>
      </c>
      <c r="B323" s="20" t="s">
        <v>700</v>
      </c>
      <c r="C323" s="391" t="s">
        <v>3346</v>
      </c>
      <c r="D323" s="391" t="s">
        <v>3352</v>
      </c>
      <c r="E323" s="391" t="s">
        <v>987</v>
      </c>
      <c r="F323" s="184" t="s">
        <v>3332</v>
      </c>
      <c r="G323" s="235" t="s">
        <v>5030</v>
      </c>
      <c r="H323" s="509">
        <v>23162</v>
      </c>
      <c r="I323" s="194">
        <v>0</v>
      </c>
      <c r="J323" s="194">
        <v>45500</v>
      </c>
      <c r="K323" s="185">
        <v>0.5</v>
      </c>
      <c r="L323" s="183" t="s">
        <v>4706</v>
      </c>
      <c r="M323" s="184" t="s">
        <v>693</v>
      </c>
      <c r="N323" s="184" t="s">
        <v>693</v>
      </c>
      <c r="O323" s="233"/>
    </row>
    <row r="324" spans="1:15" s="182" customFormat="1" ht="21.95" customHeight="1" x14ac:dyDescent="0.15">
      <c r="A324" s="151" t="s">
        <v>7293</v>
      </c>
      <c r="B324" s="20" t="s">
        <v>700</v>
      </c>
      <c r="C324" s="236" t="s">
        <v>3346</v>
      </c>
      <c r="D324" s="236" t="s">
        <v>3352</v>
      </c>
      <c r="E324" s="236" t="s">
        <v>987</v>
      </c>
      <c r="F324" s="184" t="s">
        <v>3332</v>
      </c>
      <c r="G324" s="235" t="s">
        <v>5030</v>
      </c>
      <c r="H324" s="509">
        <v>25011</v>
      </c>
      <c r="I324" s="194">
        <v>0</v>
      </c>
      <c r="J324" s="194">
        <v>91000</v>
      </c>
      <c r="K324" s="185">
        <v>1</v>
      </c>
      <c r="L324" s="183" t="s">
        <v>4706</v>
      </c>
      <c r="M324" s="184" t="s">
        <v>693</v>
      </c>
      <c r="N324" s="184" t="s">
        <v>693</v>
      </c>
      <c r="O324" s="233"/>
    </row>
    <row r="325" spans="1:15" s="182" customFormat="1" ht="21.95" customHeight="1" x14ac:dyDescent="0.15">
      <c r="A325" s="151" t="s">
        <v>7293</v>
      </c>
      <c r="B325" s="20" t="s">
        <v>4927</v>
      </c>
      <c r="C325" s="224" t="s">
        <v>3346</v>
      </c>
      <c r="D325" s="224" t="s">
        <v>3360</v>
      </c>
      <c r="E325" s="224" t="s">
        <v>7303</v>
      </c>
      <c r="F325" s="184" t="s">
        <v>3328</v>
      </c>
      <c r="G325" s="235" t="s">
        <v>5681</v>
      </c>
      <c r="H325" s="509">
        <v>24010</v>
      </c>
      <c r="I325" s="194">
        <v>0</v>
      </c>
      <c r="J325" s="194">
        <v>308700</v>
      </c>
      <c r="K325" s="185">
        <v>0.9</v>
      </c>
      <c r="L325" s="183" t="s">
        <v>806</v>
      </c>
      <c r="M325" s="184" t="s">
        <v>693</v>
      </c>
      <c r="N325" s="184" t="s">
        <v>693</v>
      </c>
      <c r="O325" s="233"/>
    </row>
    <row r="326" spans="1:15" s="182" customFormat="1" ht="21.95" customHeight="1" x14ac:dyDescent="0.15">
      <c r="A326" s="151" t="s">
        <v>7294</v>
      </c>
      <c r="B326" s="20" t="s">
        <v>5742</v>
      </c>
      <c r="C326" s="399" t="s">
        <v>3368</v>
      </c>
      <c r="D326" s="399" t="s">
        <v>3369</v>
      </c>
      <c r="E326" s="399" t="s">
        <v>3466</v>
      </c>
      <c r="F326" s="184" t="s">
        <v>5078</v>
      </c>
      <c r="G326" s="235" t="s">
        <v>5810</v>
      </c>
      <c r="H326" s="509">
        <v>22079</v>
      </c>
      <c r="I326" s="194">
        <v>0</v>
      </c>
      <c r="J326" s="194">
        <v>10030</v>
      </c>
      <c r="K326" s="185">
        <v>0.05</v>
      </c>
      <c r="L326" s="183" t="s">
        <v>5744</v>
      </c>
      <c r="M326" s="184" t="s">
        <v>6038</v>
      </c>
      <c r="N326" s="184" t="s">
        <v>6038</v>
      </c>
      <c r="O326" s="233"/>
    </row>
    <row r="327" spans="1:15" s="182" customFormat="1" ht="21.95" customHeight="1" x14ac:dyDescent="0.15">
      <c r="A327" s="151" t="s">
        <v>7294</v>
      </c>
      <c r="B327" s="20" t="s">
        <v>7297</v>
      </c>
      <c r="C327" s="1088" t="s">
        <v>5567</v>
      </c>
      <c r="D327" s="1088" t="s">
        <v>5760</v>
      </c>
      <c r="E327" s="1088" t="s">
        <v>5761</v>
      </c>
      <c r="F327" s="184" t="s">
        <v>3328</v>
      </c>
      <c r="G327" s="235" t="s">
        <v>4622</v>
      </c>
      <c r="H327" s="509">
        <v>25069</v>
      </c>
      <c r="I327" s="194">
        <v>0</v>
      </c>
      <c r="J327" s="194">
        <v>15000</v>
      </c>
      <c r="K327" s="185">
        <v>1</v>
      </c>
      <c r="L327" s="183" t="s">
        <v>806</v>
      </c>
      <c r="M327" s="184" t="s">
        <v>5765</v>
      </c>
      <c r="N327" s="184" t="s">
        <v>5765</v>
      </c>
      <c r="O327" s="233"/>
    </row>
    <row r="328" spans="1:15" s="182" customFormat="1" ht="21.95" customHeight="1" x14ac:dyDescent="0.15">
      <c r="A328" s="151" t="s">
        <v>7294</v>
      </c>
      <c r="B328" s="20" t="s">
        <v>7298</v>
      </c>
      <c r="C328" s="399" t="s">
        <v>4941</v>
      </c>
      <c r="D328" s="399" t="s">
        <v>4942</v>
      </c>
      <c r="E328" s="399" t="s">
        <v>6554</v>
      </c>
      <c r="F328" s="403" t="s">
        <v>3328</v>
      </c>
      <c r="G328" s="239" t="s">
        <v>3349</v>
      </c>
      <c r="H328" s="509">
        <v>23115</v>
      </c>
      <c r="I328" s="194">
        <v>0</v>
      </c>
      <c r="J328" s="194">
        <v>35000</v>
      </c>
      <c r="K328" s="185">
        <v>0.5</v>
      </c>
      <c r="L328" s="183" t="s">
        <v>5743</v>
      </c>
      <c r="M328" s="184" t="s">
        <v>5255</v>
      </c>
      <c r="N328" s="184" t="s">
        <v>5255</v>
      </c>
      <c r="O328" s="233"/>
    </row>
    <row r="329" spans="1:15" s="182" customFormat="1" ht="21.95" customHeight="1" x14ac:dyDescent="0.15">
      <c r="A329" s="151" t="s">
        <v>7294</v>
      </c>
      <c r="B329" s="20" t="s">
        <v>7299</v>
      </c>
      <c r="C329" s="441" t="s">
        <v>3346</v>
      </c>
      <c r="D329" s="441" t="s">
        <v>3354</v>
      </c>
      <c r="E329" s="441" t="s">
        <v>7304</v>
      </c>
      <c r="F329" s="391" t="s">
        <v>3355</v>
      </c>
      <c r="G329" s="430" t="s">
        <v>3580</v>
      </c>
      <c r="H329" s="509">
        <v>17088</v>
      </c>
      <c r="I329" s="194">
        <v>0</v>
      </c>
      <c r="J329" s="194">
        <v>6890</v>
      </c>
      <c r="K329" s="185">
        <v>0.1</v>
      </c>
      <c r="L329" s="183" t="s">
        <v>5744</v>
      </c>
      <c r="M329" s="945" t="s">
        <v>3725</v>
      </c>
      <c r="N329" s="958" t="s">
        <v>3726</v>
      </c>
      <c r="O329" s="233"/>
    </row>
    <row r="330" spans="1:15" s="182" customFormat="1" ht="21.95" customHeight="1" x14ac:dyDescent="0.15">
      <c r="A330" s="151" t="s">
        <v>7295</v>
      </c>
      <c r="B330" s="20" t="s">
        <v>5169</v>
      </c>
      <c r="C330" s="224" t="s">
        <v>3351</v>
      </c>
      <c r="D330" s="224" t="s">
        <v>3352</v>
      </c>
      <c r="E330" s="180" t="s">
        <v>2787</v>
      </c>
      <c r="F330" s="207" t="s">
        <v>3328</v>
      </c>
      <c r="G330" s="239" t="s">
        <v>3566</v>
      </c>
      <c r="H330" s="509">
        <v>24105</v>
      </c>
      <c r="I330" s="194">
        <v>0</v>
      </c>
      <c r="J330" s="194">
        <v>34500</v>
      </c>
      <c r="K330" s="185" t="s">
        <v>6456</v>
      </c>
      <c r="L330" s="183" t="s">
        <v>5743</v>
      </c>
      <c r="M330" s="184" t="s">
        <v>5255</v>
      </c>
      <c r="N330" s="184" t="s">
        <v>5255</v>
      </c>
      <c r="O330" s="233"/>
    </row>
    <row r="331" spans="1:15" s="182" customFormat="1" ht="21.95" customHeight="1" x14ac:dyDescent="0.15">
      <c r="A331" s="151" t="s">
        <v>7295</v>
      </c>
      <c r="B331" s="20" t="s">
        <v>5063</v>
      </c>
      <c r="C331" s="236" t="s">
        <v>3346</v>
      </c>
      <c r="D331" s="236" t="s">
        <v>3352</v>
      </c>
      <c r="E331" s="236" t="s">
        <v>3715</v>
      </c>
      <c r="F331" s="184" t="s">
        <v>3332</v>
      </c>
      <c r="G331" s="235" t="s">
        <v>5030</v>
      </c>
      <c r="H331" s="509">
        <v>25010</v>
      </c>
      <c r="I331" s="194">
        <v>0</v>
      </c>
      <c r="J331" s="194">
        <v>91000</v>
      </c>
      <c r="K331" s="185">
        <v>1</v>
      </c>
      <c r="L331" s="183" t="s">
        <v>806</v>
      </c>
      <c r="M331" s="184" t="s">
        <v>693</v>
      </c>
      <c r="N331" s="184" t="s">
        <v>693</v>
      </c>
      <c r="O331" s="233"/>
    </row>
    <row r="332" spans="1:15" s="182" customFormat="1" ht="21.95" customHeight="1" x14ac:dyDescent="0.15">
      <c r="A332" s="151" t="s">
        <v>7295</v>
      </c>
      <c r="B332" s="20" t="s">
        <v>7300</v>
      </c>
      <c r="C332" s="184" t="s">
        <v>4982</v>
      </c>
      <c r="D332" s="184" t="s">
        <v>4942</v>
      </c>
      <c r="E332" s="184" t="s">
        <v>6931</v>
      </c>
      <c r="F332" s="184" t="s">
        <v>5078</v>
      </c>
      <c r="G332" s="235" t="s">
        <v>6020</v>
      </c>
      <c r="H332" s="509">
        <v>24001</v>
      </c>
      <c r="I332" s="194">
        <v>0</v>
      </c>
      <c r="J332" s="194">
        <v>36240</v>
      </c>
      <c r="K332" s="185">
        <v>0.1</v>
      </c>
      <c r="L332" s="183" t="s">
        <v>5744</v>
      </c>
      <c r="M332" s="184" t="s">
        <v>693</v>
      </c>
      <c r="N332" s="184" t="s">
        <v>693</v>
      </c>
      <c r="O332" s="233"/>
    </row>
    <row r="333" spans="1:15" s="182" customFormat="1" ht="21.95" customHeight="1" x14ac:dyDescent="0.15">
      <c r="A333" s="151" t="s">
        <v>7295</v>
      </c>
      <c r="B333" s="20" t="s">
        <v>6545</v>
      </c>
      <c r="C333" s="224" t="s">
        <v>3351</v>
      </c>
      <c r="D333" s="224" t="s">
        <v>3352</v>
      </c>
      <c r="E333" s="184" t="s">
        <v>6742</v>
      </c>
      <c r="F333" s="403" t="s">
        <v>3328</v>
      </c>
      <c r="G333" s="235" t="s">
        <v>6504</v>
      </c>
      <c r="H333" s="981" t="s">
        <v>6739</v>
      </c>
      <c r="I333" s="194">
        <v>0</v>
      </c>
      <c r="J333" s="194">
        <v>4325</v>
      </c>
      <c r="K333" s="185">
        <v>0.05</v>
      </c>
      <c r="L333" s="183" t="s">
        <v>5744</v>
      </c>
      <c r="M333" s="184" t="s">
        <v>5255</v>
      </c>
      <c r="N333" s="184" t="s">
        <v>5255</v>
      </c>
      <c r="O333" s="233"/>
    </row>
    <row r="334" spans="1:15" s="182" customFormat="1" ht="21.95" customHeight="1" x14ac:dyDescent="0.15">
      <c r="A334" s="151" t="s">
        <v>7295</v>
      </c>
      <c r="B334" s="20" t="s">
        <v>6545</v>
      </c>
      <c r="C334" s="224" t="s">
        <v>3351</v>
      </c>
      <c r="D334" s="224" t="s">
        <v>3352</v>
      </c>
      <c r="E334" s="184" t="s">
        <v>6743</v>
      </c>
      <c r="F334" s="403" t="s">
        <v>3328</v>
      </c>
      <c r="G334" s="235" t="s">
        <v>6504</v>
      </c>
      <c r="H334" s="981" t="s">
        <v>6740</v>
      </c>
      <c r="I334" s="194">
        <v>0</v>
      </c>
      <c r="J334" s="194">
        <v>4325</v>
      </c>
      <c r="K334" s="185">
        <v>0.05</v>
      </c>
      <c r="L334" s="183" t="s">
        <v>5744</v>
      </c>
      <c r="M334" s="184" t="s">
        <v>5255</v>
      </c>
      <c r="N334" s="184" t="s">
        <v>5255</v>
      </c>
      <c r="O334" s="233"/>
    </row>
    <row r="335" spans="1:15" s="182" customFormat="1" ht="21.95" customHeight="1" x14ac:dyDescent="0.15">
      <c r="A335" s="151" t="s">
        <v>7295</v>
      </c>
      <c r="B335" s="20" t="s">
        <v>6545</v>
      </c>
      <c r="C335" s="224" t="s">
        <v>3351</v>
      </c>
      <c r="D335" s="224" t="s">
        <v>3352</v>
      </c>
      <c r="E335" s="184" t="s">
        <v>6744</v>
      </c>
      <c r="F335" s="403" t="s">
        <v>3328</v>
      </c>
      <c r="G335" s="235" t="s">
        <v>6504</v>
      </c>
      <c r="H335" s="981" t="s">
        <v>6741</v>
      </c>
      <c r="I335" s="194">
        <v>0</v>
      </c>
      <c r="J335" s="194">
        <v>2750</v>
      </c>
      <c r="K335" s="185">
        <v>0.05</v>
      </c>
      <c r="L335" s="183" t="s">
        <v>5744</v>
      </c>
      <c r="M335" s="184" t="s">
        <v>5255</v>
      </c>
      <c r="N335" s="184" t="s">
        <v>5255</v>
      </c>
      <c r="O335" s="233"/>
    </row>
    <row r="336" spans="1:15" s="182" customFormat="1" ht="21.95" customHeight="1" x14ac:dyDescent="0.15">
      <c r="A336" s="151" t="s">
        <v>7295</v>
      </c>
      <c r="B336" s="20" t="s">
        <v>6545</v>
      </c>
      <c r="C336" s="224" t="s">
        <v>3351</v>
      </c>
      <c r="D336" s="224" t="s">
        <v>3352</v>
      </c>
      <c r="E336" s="394" t="s">
        <v>5194</v>
      </c>
      <c r="F336" s="403" t="s">
        <v>3328</v>
      </c>
      <c r="G336" s="239" t="s">
        <v>3349</v>
      </c>
      <c r="H336" s="509">
        <v>23105</v>
      </c>
      <c r="I336" s="194">
        <v>0</v>
      </c>
      <c r="J336" s="194">
        <v>35000</v>
      </c>
      <c r="K336" s="185">
        <v>0.5</v>
      </c>
      <c r="L336" s="183" t="s">
        <v>5743</v>
      </c>
      <c r="M336" s="184" t="s">
        <v>5255</v>
      </c>
      <c r="N336" s="184" t="s">
        <v>5255</v>
      </c>
      <c r="O336" s="233"/>
    </row>
    <row r="337" spans="1:15" s="182" customFormat="1" ht="21.95" customHeight="1" x14ac:dyDescent="0.15">
      <c r="A337" s="151" t="s">
        <v>7295</v>
      </c>
      <c r="B337" s="20" t="s">
        <v>6545</v>
      </c>
      <c r="C337" s="224" t="s">
        <v>3351</v>
      </c>
      <c r="D337" s="224" t="s">
        <v>3352</v>
      </c>
      <c r="E337" s="394" t="s">
        <v>4451</v>
      </c>
      <c r="F337" s="403" t="s">
        <v>3328</v>
      </c>
      <c r="G337" s="239" t="s">
        <v>3349</v>
      </c>
      <c r="H337" s="509">
        <v>23106</v>
      </c>
      <c r="I337" s="194">
        <v>0</v>
      </c>
      <c r="J337" s="194">
        <v>35000</v>
      </c>
      <c r="K337" s="185">
        <v>0.5</v>
      </c>
      <c r="L337" s="183" t="s">
        <v>5743</v>
      </c>
      <c r="M337" s="184" t="s">
        <v>5255</v>
      </c>
      <c r="N337" s="184" t="s">
        <v>5255</v>
      </c>
      <c r="O337" s="233"/>
    </row>
    <row r="338" spans="1:15" s="182" customFormat="1" ht="21.95" customHeight="1" x14ac:dyDescent="0.15">
      <c r="A338" s="151" t="s">
        <v>7295</v>
      </c>
      <c r="B338" s="20" t="s">
        <v>6545</v>
      </c>
      <c r="C338" s="224" t="s">
        <v>3351</v>
      </c>
      <c r="D338" s="224" t="s">
        <v>3352</v>
      </c>
      <c r="E338" s="180" t="s">
        <v>5194</v>
      </c>
      <c r="F338" s="207" t="s">
        <v>3328</v>
      </c>
      <c r="G338" s="239" t="s">
        <v>3566</v>
      </c>
      <c r="H338" s="509">
        <v>24109</v>
      </c>
      <c r="I338" s="194">
        <v>0</v>
      </c>
      <c r="J338" s="194">
        <v>34500</v>
      </c>
      <c r="K338" s="185" t="s">
        <v>6456</v>
      </c>
      <c r="L338" s="183" t="s">
        <v>5743</v>
      </c>
      <c r="M338" s="184" t="s">
        <v>5255</v>
      </c>
      <c r="N338" s="184" t="s">
        <v>5255</v>
      </c>
      <c r="O338" s="233"/>
    </row>
    <row r="339" spans="1:15" s="182" customFormat="1" ht="21.95" customHeight="1" x14ac:dyDescent="0.15">
      <c r="A339" s="151" t="s">
        <v>7295</v>
      </c>
      <c r="B339" s="20" t="s">
        <v>6545</v>
      </c>
      <c r="C339" s="224" t="s">
        <v>3351</v>
      </c>
      <c r="D339" s="224" t="s">
        <v>3352</v>
      </c>
      <c r="E339" s="180" t="s">
        <v>4451</v>
      </c>
      <c r="F339" s="207" t="s">
        <v>3328</v>
      </c>
      <c r="G339" s="239" t="s">
        <v>3566</v>
      </c>
      <c r="H339" s="509">
        <v>24110</v>
      </c>
      <c r="I339" s="194">
        <v>0</v>
      </c>
      <c r="J339" s="194">
        <v>34500</v>
      </c>
      <c r="K339" s="185" t="s">
        <v>6456</v>
      </c>
      <c r="L339" s="183" t="s">
        <v>5743</v>
      </c>
      <c r="M339" s="184" t="s">
        <v>5255</v>
      </c>
      <c r="N339" s="184" t="s">
        <v>5255</v>
      </c>
      <c r="O339" s="233"/>
    </row>
    <row r="340" spans="1:15" s="182" customFormat="1" ht="21.95" customHeight="1" x14ac:dyDescent="0.15">
      <c r="A340" s="151" t="s">
        <v>7295</v>
      </c>
      <c r="B340" s="20" t="s">
        <v>6545</v>
      </c>
      <c r="C340" s="224" t="s">
        <v>3351</v>
      </c>
      <c r="D340" s="224" t="s">
        <v>3352</v>
      </c>
      <c r="E340" s="224" t="s">
        <v>3644</v>
      </c>
      <c r="F340" s="207" t="s">
        <v>3328</v>
      </c>
      <c r="G340" s="239" t="s">
        <v>3566</v>
      </c>
      <c r="H340" s="509">
        <v>24111</v>
      </c>
      <c r="I340" s="194">
        <v>0</v>
      </c>
      <c r="J340" s="194">
        <v>34500</v>
      </c>
      <c r="K340" s="185" t="s">
        <v>6456</v>
      </c>
      <c r="L340" s="183" t="s">
        <v>5743</v>
      </c>
      <c r="M340" s="184" t="s">
        <v>5255</v>
      </c>
      <c r="N340" s="184" t="s">
        <v>5255</v>
      </c>
      <c r="O340" s="233"/>
    </row>
    <row r="341" spans="1:15" s="182" customFormat="1" ht="21.95" customHeight="1" x14ac:dyDescent="0.15">
      <c r="A341" s="151" t="s">
        <v>7296</v>
      </c>
      <c r="B341" s="20" t="s">
        <v>7301</v>
      </c>
      <c r="C341" s="224" t="s">
        <v>3351</v>
      </c>
      <c r="D341" s="224" t="s">
        <v>3352</v>
      </c>
      <c r="E341" s="394" t="s">
        <v>2794</v>
      </c>
      <c r="F341" s="403" t="s">
        <v>3340</v>
      </c>
      <c r="G341" s="239" t="s">
        <v>3349</v>
      </c>
      <c r="H341" s="509">
        <v>23100</v>
      </c>
      <c r="I341" s="194">
        <v>0</v>
      </c>
      <c r="J341" s="194">
        <v>35000</v>
      </c>
      <c r="K341" s="185">
        <v>0.5</v>
      </c>
      <c r="L341" s="183" t="s">
        <v>5743</v>
      </c>
      <c r="M341" s="184" t="s">
        <v>5255</v>
      </c>
      <c r="N341" s="184" t="s">
        <v>5255</v>
      </c>
      <c r="O341" s="233"/>
    </row>
    <row r="342" spans="1:15" s="182" customFormat="1" ht="21.95" customHeight="1" x14ac:dyDescent="0.15">
      <c r="A342" s="151" t="s">
        <v>7305</v>
      </c>
      <c r="B342" s="20" t="s">
        <v>6545</v>
      </c>
      <c r="C342" s="224" t="s">
        <v>3351</v>
      </c>
      <c r="D342" s="224" t="s">
        <v>3352</v>
      </c>
      <c r="E342" s="224" t="s">
        <v>3644</v>
      </c>
      <c r="F342" s="403" t="s">
        <v>3328</v>
      </c>
      <c r="G342" s="239" t="s">
        <v>3349</v>
      </c>
      <c r="H342" s="509">
        <v>23107</v>
      </c>
      <c r="I342" s="194">
        <v>0</v>
      </c>
      <c r="J342" s="194">
        <v>35000</v>
      </c>
      <c r="K342" s="185">
        <v>0.5</v>
      </c>
      <c r="L342" s="183" t="s">
        <v>5743</v>
      </c>
      <c r="M342" s="184" t="s">
        <v>5255</v>
      </c>
      <c r="N342" s="184" t="s">
        <v>5255</v>
      </c>
      <c r="O342" s="233"/>
    </row>
    <row r="343" spans="1:15" s="182" customFormat="1" ht="21.95" customHeight="1" x14ac:dyDescent="0.15">
      <c r="A343" s="151" t="s">
        <v>7306</v>
      </c>
      <c r="B343" s="20" t="s">
        <v>7307</v>
      </c>
      <c r="C343" s="184" t="s">
        <v>4941</v>
      </c>
      <c r="D343" s="184" t="s">
        <v>4942</v>
      </c>
      <c r="E343" s="184" t="s">
        <v>6552</v>
      </c>
      <c r="F343" s="184" t="s">
        <v>5078</v>
      </c>
      <c r="G343" s="235" t="s">
        <v>5249</v>
      </c>
      <c r="H343" s="509">
        <v>24148</v>
      </c>
      <c r="I343" s="194">
        <v>0</v>
      </c>
      <c r="J343" s="194">
        <v>142500</v>
      </c>
      <c r="K343" s="185">
        <v>0.95</v>
      </c>
      <c r="L343" s="183" t="s">
        <v>6622</v>
      </c>
      <c r="M343" s="184" t="s">
        <v>5255</v>
      </c>
      <c r="N343" s="184" t="s">
        <v>5255</v>
      </c>
      <c r="O343" s="233"/>
    </row>
    <row r="344" spans="1:15" s="182" customFormat="1" ht="21.95" customHeight="1" x14ac:dyDescent="0.15">
      <c r="A344" s="151" t="s">
        <v>7308</v>
      </c>
      <c r="B344" s="20" t="s">
        <v>4806</v>
      </c>
      <c r="C344" s="1089" t="s">
        <v>3985</v>
      </c>
      <c r="D344" s="1089" t="s">
        <v>3572</v>
      </c>
      <c r="E344" s="1089" t="s">
        <v>7081</v>
      </c>
      <c r="F344" s="184" t="s">
        <v>5078</v>
      </c>
      <c r="G344" s="235" t="s">
        <v>7316</v>
      </c>
      <c r="H344" s="509">
        <v>25144</v>
      </c>
      <c r="I344" s="194">
        <v>0</v>
      </c>
      <c r="J344" s="194">
        <v>15000</v>
      </c>
      <c r="K344" s="185">
        <v>1</v>
      </c>
      <c r="L344" s="183" t="s">
        <v>806</v>
      </c>
      <c r="M344" s="184" t="s">
        <v>3957</v>
      </c>
      <c r="N344" s="184" t="s">
        <v>3957</v>
      </c>
      <c r="O344" s="233"/>
    </row>
    <row r="345" spans="1:15" s="182" customFormat="1" ht="21.95" customHeight="1" x14ac:dyDescent="0.15">
      <c r="A345" s="151" t="s">
        <v>7309</v>
      </c>
      <c r="B345" s="20" t="s">
        <v>7310</v>
      </c>
      <c r="C345" s="224" t="s">
        <v>3351</v>
      </c>
      <c r="D345" s="224" t="s">
        <v>3352</v>
      </c>
      <c r="E345" s="394" t="s">
        <v>3689</v>
      </c>
      <c r="F345" s="184" t="s">
        <v>5078</v>
      </c>
      <c r="G345" s="235" t="s">
        <v>6711</v>
      </c>
      <c r="H345" s="509">
        <v>23126</v>
      </c>
      <c r="I345" s="194">
        <v>0</v>
      </c>
      <c r="J345" s="194">
        <v>27200</v>
      </c>
      <c r="K345" s="185" t="s">
        <v>7082</v>
      </c>
      <c r="L345" s="183" t="s">
        <v>5743</v>
      </c>
      <c r="M345" s="184" t="s">
        <v>5255</v>
      </c>
      <c r="N345" s="184" t="s">
        <v>5255</v>
      </c>
      <c r="O345" s="233"/>
    </row>
    <row r="346" spans="1:15" s="182" customFormat="1" ht="21.95" customHeight="1" x14ac:dyDescent="0.15">
      <c r="A346" s="151" t="s">
        <v>7309</v>
      </c>
      <c r="B346" s="20" t="s">
        <v>5454</v>
      </c>
      <c r="C346" s="184" t="s">
        <v>4941</v>
      </c>
      <c r="D346" s="184" t="s">
        <v>5901</v>
      </c>
      <c r="E346" s="184" t="s">
        <v>918</v>
      </c>
      <c r="F346" s="267" t="s">
        <v>3328</v>
      </c>
      <c r="G346" s="239" t="s">
        <v>7319</v>
      </c>
      <c r="H346" s="509" t="s">
        <v>7317</v>
      </c>
      <c r="I346" s="194">
        <v>0</v>
      </c>
      <c r="J346" s="194">
        <v>23750</v>
      </c>
      <c r="K346" s="185">
        <v>0.95</v>
      </c>
      <c r="L346" s="183" t="s">
        <v>5768</v>
      </c>
      <c r="M346" s="184" t="s">
        <v>5255</v>
      </c>
      <c r="N346" s="184" t="s">
        <v>5255</v>
      </c>
      <c r="O346" s="233"/>
    </row>
    <row r="347" spans="1:15" s="182" customFormat="1" ht="21.95" customHeight="1" x14ac:dyDescent="0.15">
      <c r="A347" s="151" t="s">
        <v>7309</v>
      </c>
      <c r="B347" s="20" t="s">
        <v>5454</v>
      </c>
      <c r="C347" s="184" t="s">
        <v>4941</v>
      </c>
      <c r="D347" s="184" t="s">
        <v>5901</v>
      </c>
      <c r="E347" s="184" t="s">
        <v>5902</v>
      </c>
      <c r="F347" s="267" t="s">
        <v>3328</v>
      </c>
      <c r="G347" s="239" t="s">
        <v>7319</v>
      </c>
      <c r="H347" s="509" t="s">
        <v>7318</v>
      </c>
      <c r="I347" s="194">
        <v>0</v>
      </c>
      <c r="J347" s="194">
        <v>23750</v>
      </c>
      <c r="K347" s="185">
        <v>0.95</v>
      </c>
      <c r="L347" s="183" t="s">
        <v>5768</v>
      </c>
      <c r="M347" s="184" t="s">
        <v>5255</v>
      </c>
      <c r="N347" s="184" t="s">
        <v>5255</v>
      </c>
      <c r="O347" s="233"/>
    </row>
    <row r="348" spans="1:15" s="182" customFormat="1" ht="21.95" customHeight="1" x14ac:dyDescent="0.15">
      <c r="A348" s="151" t="s">
        <v>7311</v>
      </c>
      <c r="B348" s="20" t="s">
        <v>7312</v>
      </c>
      <c r="C348" s="184" t="s">
        <v>4982</v>
      </c>
      <c r="D348" s="184" t="s">
        <v>5018</v>
      </c>
      <c r="E348" s="947" t="s">
        <v>4418</v>
      </c>
      <c r="F348" s="184" t="s">
        <v>6343</v>
      </c>
      <c r="G348" s="235" t="s">
        <v>6343</v>
      </c>
      <c r="H348" s="509">
        <v>22042</v>
      </c>
      <c r="I348" s="194">
        <v>0</v>
      </c>
      <c r="J348" s="194">
        <v>254600</v>
      </c>
      <c r="K348" s="185" t="s">
        <v>7320</v>
      </c>
      <c r="L348" s="183" t="s">
        <v>806</v>
      </c>
      <c r="M348" s="184" t="s">
        <v>6106</v>
      </c>
      <c r="N348" s="184" t="s">
        <v>5255</v>
      </c>
      <c r="O348" s="233"/>
    </row>
    <row r="349" spans="1:15" s="182" customFormat="1" ht="21.95" customHeight="1" x14ac:dyDescent="0.15">
      <c r="A349" s="151" t="s">
        <v>7311</v>
      </c>
      <c r="B349" s="20" t="s">
        <v>7313</v>
      </c>
      <c r="C349" s="945" t="s">
        <v>3330</v>
      </c>
      <c r="D349" s="945" t="s">
        <v>3837</v>
      </c>
      <c r="E349" s="952" t="s">
        <v>7321</v>
      </c>
      <c r="F349" s="184" t="s">
        <v>5078</v>
      </c>
      <c r="G349" s="235" t="s">
        <v>7322</v>
      </c>
      <c r="H349" s="509">
        <v>24116</v>
      </c>
      <c r="I349" s="194">
        <v>0</v>
      </c>
      <c r="J349" s="194">
        <v>449280</v>
      </c>
      <c r="K349" s="185">
        <v>0.6</v>
      </c>
      <c r="L349" s="183" t="s">
        <v>7079</v>
      </c>
      <c r="M349" s="184" t="s">
        <v>5255</v>
      </c>
      <c r="N349" s="184" t="s">
        <v>5255</v>
      </c>
      <c r="O349" s="233"/>
    </row>
    <row r="350" spans="1:15" s="182" customFormat="1" ht="21.95" customHeight="1" x14ac:dyDescent="0.15">
      <c r="A350" s="151" t="s">
        <v>7311</v>
      </c>
      <c r="B350" s="20" t="s">
        <v>7313</v>
      </c>
      <c r="C350" s="184" t="s">
        <v>4941</v>
      </c>
      <c r="D350" s="184" t="s">
        <v>4942</v>
      </c>
      <c r="E350" s="184" t="s">
        <v>7331</v>
      </c>
      <c r="F350" s="184" t="s">
        <v>4944</v>
      </c>
      <c r="G350" s="235" t="s">
        <v>7332</v>
      </c>
      <c r="H350" s="509" t="s">
        <v>7323</v>
      </c>
      <c r="I350" s="194">
        <v>0</v>
      </c>
      <c r="J350" s="194">
        <v>62810.02</v>
      </c>
      <c r="K350" s="185" t="s">
        <v>7342</v>
      </c>
      <c r="L350" s="183" t="s">
        <v>7344</v>
      </c>
      <c r="M350" s="184" t="s">
        <v>5255</v>
      </c>
      <c r="N350" s="184" t="s">
        <v>5255</v>
      </c>
      <c r="O350" s="233"/>
    </row>
    <row r="351" spans="1:15" s="182" customFormat="1" ht="21.95" customHeight="1" x14ac:dyDescent="0.15">
      <c r="A351" s="151" t="s">
        <v>7311</v>
      </c>
      <c r="B351" s="20" t="s">
        <v>7313</v>
      </c>
      <c r="C351" s="184" t="s">
        <v>4941</v>
      </c>
      <c r="D351" s="184" t="s">
        <v>4942</v>
      </c>
      <c r="E351" s="184" t="s">
        <v>7333</v>
      </c>
      <c r="F351" s="184" t="s">
        <v>5078</v>
      </c>
      <c r="G351" s="235" t="s">
        <v>7334</v>
      </c>
      <c r="H351" s="509" t="s">
        <v>7324</v>
      </c>
      <c r="I351" s="194">
        <v>0</v>
      </c>
      <c r="J351" s="194">
        <v>230230.19999999998</v>
      </c>
      <c r="K351" s="185" t="s">
        <v>7343</v>
      </c>
      <c r="L351" s="183" t="s">
        <v>7344</v>
      </c>
      <c r="M351" s="184" t="s">
        <v>5255</v>
      </c>
      <c r="N351" s="184" t="s">
        <v>5255</v>
      </c>
      <c r="O351" s="233"/>
    </row>
    <row r="352" spans="1:15" s="182" customFormat="1" ht="21.95" customHeight="1" x14ac:dyDescent="0.15">
      <c r="A352" s="151" t="s">
        <v>7311</v>
      </c>
      <c r="B352" s="20" t="s">
        <v>7313</v>
      </c>
      <c r="C352" s="184" t="s">
        <v>4941</v>
      </c>
      <c r="D352" s="184" t="s">
        <v>4942</v>
      </c>
      <c r="E352" s="184" t="s">
        <v>7335</v>
      </c>
      <c r="F352" s="184" t="s">
        <v>4944</v>
      </c>
      <c r="G352" s="235" t="s">
        <v>7332</v>
      </c>
      <c r="H352" s="509" t="s">
        <v>7325</v>
      </c>
      <c r="I352" s="194">
        <v>0</v>
      </c>
      <c r="J352" s="194">
        <v>71483.399999999994</v>
      </c>
      <c r="K352" s="185" t="s">
        <v>7343</v>
      </c>
      <c r="L352" s="183" t="s">
        <v>7344</v>
      </c>
      <c r="M352" s="184" t="s">
        <v>5255</v>
      </c>
      <c r="N352" s="184" t="s">
        <v>5255</v>
      </c>
      <c r="O352" s="233"/>
    </row>
    <row r="353" spans="1:15" s="182" customFormat="1" ht="21.95" customHeight="1" x14ac:dyDescent="0.15">
      <c r="A353" s="151" t="s">
        <v>7311</v>
      </c>
      <c r="B353" s="20" t="s">
        <v>7313</v>
      </c>
      <c r="C353" s="184" t="s">
        <v>4941</v>
      </c>
      <c r="D353" s="184" t="s">
        <v>4942</v>
      </c>
      <c r="E353" s="184" t="s">
        <v>7336</v>
      </c>
      <c r="F353" s="184" t="s">
        <v>5078</v>
      </c>
      <c r="G353" s="235" t="s">
        <v>7337</v>
      </c>
      <c r="H353" s="509" t="s">
        <v>7326</v>
      </c>
      <c r="I353" s="194">
        <v>0</v>
      </c>
      <c r="J353" s="194">
        <v>158667.9</v>
      </c>
      <c r="K353" s="185" t="s">
        <v>7343</v>
      </c>
      <c r="L353" s="183" t="s">
        <v>7344</v>
      </c>
      <c r="M353" s="184" t="s">
        <v>5255</v>
      </c>
      <c r="N353" s="184" t="s">
        <v>5255</v>
      </c>
      <c r="O353" s="233"/>
    </row>
    <row r="354" spans="1:15" s="182" customFormat="1" ht="21.95" customHeight="1" x14ac:dyDescent="0.15">
      <c r="A354" s="151" t="s">
        <v>7311</v>
      </c>
      <c r="B354" s="20" t="s">
        <v>7313</v>
      </c>
      <c r="C354" s="184" t="s">
        <v>4941</v>
      </c>
      <c r="D354" s="184" t="s">
        <v>4942</v>
      </c>
      <c r="E354" s="184" t="s">
        <v>7338</v>
      </c>
      <c r="F354" s="184" t="s">
        <v>5078</v>
      </c>
      <c r="G354" s="235" t="s">
        <v>7334</v>
      </c>
      <c r="H354" s="509" t="s">
        <v>7327</v>
      </c>
      <c r="I354" s="194">
        <v>0</v>
      </c>
      <c r="J354" s="194">
        <v>283168.94400000002</v>
      </c>
      <c r="K354" s="185" t="s">
        <v>7343</v>
      </c>
      <c r="L354" s="183" t="s">
        <v>7344</v>
      </c>
      <c r="M354" s="184" t="s">
        <v>5255</v>
      </c>
      <c r="N354" s="184" t="s">
        <v>5255</v>
      </c>
      <c r="O354" s="233"/>
    </row>
    <row r="355" spans="1:15" s="182" customFormat="1" ht="21.95" customHeight="1" x14ac:dyDescent="0.15">
      <c r="A355" s="151" t="s">
        <v>7311</v>
      </c>
      <c r="B355" s="20" t="s">
        <v>7313</v>
      </c>
      <c r="C355" s="184" t="s">
        <v>4941</v>
      </c>
      <c r="D355" s="184" t="s">
        <v>4942</v>
      </c>
      <c r="E355" s="184" t="s">
        <v>7339</v>
      </c>
      <c r="F355" s="184" t="s">
        <v>4944</v>
      </c>
      <c r="G355" s="235" t="s">
        <v>3345</v>
      </c>
      <c r="H355" s="509" t="s">
        <v>7328</v>
      </c>
      <c r="I355" s="194">
        <v>0</v>
      </c>
      <c r="J355" s="194">
        <v>62892.767999999996</v>
      </c>
      <c r="K355" s="185" t="s">
        <v>7343</v>
      </c>
      <c r="L355" s="183" t="s">
        <v>7344</v>
      </c>
      <c r="M355" s="184" t="s">
        <v>5255</v>
      </c>
      <c r="N355" s="184" t="s">
        <v>5255</v>
      </c>
      <c r="O355" s="233"/>
    </row>
    <row r="356" spans="1:15" s="182" customFormat="1" ht="21.95" customHeight="1" x14ac:dyDescent="0.15">
      <c r="A356" s="151" t="s">
        <v>7311</v>
      </c>
      <c r="B356" s="20" t="s">
        <v>7313</v>
      </c>
      <c r="C356" s="184" t="s">
        <v>4941</v>
      </c>
      <c r="D356" s="184" t="s">
        <v>4942</v>
      </c>
      <c r="E356" s="184" t="s">
        <v>7340</v>
      </c>
      <c r="F356" s="184" t="s">
        <v>4944</v>
      </c>
      <c r="G356" s="235" t="s">
        <v>3345</v>
      </c>
      <c r="H356" s="509" t="s">
        <v>7329</v>
      </c>
      <c r="I356" s="194">
        <v>0</v>
      </c>
      <c r="J356" s="194">
        <v>62892.767999999996</v>
      </c>
      <c r="K356" s="185" t="s">
        <v>7343</v>
      </c>
      <c r="L356" s="183" t="s">
        <v>7344</v>
      </c>
      <c r="M356" s="184" t="s">
        <v>5255</v>
      </c>
      <c r="N356" s="184" t="s">
        <v>5255</v>
      </c>
      <c r="O356" s="233"/>
    </row>
    <row r="357" spans="1:15" s="182" customFormat="1" ht="21.95" customHeight="1" x14ac:dyDescent="0.15">
      <c r="A357" s="151" t="s">
        <v>7311</v>
      </c>
      <c r="B357" s="20" t="s">
        <v>7313</v>
      </c>
      <c r="C357" s="184" t="s">
        <v>4941</v>
      </c>
      <c r="D357" s="184" t="s">
        <v>4942</v>
      </c>
      <c r="E357" s="184" t="s">
        <v>7341</v>
      </c>
      <c r="F357" s="184" t="s">
        <v>4944</v>
      </c>
      <c r="G357" s="235" t="s">
        <v>7332</v>
      </c>
      <c r="H357" s="509" t="s">
        <v>7330</v>
      </c>
      <c r="I357" s="194">
        <v>0</v>
      </c>
      <c r="J357" s="194">
        <v>67854</v>
      </c>
      <c r="K357" s="185" t="s">
        <v>7343</v>
      </c>
      <c r="L357" s="183" t="s">
        <v>7344</v>
      </c>
      <c r="M357" s="184" t="s">
        <v>5255</v>
      </c>
      <c r="N357" s="184" t="s">
        <v>5255</v>
      </c>
      <c r="O357" s="233"/>
    </row>
    <row r="358" spans="1:15" s="182" customFormat="1" ht="21.95" customHeight="1" x14ac:dyDescent="0.15">
      <c r="A358" s="151" t="s">
        <v>7314</v>
      </c>
      <c r="B358" s="20" t="s">
        <v>7315</v>
      </c>
      <c r="C358" s="1090" t="s">
        <v>4982</v>
      </c>
      <c r="D358" s="1090" t="s">
        <v>4942</v>
      </c>
      <c r="E358" s="1090" t="s">
        <v>6653</v>
      </c>
      <c r="F358" s="184" t="s">
        <v>3332</v>
      </c>
      <c r="G358" s="235" t="s">
        <v>3329</v>
      </c>
      <c r="H358" s="509">
        <v>24063</v>
      </c>
      <c r="I358" s="194">
        <v>0</v>
      </c>
      <c r="J358" s="194">
        <v>135000</v>
      </c>
      <c r="K358" s="185">
        <v>0.3</v>
      </c>
      <c r="L358" s="183" t="s">
        <v>5768</v>
      </c>
      <c r="M358" s="184" t="s">
        <v>693</v>
      </c>
      <c r="N358" s="184" t="s">
        <v>693</v>
      </c>
      <c r="O358" s="233"/>
    </row>
    <row r="359" spans="1:15" s="182" customFormat="1" ht="21.95" customHeight="1" x14ac:dyDescent="0.15">
      <c r="A359" s="151" t="s">
        <v>7345</v>
      </c>
      <c r="B359" s="20" t="s">
        <v>5117</v>
      </c>
      <c r="C359" s="184" t="s">
        <v>4963</v>
      </c>
      <c r="D359" s="184" t="s">
        <v>5422</v>
      </c>
      <c r="E359" s="184" t="s">
        <v>5423</v>
      </c>
      <c r="F359" s="419" t="s">
        <v>3328</v>
      </c>
      <c r="G359" s="235" t="s">
        <v>6531</v>
      </c>
      <c r="H359" s="509">
        <v>23041</v>
      </c>
      <c r="I359" s="194">
        <v>0</v>
      </c>
      <c r="J359" s="194">
        <v>92000</v>
      </c>
      <c r="K359" s="185">
        <v>1</v>
      </c>
      <c r="L359" s="183" t="s">
        <v>5743</v>
      </c>
      <c r="M359" s="184" t="s">
        <v>693</v>
      </c>
      <c r="N359" s="184" t="s">
        <v>693</v>
      </c>
      <c r="O359" s="233"/>
    </row>
    <row r="360" spans="1:15" s="182" customFormat="1" ht="21.95" customHeight="1" x14ac:dyDescent="0.15">
      <c r="A360" s="151" t="s">
        <v>7346</v>
      </c>
      <c r="B360" s="20" t="s">
        <v>7347</v>
      </c>
      <c r="C360" s="224" t="s">
        <v>3351</v>
      </c>
      <c r="D360" s="224" t="s">
        <v>3352</v>
      </c>
      <c r="E360" s="394" t="s">
        <v>6616</v>
      </c>
      <c r="F360" s="184" t="s">
        <v>5078</v>
      </c>
      <c r="G360" s="235" t="s">
        <v>6711</v>
      </c>
      <c r="H360" s="509">
        <v>24127</v>
      </c>
      <c r="I360" s="194">
        <v>0</v>
      </c>
      <c r="J360" s="194">
        <v>226495</v>
      </c>
      <c r="K360" s="185">
        <v>0.97</v>
      </c>
      <c r="L360" s="183" t="s">
        <v>7349</v>
      </c>
      <c r="M360" s="184" t="s">
        <v>5255</v>
      </c>
      <c r="N360" s="184" t="s">
        <v>5255</v>
      </c>
      <c r="O360" s="233"/>
    </row>
    <row r="361" spans="1:15" s="182" customFormat="1" ht="21.95" customHeight="1" x14ac:dyDescent="0.15">
      <c r="A361" s="151" t="s">
        <v>7346</v>
      </c>
      <c r="B361" s="20" t="s">
        <v>7348</v>
      </c>
      <c r="C361" s="184" t="s">
        <v>4941</v>
      </c>
      <c r="D361" s="184" t="s">
        <v>4942</v>
      </c>
      <c r="E361" s="184" t="s">
        <v>6423</v>
      </c>
      <c r="F361" s="184" t="s">
        <v>5078</v>
      </c>
      <c r="G361" s="235" t="s">
        <v>6504</v>
      </c>
      <c r="H361" s="509">
        <v>24142</v>
      </c>
      <c r="I361" s="194">
        <v>0</v>
      </c>
      <c r="J361" s="194">
        <v>53350</v>
      </c>
      <c r="K361" s="185">
        <v>0.97</v>
      </c>
      <c r="L361" s="183" t="s">
        <v>5768</v>
      </c>
      <c r="M361" s="184" t="s">
        <v>5255</v>
      </c>
      <c r="N361" s="184" t="s">
        <v>5255</v>
      </c>
      <c r="O361" s="233"/>
    </row>
    <row r="362" spans="1:15" s="182" customFormat="1" ht="21.95" customHeight="1" x14ac:dyDescent="0.15">
      <c r="A362" s="151" t="s">
        <v>7346</v>
      </c>
      <c r="B362" s="20" t="s">
        <v>5554</v>
      </c>
      <c r="C362" s="1092" t="s">
        <v>3351</v>
      </c>
      <c r="D362" s="1092" t="s">
        <v>3463</v>
      </c>
      <c r="E362" s="1092" t="s">
        <v>4064</v>
      </c>
      <c r="F362" s="184" t="s">
        <v>5078</v>
      </c>
      <c r="G362" s="235" t="s">
        <v>7350</v>
      </c>
      <c r="H362" s="509">
        <v>25106</v>
      </c>
      <c r="I362" s="194">
        <v>0</v>
      </c>
      <c r="J362" s="194">
        <v>86143.5</v>
      </c>
      <c r="K362" s="185">
        <v>0.9</v>
      </c>
      <c r="L362" s="183" t="s">
        <v>5768</v>
      </c>
      <c r="M362" s="184" t="s">
        <v>5255</v>
      </c>
      <c r="N362" s="184" t="s">
        <v>5255</v>
      </c>
      <c r="O362" s="233"/>
    </row>
    <row r="363" spans="1:15" s="182" customFormat="1" ht="21.95" customHeight="1" x14ac:dyDescent="0.15">
      <c r="A363" s="151" t="s">
        <v>7351</v>
      </c>
      <c r="B363" s="20" t="s">
        <v>4731</v>
      </c>
      <c r="C363" s="947" t="s">
        <v>3346</v>
      </c>
      <c r="D363" s="947" t="s">
        <v>3354</v>
      </c>
      <c r="E363" s="948" t="s">
        <v>845</v>
      </c>
      <c r="F363" s="945" t="s">
        <v>3355</v>
      </c>
      <c r="G363" s="1004" t="s">
        <v>3356</v>
      </c>
      <c r="H363" s="509">
        <v>18033</v>
      </c>
      <c r="I363" s="194">
        <v>0</v>
      </c>
      <c r="J363" s="194">
        <v>2924.79</v>
      </c>
      <c r="K363" s="185">
        <v>0.1</v>
      </c>
      <c r="L363" s="183" t="s">
        <v>5744</v>
      </c>
      <c r="M363" s="945" t="s">
        <v>3725</v>
      </c>
      <c r="N363" s="958" t="s">
        <v>3726</v>
      </c>
      <c r="O363" s="233"/>
    </row>
    <row r="364" spans="1:15" s="182" customFormat="1" ht="21.95" customHeight="1" x14ac:dyDescent="0.15">
      <c r="A364" s="151" t="s">
        <v>7352</v>
      </c>
      <c r="B364" s="20" t="s">
        <v>7353</v>
      </c>
      <c r="C364" s="184" t="s">
        <v>5148</v>
      </c>
      <c r="D364" s="184" t="s">
        <v>6334</v>
      </c>
      <c r="E364" s="184" t="s">
        <v>6335</v>
      </c>
      <c r="F364" s="184" t="s">
        <v>5078</v>
      </c>
      <c r="G364" s="235" t="s">
        <v>7363</v>
      </c>
      <c r="H364" s="509">
        <v>25102</v>
      </c>
      <c r="I364" s="194">
        <v>0</v>
      </c>
      <c r="J364" s="194">
        <v>186200</v>
      </c>
      <c r="K364" s="185">
        <v>0.95</v>
      </c>
      <c r="L364" s="183" t="s">
        <v>5768</v>
      </c>
      <c r="M364" s="184" t="s">
        <v>5771</v>
      </c>
      <c r="N364" s="184" t="s">
        <v>5771</v>
      </c>
      <c r="O364" s="233"/>
    </row>
    <row r="365" spans="1:15" s="182" customFormat="1" ht="21.95" customHeight="1" x14ac:dyDescent="0.15">
      <c r="A365" s="151" t="s">
        <v>7354</v>
      </c>
      <c r="B365" s="20" t="s">
        <v>7355</v>
      </c>
      <c r="C365" s="184" t="s">
        <v>5834</v>
      </c>
      <c r="D365" s="184" t="s">
        <v>5541</v>
      </c>
      <c r="E365" s="184" t="s">
        <v>6609</v>
      </c>
      <c r="F365" s="184" t="s">
        <v>5078</v>
      </c>
      <c r="G365" s="235" t="s">
        <v>6610</v>
      </c>
      <c r="H365" s="509">
        <v>23141</v>
      </c>
      <c r="I365" s="194">
        <v>0</v>
      </c>
      <c r="J365" s="194">
        <v>1020</v>
      </c>
      <c r="K365" s="185">
        <v>0.03</v>
      </c>
      <c r="L365" s="183" t="s">
        <v>5744</v>
      </c>
      <c r="M365" s="184" t="s">
        <v>5771</v>
      </c>
      <c r="N365" s="184" t="s">
        <v>5771</v>
      </c>
      <c r="O365" s="233"/>
    </row>
    <row r="366" spans="1:15" s="182" customFormat="1" ht="21.95" customHeight="1" x14ac:dyDescent="0.15">
      <c r="A366" s="151" t="s">
        <v>7356</v>
      </c>
      <c r="B366" s="20" t="s">
        <v>5404</v>
      </c>
      <c r="C366" s="224" t="s">
        <v>3325</v>
      </c>
      <c r="D366" s="224" t="s">
        <v>3439</v>
      </c>
      <c r="E366" s="180" t="s">
        <v>4102</v>
      </c>
      <c r="F366" s="184" t="s">
        <v>4944</v>
      </c>
      <c r="G366" s="239" t="s">
        <v>3336</v>
      </c>
      <c r="H366" s="509" t="s">
        <v>7364</v>
      </c>
      <c r="I366" s="194">
        <v>0</v>
      </c>
      <c r="J366" s="194">
        <v>132541.20000000001</v>
      </c>
      <c r="K366" s="185">
        <v>0.9</v>
      </c>
      <c r="L366" s="183" t="s">
        <v>6622</v>
      </c>
      <c r="M366" s="184" t="s">
        <v>693</v>
      </c>
      <c r="N366" s="184" t="s">
        <v>693</v>
      </c>
      <c r="O366" s="233"/>
    </row>
    <row r="367" spans="1:15" s="182" customFormat="1" ht="21.95" customHeight="1" x14ac:dyDescent="0.15">
      <c r="A367" s="151" t="s">
        <v>7356</v>
      </c>
      <c r="B367" s="20" t="s">
        <v>5404</v>
      </c>
      <c r="C367" s="224" t="s">
        <v>3325</v>
      </c>
      <c r="D367" s="224" t="s">
        <v>3439</v>
      </c>
      <c r="E367" s="180" t="s">
        <v>4102</v>
      </c>
      <c r="F367" s="184" t="s">
        <v>3400</v>
      </c>
      <c r="G367" s="235" t="s">
        <v>7367</v>
      </c>
      <c r="H367" s="509" t="s">
        <v>7365</v>
      </c>
      <c r="I367" s="194">
        <v>0</v>
      </c>
      <c r="J367" s="194">
        <v>35784.9</v>
      </c>
      <c r="K367" s="185">
        <v>0.9</v>
      </c>
      <c r="L367" s="183" t="s">
        <v>6622</v>
      </c>
      <c r="M367" s="184" t="s">
        <v>693</v>
      </c>
      <c r="N367" s="184" t="s">
        <v>693</v>
      </c>
      <c r="O367" s="233"/>
    </row>
    <row r="368" spans="1:15" s="182" customFormat="1" ht="21.95" customHeight="1" x14ac:dyDescent="0.15">
      <c r="A368" s="151" t="s">
        <v>7356</v>
      </c>
      <c r="B368" s="20" t="s">
        <v>5404</v>
      </c>
      <c r="C368" s="224" t="s">
        <v>3325</v>
      </c>
      <c r="D368" s="224" t="s">
        <v>3439</v>
      </c>
      <c r="E368" s="180" t="s">
        <v>4102</v>
      </c>
      <c r="F368" s="184" t="s">
        <v>7368</v>
      </c>
      <c r="G368" s="235" t="s">
        <v>7369</v>
      </c>
      <c r="H368" s="509" t="s">
        <v>7366</v>
      </c>
      <c r="I368" s="194">
        <v>0</v>
      </c>
      <c r="J368" s="194">
        <v>33918.300000000003</v>
      </c>
      <c r="K368" s="185">
        <v>0.9</v>
      </c>
      <c r="L368" s="183" t="s">
        <v>6622</v>
      </c>
      <c r="M368" s="184" t="s">
        <v>693</v>
      </c>
      <c r="N368" s="184" t="s">
        <v>693</v>
      </c>
      <c r="O368" s="233"/>
    </row>
    <row r="369" spans="1:15" s="182" customFormat="1" ht="21.95" customHeight="1" x14ac:dyDescent="0.15">
      <c r="A369" s="151" t="s">
        <v>7356</v>
      </c>
      <c r="B369" s="20" t="s">
        <v>7357</v>
      </c>
      <c r="C369" s="184" t="s">
        <v>4982</v>
      </c>
      <c r="D369" s="184" t="s">
        <v>5098</v>
      </c>
      <c r="E369" s="184" t="s">
        <v>6019</v>
      </c>
      <c r="F369" s="184" t="s">
        <v>5078</v>
      </c>
      <c r="G369" s="235" t="s">
        <v>3370</v>
      </c>
      <c r="H369" s="509">
        <v>24091</v>
      </c>
      <c r="I369" s="194">
        <v>0</v>
      </c>
      <c r="J369" s="194">
        <v>60000</v>
      </c>
      <c r="K369" s="185">
        <v>0.5</v>
      </c>
      <c r="L369" s="183" t="s">
        <v>5743</v>
      </c>
      <c r="M369" s="184" t="s">
        <v>6038</v>
      </c>
      <c r="N369" s="184" t="s">
        <v>6038</v>
      </c>
      <c r="O369" s="233"/>
    </row>
    <row r="370" spans="1:15" s="182" customFormat="1" ht="21.95" customHeight="1" x14ac:dyDescent="0.15">
      <c r="A370" s="151" t="s">
        <v>7356</v>
      </c>
      <c r="B370" s="20" t="s">
        <v>7355</v>
      </c>
      <c r="C370" s="945" t="s">
        <v>5088</v>
      </c>
      <c r="D370" s="945" t="s">
        <v>3415</v>
      </c>
      <c r="E370" s="952" t="s">
        <v>7370</v>
      </c>
      <c r="F370" s="952" t="s">
        <v>3332</v>
      </c>
      <c r="G370" s="430" t="s">
        <v>3381</v>
      </c>
      <c r="H370" s="509">
        <v>24016</v>
      </c>
      <c r="I370" s="194">
        <v>0</v>
      </c>
      <c r="J370" s="194">
        <v>48500</v>
      </c>
      <c r="K370" s="185" t="s">
        <v>7371</v>
      </c>
      <c r="L370" s="183" t="s">
        <v>5743</v>
      </c>
      <c r="M370" s="184" t="s">
        <v>5771</v>
      </c>
      <c r="N370" s="184" t="s">
        <v>5771</v>
      </c>
      <c r="O370" s="233"/>
    </row>
    <row r="371" spans="1:15" s="182" customFormat="1" ht="21.95" customHeight="1" x14ac:dyDescent="0.15">
      <c r="A371" s="151" t="s">
        <v>7356</v>
      </c>
      <c r="B371" s="20" t="s">
        <v>7355</v>
      </c>
      <c r="C371" s="945" t="s">
        <v>5088</v>
      </c>
      <c r="D371" s="945" t="s">
        <v>3415</v>
      </c>
      <c r="E371" s="952" t="s">
        <v>7370</v>
      </c>
      <c r="F371" s="952" t="s">
        <v>3332</v>
      </c>
      <c r="G371" s="430" t="s">
        <v>3381</v>
      </c>
      <c r="H371" s="509">
        <v>24016</v>
      </c>
      <c r="I371" s="194">
        <v>0</v>
      </c>
      <c r="J371" s="194">
        <v>40000</v>
      </c>
      <c r="K371" s="185" t="s">
        <v>7372</v>
      </c>
      <c r="L371" s="183" t="s">
        <v>5743</v>
      </c>
      <c r="M371" s="184" t="s">
        <v>5771</v>
      </c>
      <c r="N371" s="184" t="s">
        <v>5771</v>
      </c>
      <c r="O371" s="233"/>
    </row>
    <row r="372" spans="1:15" s="182" customFormat="1" ht="21.95" customHeight="1" x14ac:dyDescent="0.15">
      <c r="A372" s="151" t="s">
        <v>7358</v>
      </c>
      <c r="B372" s="20" t="s">
        <v>7359</v>
      </c>
      <c r="C372" s="224" t="s">
        <v>3351</v>
      </c>
      <c r="D372" s="224" t="s">
        <v>3352</v>
      </c>
      <c r="E372" s="394" t="s">
        <v>4068</v>
      </c>
      <c r="F372" s="224" t="s">
        <v>3340</v>
      </c>
      <c r="G372" s="239" t="s">
        <v>3566</v>
      </c>
      <c r="H372" s="509">
        <v>23128</v>
      </c>
      <c r="I372" s="194">
        <v>0</v>
      </c>
      <c r="J372" s="194">
        <v>40800</v>
      </c>
      <c r="K372" s="185">
        <v>0.2</v>
      </c>
      <c r="L372" s="183" t="s">
        <v>5743</v>
      </c>
      <c r="M372" s="184" t="s">
        <v>5255</v>
      </c>
      <c r="N372" s="184" t="s">
        <v>5255</v>
      </c>
      <c r="O372" s="233"/>
    </row>
    <row r="373" spans="1:15" s="182" customFormat="1" ht="21.95" customHeight="1" x14ac:dyDescent="0.15">
      <c r="A373" s="151" t="s">
        <v>7358</v>
      </c>
      <c r="B373" s="20" t="s">
        <v>7359</v>
      </c>
      <c r="C373" s="184" t="s">
        <v>4941</v>
      </c>
      <c r="D373" s="184" t="s">
        <v>4942</v>
      </c>
      <c r="E373" s="1093" t="s">
        <v>7373</v>
      </c>
      <c r="F373" s="184" t="s">
        <v>4944</v>
      </c>
      <c r="G373" s="235" t="s">
        <v>6504</v>
      </c>
      <c r="H373" s="509">
        <v>24145</v>
      </c>
      <c r="I373" s="194">
        <v>0</v>
      </c>
      <c r="J373" s="194">
        <v>124200</v>
      </c>
      <c r="K373" s="185">
        <v>0.9</v>
      </c>
      <c r="L373" s="183" t="s">
        <v>806</v>
      </c>
      <c r="M373" s="184" t="s">
        <v>5255</v>
      </c>
      <c r="N373" s="184" t="s">
        <v>5255</v>
      </c>
      <c r="O373" s="233"/>
    </row>
    <row r="374" spans="1:15" s="182" customFormat="1" ht="21.95" customHeight="1" x14ac:dyDescent="0.15">
      <c r="A374" s="151" t="s">
        <v>7358</v>
      </c>
      <c r="B374" s="20" t="s">
        <v>7347</v>
      </c>
      <c r="C374" s="184" t="s">
        <v>4941</v>
      </c>
      <c r="D374" s="184" t="s">
        <v>4942</v>
      </c>
      <c r="E374" s="1093" t="s">
        <v>6497</v>
      </c>
      <c r="F374" s="184" t="s">
        <v>5078</v>
      </c>
      <c r="G374" s="235" t="s">
        <v>6504</v>
      </c>
      <c r="H374" s="509" t="s">
        <v>7374</v>
      </c>
      <c r="I374" s="194">
        <v>0</v>
      </c>
      <c r="J374" s="194">
        <v>53350</v>
      </c>
      <c r="K374" s="185">
        <v>0.97</v>
      </c>
      <c r="L374" s="183" t="s">
        <v>5768</v>
      </c>
      <c r="M374" s="184" t="s">
        <v>5255</v>
      </c>
      <c r="N374" s="184" t="s">
        <v>5255</v>
      </c>
      <c r="O374" s="233"/>
    </row>
    <row r="375" spans="1:15" s="182" customFormat="1" ht="21.95" customHeight="1" x14ac:dyDescent="0.15">
      <c r="A375" s="151" t="s">
        <v>7358</v>
      </c>
      <c r="B375" s="20" t="s">
        <v>7347</v>
      </c>
      <c r="C375" s="184" t="s">
        <v>4941</v>
      </c>
      <c r="D375" s="184" t="s">
        <v>4942</v>
      </c>
      <c r="E375" s="1093" t="s">
        <v>7380</v>
      </c>
      <c r="F375" s="184" t="s">
        <v>5078</v>
      </c>
      <c r="G375" s="235" t="s">
        <v>6504</v>
      </c>
      <c r="H375" s="509" t="s">
        <v>7375</v>
      </c>
      <c r="I375" s="194">
        <v>0</v>
      </c>
      <c r="J375" s="194">
        <v>53350</v>
      </c>
      <c r="K375" s="185">
        <v>0.97</v>
      </c>
      <c r="L375" s="183" t="s">
        <v>5768</v>
      </c>
      <c r="M375" s="184" t="s">
        <v>5255</v>
      </c>
      <c r="N375" s="184" t="s">
        <v>5255</v>
      </c>
      <c r="O375" s="233"/>
    </row>
    <row r="376" spans="1:15" s="182" customFormat="1" ht="21.95" customHeight="1" x14ac:dyDescent="0.15">
      <c r="A376" s="151" t="s">
        <v>7358</v>
      </c>
      <c r="B376" s="20" t="s">
        <v>7347</v>
      </c>
      <c r="C376" s="184" t="s">
        <v>4941</v>
      </c>
      <c r="D376" s="184" t="s">
        <v>4942</v>
      </c>
      <c r="E376" s="1093" t="s">
        <v>7381</v>
      </c>
      <c r="F376" s="184" t="s">
        <v>5078</v>
      </c>
      <c r="G376" s="235" t="s">
        <v>6504</v>
      </c>
      <c r="H376" s="509" t="s">
        <v>7376</v>
      </c>
      <c r="I376" s="194">
        <v>0</v>
      </c>
      <c r="J376" s="194">
        <v>53350</v>
      </c>
      <c r="K376" s="185">
        <v>0.97</v>
      </c>
      <c r="L376" s="183" t="s">
        <v>5768</v>
      </c>
      <c r="M376" s="184" t="s">
        <v>5255</v>
      </c>
      <c r="N376" s="184" t="s">
        <v>5255</v>
      </c>
      <c r="O376" s="233"/>
    </row>
    <row r="377" spans="1:15" s="182" customFormat="1" ht="21.95" customHeight="1" x14ac:dyDescent="0.15">
      <c r="A377" s="151" t="s">
        <v>7358</v>
      </c>
      <c r="B377" s="20" t="s">
        <v>7347</v>
      </c>
      <c r="C377" s="184" t="s">
        <v>4941</v>
      </c>
      <c r="D377" s="184" t="s">
        <v>4942</v>
      </c>
      <c r="E377" s="1093" t="s">
        <v>7382</v>
      </c>
      <c r="F377" s="184" t="s">
        <v>5078</v>
      </c>
      <c r="G377" s="235" t="s">
        <v>6504</v>
      </c>
      <c r="H377" s="509" t="s">
        <v>7377</v>
      </c>
      <c r="I377" s="194">
        <v>0</v>
      </c>
      <c r="J377" s="194">
        <v>53350</v>
      </c>
      <c r="K377" s="185">
        <v>0.97</v>
      </c>
      <c r="L377" s="183" t="s">
        <v>5768</v>
      </c>
      <c r="M377" s="184" t="s">
        <v>5255</v>
      </c>
      <c r="N377" s="184" t="s">
        <v>5255</v>
      </c>
      <c r="O377" s="233"/>
    </row>
    <row r="378" spans="1:15" s="182" customFormat="1" ht="21.95" customHeight="1" x14ac:dyDescent="0.15">
      <c r="A378" s="151" t="s">
        <v>7358</v>
      </c>
      <c r="B378" s="20" t="s">
        <v>7347</v>
      </c>
      <c r="C378" s="184" t="s">
        <v>4941</v>
      </c>
      <c r="D378" s="184" t="s">
        <v>4942</v>
      </c>
      <c r="E378" s="184" t="s">
        <v>6426</v>
      </c>
      <c r="F378" s="184" t="s">
        <v>5078</v>
      </c>
      <c r="G378" s="235" t="s">
        <v>6504</v>
      </c>
      <c r="H378" s="509" t="s">
        <v>7378</v>
      </c>
      <c r="I378" s="194">
        <v>0</v>
      </c>
      <c r="J378" s="194">
        <v>53350</v>
      </c>
      <c r="K378" s="185">
        <v>0.97</v>
      </c>
      <c r="L378" s="183" t="s">
        <v>5768</v>
      </c>
      <c r="M378" s="184" t="s">
        <v>5255</v>
      </c>
      <c r="N378" s="184" t="s">
        <v>5255</v>
      </c>
      <c r="O378" s="233"/>
    </row>
    <row r="379" spans="1:15" s="182" customFormat="1" ht="21.95" customHeight="1" x14ac:dyDescent="0.15">
      <c r="A379" s="151" t="s">
        <v>7358</v>
      </c>
      <c r="B379" s="20" t="s">
        <v>7347</v>
      </c>
      <c r="C379" s="184" t="s">
        <v>4941</v>
      </c>
      <c r="D379" s="184" t="s">
        <v>4942</v>
      </c>
      <c r="E379" s="1093" t="s">
        <v>7383</v>
      </c>
      <c r="F379" s="184" t="s">
        <v>5078</v>
      </c>
      <c r="G379" s="235" t="s">
        <v>6504</v>
      </c>
      <c r="H379" s="509" t="s">
        <v>7379</v>
      </c>
      <c r="I379" s="194">
        <v>0</v>
      </c>
      <c r="J379" s="194">
        <v>53350</v>
      </c>
      <c r="K379" s="185">
        <v>0.97</v>
      </c>
      <c r="L379" s="183" t="s">
        <v>5768</v>
      </c>
      <c r="M379" s="184" t="s">
        <v>5255</v>
      </c>
      <c r="N379" s="184" t="s">
        <v>5255</v>
      </c>
      <c r="O379" s="233"/>
    </row>
    <row r="380" spans="1:15" s="182" customFormat="1" ht="21.95" customHeight="1" x14ac:dyDescent="0.15">
      <c r="A380" s="151" t="s">
        <v>7358</v>
      </c>
      <c r="B380" s="20" t="s">
        <v>4956</v>
      </c>
      <c r="C380" s="1093" t="s">
        <v>5213</v>
      </c>
      <c r="D380" s="1093" t="s">
        <v>5214</v>
      </c>
      <c r="E380" s="1093" t="s">
        <v>5215</v>
      </c>
      <c r="F380" s="184" t="s">
        <v>3340</v>
      </c>
      <c r="G380" s="235" t="s">
        <v>5030</v>
      </c>
      <c r="H380" s="509">
        <v>24078</v>
      </c>
      <c r="I380" s="194">
        <v>0</v>
      </c>
      <c r="J380" s="194">
        <v>37500</v>
      </c>
      <c r="K380" s="185">
        <v>0.5</v>
      </c>
      <c r="L380" s="183" t="s">
        <v>5743</v>
      </c>
      <c r="M380" s="184" t="s">
        <v>5255</v>
      </c>
      <c r="N380" s="184" t="s">
        <v>5255</v>
      </c>
      <c r="O380" s="233"/>
    </row>
    <row r="381" spans="1:15" s="182" customFormat="1" ht="21.95" customHeight="1" x14ac:dyDescent="0.15">
      <c r="A381" s="151" t="s">
        <v>7360</v>
      </c>
      <c r="B381" s="20" t="s">
        <v>7361</v>
      </c>
      <c r="C381" s="1093" t="s">
        <v>3346</v>
      </c>
      <c r="D381" s="1093" t="s">
        <v>3347</v>
      </c>
      <c r="E381" s="1093" t="s">
        <v>3348</v>
      </c>
      <c r="F381" s="184" t="s">
        <v>3400</v>
      </c>
      <c r="G381" s="235" t="s">
        <v>5086</v>
      </c>
      <c r="H381" s="509" t="s">
        <v>6893</v>
      </c>
      <c r="I381" s="194">
        <v>0</v>
      </c>
      <c r="J381" s="194">
        <v>7500</v>
      </c>
      <c r="K381" s="185">
        <v>0.1</v>
      </c>
      <c r="L381" s="183" t="s">
        <v>5744</v>
      </c>
      <c r="M381" s="184" t="s">
        <v>6038</v>
      </c>
      <c r="N381" s="184" t="s">
        <v>5835</v>
      </c>
      <c r="O381" s="233"/>
    </row>
    <row r="382" spans="1:15" s="182" customFormat="1" ht="21.95" customHeight="1" x14ac:dyDescent="0.15">
      <c r="A382" s="151" t="s">
        <v>7360</v>
      </c>
      <c r="B382" s="20" t="s">
        <v>7361</v>
      </c>
      <c r="C382" s="1093" t="s">
        <v>3346</v>
      </c>
      <c r="D382" s="1093" t="s">
        <v>3347</v>
      </c>
      <c r="E382" s="1093" t="s">
        <v>3350</v>
      </c>
      <c r="F382" s="184" t="s">
        <v>3400</v>
      </c>
      <c r="G382" s="235" t="s">
        <v>5086</v>
      </c>
      <c r="H382" s="509" t="s">
        <v>6894</v>
      </c>
      <c r="I382" s="194">
        <v>0</v>
      </c>
      <c r="J382" s="194">
        <v>7500</v>
      </c>
      <c r="K382" s="185">
        <v>0.1</v>
      </c>
      <c r="L382" s="183" t="s">
        <v>5744</v>
      </c>
      <c r="M382" s="184" t="s">
        <v>6038</v>
      </c>
      <c r="N382" s="184" t="s">
        <v>5835</v>
      </c>
      <c r="O382" s="233"/>
    </row>
    <row r="383" spans="1:15" s="182" customFormat="1" ht="21.95" customHeight="1" x14ac:dyDescent="0.15">
      <c r="A383" s="151" t="s">
        <v>7360</v>
      </c>
      <c r="B383" s="20" t="s">
        <v>7362</v>
      </c>
      <c r="C383" s="184" t="s">
        <v>4941</v>
      </c>
      <c r="D383" s="184" t="s">
        <v>5541</v>
      </c>
      <c r="E383" s="184" t="s">
        <v>6070</v>
      </c>
      <c r="F383" s="184" t="s">
        <v>5078</v>
      </c>
      <c r="G383" s="239" t="s">
        <v>3349</v>
      </c>
      <c r="H383" s="509">
        <v>23089</v>
      </c>
      <c r="I383" s="194">
        <v>0</v>
      </c>
      <c r="J383" s="194">
        <v>16000</v>
      </c>
      <c r="K383" s="185">
        <v>0.2</v>
      </c>
      <c r="L383" s="183" t="s">
        <v>5743</v>
      </c>
      <c r="M383" s="184" t="s">
        <v>5255</v>
      </c>
      <c r="N383" s="184" t="s">
        <v>5255</v>
      </c>
      <c r="O383" s="233"/>
    </row>
    <row r="384" spans="1:15" s="182" customFormat="1" ht="21.95" customHeight="1" x14ac:dyDescent="0.15">
      <c r="A384" s="151" t="s">
        <v>7360</v>
      </c>
      <c r="B384" s="20" t="s">
        <v>5753</v>
      </c>
      <c r="C384" s="399" t="s">
        <v>5942</v>
      </c>
      <c r="D384" s="399" t="s">
        <v>5153</v>
      </c>
      <c r="E384" s="399" t="s">
        <v>5943</v>
      </c>
      <c r="F384" s="419" t="s">
        <v>3328</v>
      </c>
      <c r="G384" s="235" t="s">
        <v>5030</v>
      </c>
      <c r="H384" s="509" t="s">
        <v>7385</v>
      </c>
      <c r="I384" s="194">
        <v>0</v>
      </c>
      <c r="J384" s="194">
        <v>40000</v>
      </c>
      <c r="K384" s="185">
        <v>0.5</v>
      </c>
      <c r="L384" s="183" t="s">
        <v>5743</v>
      </c>
      <c r="M384" s="184" t="s">
        <v>5255</v>
      </c>
      <c r="N384" s="184" t="s">
        <v>5255</v>
      </c>
      <c r="O384" s="233"/>
    </row>
    <row r="385" spans="1:15" s="182" customFormat="1" ht="21.95" customHeight="1" x14ac:dyDescent="0.15">
      <c r="A385" s="151" t="s">
        <v>7360</v>
      </c>
      <c r="B385" s="20" t="s">
        <v>5753</v>
      </c>
      <c r="C385" s="399" t="s">
        <v>5942</v>
      </c>
      <c r="D385" s="399" t="s">
        <v>5153</v>
      </c>
      <c r="E385" s="399" t="s">
        <v>5944</v>
      </c>
      <c r="F385" s="419" t="s">
        <v>3328</v>
      </c>
      <c r="G385" s="235" t="s">
        <v>5030</v>
      </c>
      <c r="H385" s="509" t="s">
        <v>7386</v>
      </c>
      <c r="I385" s="194">
        <v>0</v>
      </c>
      <c r="J385" s="194">
        <v>40000</v>
      </c>
      <c r="K385" s="185">
        <v>0.5</v>
      </c>
      <c r="L385" s="183" t="s">
        <v>5743</v>
      </c>
      <c r="M385" s="184" t="s">
        <v>5255</v>
      </c>
      <c r="N385" s="184" t="s">
        <v>5255</v>
      </c>
      <c r="O385" s="233"/>
    </row>
    <row r="386" spans="1:15" s="182" customFormat="1" ht="21.95" customHeight="1" x14ac:dyDescent="0.15">
      <c r="A386" s="151" t="s">
        <v>7360</v>
      </c>
      <c r="B386" s="20" t="s">
        <v>5488</v>
      </c>
      <c r="C386" s="184" t="s">
        <v>3371</v>
      </c>
      <c r="D386" s="184" t="s">
        <v>4089</v>
      </c>
      <c r="E386" s="184" t="s">
        <v>7384</v>
      </c>
      <c r="F386" s="184" t="s">
        <v>3332</v>
      </c>
      <c r="G386" s="235" t="s">
        <v>5731</v>
      </c>
      <c r="H386" s="509">
        <v>25128</v>
      </c>
      <c r="I386" s="194">
        <v>0</v>
      </c>
      <c r="J386" s="194">
        <v>9850</v>
      </c>
      <c r="K386" s="185">
        <v>1</v>
      </c>
      <c r="L386" s="183" t="s">
        <v>806</v>
      </c>
      <c r="M386" s="184" t="s">
        <v>693</v>
      </c>
      <c r="N386" s="184" t="s">
        <v>693</v>
      </c>
      <c r="O386" s="233"/>
    </row>
    <row r="387" spans="1:15" s="182" customFormat="1" ht="21.95" customHeight="1" x14ac:dyDescent="0.15">
      <c r="A387" s="151" t="s">
        <v>7387</v>
      </c>
      <c r="B387" s="20" t="s">
        <v>5345</v>
      </c>
      <c r="C387" s="1094" t="s">
        <v>4963</v>
      </c>
      <c r="D387" s="1094" t="s">
        <v>5028</v>
      </c>
      <c r="E387" s="1094" t="s">
        <v>5358</v>
      </c>
      <c r="F387" s="184" t="s">
        <v>5078</v>
      </c>
      <c r="G387" s="235" t="s">
        <v>7316</v>
      </c>
      <c r="H387" s="509">
        <v>25153</v>
      </c>
      <c r="I387" s="194">
        <v>0</v>
      </c>
      <c r="J387" s="194">
        <v>15000</v>
      </c>
      <c r="K387" s="185">
        <v>1</v>
      </c>
      <c r="L387" s="183" t="s">
        <v>806</v>
      </c>
      <c r="M387" s="184" t="s">
        <v>3957</v>
      </c>
      <c r="N387" s="184" t="s">
        <v>3957</v>
      </c>
      <c r="O387" s="233"/>
    </row>
    <row r="388" spans="1:15" s="182" customFormat="1" ht="21.95" customHeight="1" x14ac:dyDescent="0.15">
      <c r="A388" s="151" t="s">
        <v>7387</v>
      </c>
      <c r="B388" s="20" t="s">
        <v>7313</v>
      </c>
      <c r="C388" s="184" t="s">
        <v>4941</v>
      </c>
      <c r="D388" s="184" t="s">
        <v>4942</v>
      </c>
      <c r="E388" s="403" t="s">
        <v>6497</v>
      </c>
      <c r="F388" s="184" t="s">
        <v>5078</v>
      </c>
      <c r="G388" s="235" t="s">
        <v>6498</v>
      </c>
      <c r="H388" s="509">
        <v>22044</v>
      </c>
      <c r="I388" s="194">
        <v>0</v>
      </c>
      <c r="J388" s="194">
        <v>99900</v>
      </c>
      <c r="K388" s="185">
        <v>0.3</v>
      </c>
      <c r="L388" s="183" t="s">
        <v>4711</v>
      </c>
      <c r="M388" s="184" t="s">
        <v>3726</v>
      </c>
      <c r="N388" s="184" t="s">
        <v>3726</v>
      </c>
      <c r="O388" s="233"/>
    </row>
    <row r="389" spans="1:15" s="182" customFormat="1" ht="21.95" customHeight="1" x14ac:dyDescent="0.15">
      <c r="A389" s="151" t="s">
        <v>7387</v>
      </c>
      <c r="B389" s="20" t="s">
        <v>7313</v>
      </c>
      <c r="C389" s="184" t="s">
        <v>4941</v>
      </c>
      <c r="D389" s="184" t="s">
        <v>4942</v>
      </c>
      <c r="E389" s="184" t="s">
        <v>7075</v>
      </c>
      <c r="F389" s="184" t="s">
        <v>4944</v>
      </c>
      <c r="G389" s="235" t="s">
        <v>4985</v>
      </c>
      <c r="H389" s="509">
        <v>24043</v>
      </c>
      <c r="I389" s="194">
        <v>0</v>
      </c>
      <c r="J389" s="194">
        <v>115800</v>
      </c>
      <c r="K389" s="185">
        <v>0.3</v>
      </c>
      <c r="L389" s="183" t="s">
        <v>4711</v>
      </c>
      <c r="M389" s="184" t="s">
        <v>3726</v>
      </c>
      <c r="N389" s="184" t="s">
        <v>3726</v>
      </c>
      <c r="O389" s="233"/>
    </row>
    <row r="390" spans="1:15" s="182" customFormat="1" ht="21.95" customHeight="1" x14ac:dyDescent="0.15">
      <c r="A390" s="151" t="s">
        <v>7387</v>
      </c>
      <c r="B390" s="20" t="s">
        <v>7313</v>
      </c>
      <c r="C390" s="945" t="s">
        <v>3330</v>
      </c>
      <c r="D390" s="945" t="s">
        <v>3837</v>
      </c>
      <c r="E390" s="952" t="s">
        <v>7321</v>
      </c>
      <c r="F390" s="184" t="s">
        <v>5078</v>
      </c>
      <c r="G390" s="235" t="s">
        <v>7322</v>
      </c>
      <c r="H390" s="509">
        <v>24116</v>
      </c>
      <c r="I390" s="194">
        <v>0</v>
      </c>
      <c r="J390" s="194">
        <v>224640</v>
      </c>
      <c r="K390" s="185">
        <v>0.3</v>
      </c>
      <c r="L390" s="183" t="s">
        <v>4711</v>
      </c>
      <c r="M390" s="184" t="s">
        <v>3726</v>
      </c>
      <c r="N390" s="184" t="s">
        <v>3726</v>
      </c>
      <c r="O390" s="233"/>
    </row>
    <row r="391" spans="1:15" s="182" customFormat="1" ht="21.95" customHeight="1" x14ac:dyDescent="0.15">
      <c r="A391" s="151" t="s">
        <v>7387</v>
      </c>
      <c r="B391" s="20" t="s">
        <v>7313</v>
      </c>
      <c r="C391" s="184" t="s">
        <v>4941</v>
      </c>
      <c r="D391" s="184" t="s">
        <v>4942</v>
      </c>
      <c r="E391" s="184" t="s">
        <v>7331</v>
      </c>
      <c r="F391" s="184" t="s">
        <v>4944</v>
      </c>
      <c r="G391" s="235" t="s">
        <v>7332</v>
      </c>
      <c r="H391" s="509" t="s">
        <v>7323</v>
      </c>
      <c r="I391" s="194">
        <v>0</v>
      </c>
      <c r="J391" s="194">
        <v>149023.51999999999</v>
      </c>
      <c r="K391" s="185" t="s">
        <v>7404</v>
      </c>
      <c r="L391" s="183" t="s">
        <v>4849</v>
      </c>
      <c r="M391" s="184" t="s">
        <v>3726</v>
      </c>
      <c r="N391" s="184" t="s">
        <v>3726</v>
      </c>
      <c r="O391" s="233"/>
    </row>
    <row r="392" spans="1:15" s="182" customFormat="1" ht="21.95" customHeight="1" x14ac:dyDescent="0.15">
      <c r="A392" s="151" t="s">
        <v>7387</v>
      </c>
      <c r="B392" s="20" t="s">
        <v>7313</v>
      </c>
      <c r="C392" s="184" t="s">
        <v>4941</v>
      </c>
      <c r="D392" s="184" t="s">
        <v>4942</v>
      </c>
      <c r="E392" s="184" t="s">
        <v>7333</v>
      </c>
      <c r="F392" s="184" t="s">
        <v>5078</v>
      </c>
      <c r="G392" s="235" t="s">
        <v>7334</v>
      </c>
      <c r="H392" s="509" t="s">
        <v>7324</v>
      </c>
      <c r="I392" s="194">
        <v>0</v>
      </c>
      <c r="J392" s="194">
        <v>543915.19999999995</v>
      </c>
      <c r="K392" s="185" t="s">
        <v>7404</v>
      </c>
      <c r="L392" s="183" t="s">
        <v>4849</v>
      </c>
      <c r="M392" s="184" t="s">
        <v>3726</v>
      </c>
      <c r="N392" s="184" t="s">
        <v>3726</v>
      </c>
      <c r="O392" s="233"/>
    </row>
    <row r="393" spans="1:15" s="182" customFormat="1" ht="21.95" customHeight="1" x14ac:dyDescent="0.15">
      <c r="A393" s="151" t="s">
        <v>7387</v>
      </c>
      <c r="B393" s="20" t="s">
        <v>7313</v>
      </c>
      <c r="C393" s="184" t="s">
        <v>4941</v>
      </c>
      <c r="D393" s="184" t="s">
        <v>4942</v>
      </c>
      <c r="E393" s="184" t="s">
        <v>7335</v>
      </c>
      <c r="F393" s="184" t="s">
        <v>4944</v>
      </c>
      <c r="G393" s="235" t="s">
        <v>7332</v>
      </c>
      <c r="H393" s="509" t="s">
        <v>7325</v>
      </c>
      <c r="I393" s="194">
        <v>0</v>
      </c>
      <c r="J393" s="194">
        <v>168878.4</v>
      </c>
      <c r="K393" s="185" t="s">
        <v>7404</v>
      </c>
      <c r="L393" s="183" t="s">
        <v>4849</v>
      </c>
      <c r="M393" s="184" t="s">
        <v>3726</v>
      </c>
      <c r="N393" s="184" t="s">
        <v>3726</v>
      </c>
      <c r="O393" s="233"/>
    </row>
    <row r="394" spans="1:15" s="182" customFormat="1" ht="21.95" customHeight="1" x14ac:dyDescent="0.15">
      <c r="A394" s="151" t="s">
        <v>7387</v>
      </c>
      <c r="B394" s="20" t="s">
        <v>7313</v>
      </c>
      <c r="C394" s="184" t="s">
        <v>4941</v>
      </c>
      <c r="D394" s="184" t="s">
        <v>4942</v>
      </c>
      <c r="E394" s="184" t="s">
        <v>7336</v>
      </c>
      <c r="F394" s="184" t="s">
        <v>5078</v>
      </c>
      <c r="G394" s="235" t="s">
        <v>7337</v>
      </c>
      <c r="H394" s="509" t="s">
        <v>7326</v>
      </c>
      <c r="I394" s="194">
        <v>0</v>
      </c>
      <c r="J394" s="194">
        <v>374850.4</v>
      </c>
      <c r="K394" s="185" t="s">
        <v>7404</v>
      </c>
      <c r="L394" s="183" t="s">
        <v>4849</v>
      </c>
      <c r="M394" s="184" t="s">
        <v>3726</v>
      </c>
      <c r="N394" s="184" t="s">
        <v>3726</v>
      </c>
      <c r="O394" s="233"/>
    </row>
    <row r="395" spans="1:15" s="182" customFormat="1" ht="21.95" customHeight="1" x14ac:dyDescent="0.15">
      <c r="A395" s="151" t="s">
        <v>7387</v>
      </c>
      <c r="B395" s="20" t="s">
        <v>7313</v>
      </c>
      <c r="C395" s="184" t="s">
        <v>4941</v>
      </c>
      <c r="D395" s="184" t="s">
        <v>4942</v>
      </c>
      <c r="E395" s="184" t="s">
        <v>7338</v>
      </c>
      <c r="F395" s="184" t="s">
        <v>5078</v>
      </c>
      <c r="G395" s="235" t="s">
        <v>7334</v>
      </c>
      <c r="H395" s="509" t="s">
        <v>7327</v>
      </c>
      <c r="I395" s="194">
        <v>0</v>
      </c>
      <c r="J395" s="194">
        <v>668982.14399999997</v>
      </c>
      <c r="K395" s="185" t="s">
        <v>7404</v>
      </c>
      <c r="L395" s="183" t="s">
        <v>4849</v>
      </c>
      <c r="M395" s="184" t="s">
        <v>3726</v>
      </c>
      <c r="N395" s="184" t="s">
        <v>3726</v>
      </c>
      <c r="O395" s="233"/>
    </row>
    <row r="396" spans="1:15" s="182" customFormat="1" ht="21.95" customHeight="1" x14ac:dyDescent="0.15">
      <c r="A396" s="151" t="s">
        <v>7387</v>
      </c>
      <c r="B396" s="20" t="s">
        <v>7313</v>
      </c>
      <c r="C396" s="184" t="s">
        <v>4941</v>
      </c>
      <c r="D396" s="184" t="s">
        <v>4942</v>
      </c>
      <c r="E396" s="184" t="s">
        <v>7339</v>
      </c>
      <c r="F396" s="184" t="s">
        <v>4944</v>
      </c>
      <c r="G396" s="235" t="s">
        <v>3345</v>
      </c>
      <c r="H396" s="509" t="s">
        <v>7328</v>
      </c>
      <c r="I396" s="194">
        <v>0</v>
      </c>
      <c r="J396" s="194">
        <v>148583.16800000001</v>
      </c>
      <c r="K396" s="185" t="s">
        <v>7404</v>
      </c>
      <c r="L396" s="183" t="s">
        <v>4849</v>
      </c>
      <c r="M396" s="184" t="s">
        <v>3726</v>
      </c>
      <c r="N396" s="184" t="s">
        <v>3726</v>
      </c>
      <c r="O396" s="233"/>
    </row>
    <row r="397" spans="1:15" s="182" customFormat="1" ht="21.95" customHeight="1" x14ac:dyDescent="0.15">
      <c r="A397" s="151" t="s">
        <v>7387</v>
      </c>
      <c r="B397" s="20" t="s">
        <v>7313</v>
      </c>
      <c r="C397" s="184" t="s">
        <v>4941</v>
      </c>
      <c r="D397" s="184" t="s">
        <v>4942</v>
      </c>
      <c r="E397" s="184" t="s">
        <v>7340</v>
      </c>
      <c r="F397" s="184" t="s">
        <v>4944</v>
      </c>
      <c r="G397" s="235" t="s">
        <v>3345</v>
      </c>
      <c r="H397" s="509" t="s">
        <v>7329</v>
      </c>
      <c r="I397" s="194">
        <v>0</v>
      </c>
      <c r="J397" s="194">
        <v>148583.16800000001</v>
      </c>
      <c r="K397" s="185" t="s">
        <v>7404</v>
      </c>
      <c r="L397" s="183" t="s">
        <v>4849</v>
      </c>
      <c r="M397" s="184" t="s">
        <v>3726</v>
      </c>
      <c r="N397" s="184" t="s">
        <v>3726</v>
      </c>
      <c r="O397" s="233"/>
    </row>
    <row r="398" spans="1:15" s="182" customFormat="1" ht="21.95" customHeight="1" x14ac:dyDescent="0.15">
      <c r="A398" s="151" t="s">
        <v>7387</v>
      </c>
      <c r="B398" s="20" t="s">
        <v>7313</v>
      </c>
      <c r="C398" s="184" t="s">
        <v>4941</v>
      </c>
      <c r="D398" s="184" t="s">
        <v>4942</v>
      </c>
      <c r="E398" s="184" t="s">
        <v>7341</v>
      </c>
      <c r="F398" s="184" t="s">
        <v>4944</v>
      </c>
      <c r="G398" s="235" t="s">
        <v>7332</v>
      </c>
      <c r="H398" s="509" t="s">
        <v>7330</v>
      </c>
      <c r="I398" s="194">
        <v>0</v>
      </c>
      <c r="J398" s="194">
        <v>160304</v>
      </c>
      <c r="K398" s="185" t="s">
        <v>7404</v>
      </c>
      <c r="L398" s="183" t="s">
        <v>4849</v>
      </c>
      <c r="M398" s="184" t="s">
        <v>3726</v>
      </c>
      <c r="N398" s="184" t="s">
        <v>3726</v>
      </c>
      <c r="O398" s="233"/>
    </row>
    <row r="399" spans="1:15" s="182" customFormat="1" ht="21.95" customHeight="1" x14ac:dyDescent="0.15">
      <c r="A399" s="151" t="s">
        <v>7387</v>
      </c>
      <c r="B399" s="20" t="s">
        <v>7388</v>
      </c>
      <c r="C399" s="1094" t="s">
        <v>3363</v>
      </c>
      <c r="D399" s="1094" t="s">
        <v>7221</v>
      </c>
      <c r="E399" s="1094" t="s">
        <v>7222</v>
      </c>
      <c r="F399" s="184" t="s">
        <v>5078</v>
      </c>
      <c r="G399" s="235" t="s">
        <v>5090</v>
      </c>
      <c r="H399" s="509" t="s">
        <v>7205</v>
      </c>
      <c r="I399" s="194">
        <v>110000</v>
      </c>
      <c r="J399" s="194">
        <v>0</v>
      </c>
      <c r="K399" s="185">
        <v>0.25</v>
      </c>
      <c r="L399" s="183" t="s">
        <v>6622</v>
      </c>
      <c r="M399" s="184" t="s">
        <v>5765</v>
      </c>
      <c r="N399" s="184" t="s">
        <v>5765</v>
      </c>
      <c r="O399" s="233"/>
    </row>
    <row r="400" spans="1:15" s="182" customFormat="1" ht="21.75" customHeight="1" x14ac:dyDescent="0.15">
      <c r="A400" s="151" t="s">
        <v>7387</v>
      </c>
      <c r="B400" s="20" t="s">
        <v>7388</v>
      </c>
      <c r="C400" s="1094" t="s">
        <v>3363</v>
      </c>
      <c r="D400" s="1094" t="s">
        <v>7221</v>
      </c>
      <c r="E400" s="1094" t="s">
        <v>7223</v>
      </c>
      <c r="F400" s="184" t="s">
        <v>5078</v>
      </c>
      <c r="G400" s="235" t="s">
        <v>5090</v>
      </c>
      <c r="H400" s="509" t="s">
        <v>7206</v>
      </c>
      <c r="I400" s="194">
        <v>110000</v>
      </c>
      <c r="J400" s="194">
        <v>0</v>
      </c>
      <c r="K400" s="185">
        <v>0.25</v>
      </c>
      <c r="L400" s="183" t="s">
        <v>6622</v>
      </c>
      <c r="M400" s="184" t="s">
        <v>5765</v>
      </c>
      <c r="N400" s="184" t="s">
        <v>5765</v>
      </c>
      <c r="O400" s="233"/>
    </row>
    <row r="401" spans="1:15" s="182" customFormat="1" ht="21.95" customHeight="1" x14ac:dyDescent="0.15">
      <c r="A401" s="151" t="s">
        <v>7389</v>
      </c>
      <c r="B401" s="20" t="s">
        <v>7390</v>
      </c>
      <c r="C401" s="184" t="s">
        <v>4963</v>
      </c>
      <c r="D401" s="184" t="s">
        <v>5153</v>
      </c>
      <c r="E401" s="184" t="s">
        <v>6525</v>
      </c>
      <c r="F401" s="184" t="s">
        <v>5078</v>
      </c>
      <c r="G401" s="235" t="s">
        <v>7393</v>
      </c>
      <c r="H401" s="509">
        <v>25111</v>
      </c>
      <c r="I401" s="194">
        <v>0</v>
      </c>
      <c r="J401" s="194">
        <v>37500</v>
      </c>
      <c r="K401" s="185">
        <v>0.1</v>
      </c>
      <c r="L401" s="183" t="s">
        <v>6144</v>
      </c>
      <c r="M401" s="184" t="s">
        <v>5765</v>
      </c>
      <c r="N401" s="184" t="s">
        <v>5765</v>
      </c>
      <c r="O401" s="233"/>
    </row>
    <row r="402" spans="1:15" s="182" customFormat="1" ht="21.95" customHeight="1" x14ac:dyDescent="0.15">
      <c r="A402" s="151" t="s">
        <v>7389</v>
      </c>
      <c r="B402" s="20" t="s">
        <v>7390</v>
      </c>
      <c r="C402" s="184" t="s">
        <v>4963</v>
      </c>
      <c r="D402" s="184" t="s">
        <v>5153</v>
      </c>
      <c r="E402" s="184" t="s">
        <v>6815</v>
      </c>
      <c r="F402" s="184" t="s">
        <v>5078</v>
      </c>
      <c r="G402" s="235" t="s">
        <v>7393</v>
      </c>
      <c r="H402" s="509">
        <v>25112</v>
      </c>
      <c r="I402" s="194">
        <v>0</v>
      </c>
      <c r="J402" s="194">
        <v>18750</v>
      </c>
      <c r="K402" s="185">
        <v>0.1</v>
      </c>
      <c r="L402" s="183" t="s">
        <v>6144</v>
      </c>
      <c r="M402" s="184" t="s">
        <v>5765</v>
      </c>
      <c r="N402" s="184" t="s">
        <v>5765</v>
      </c>
      <c r="O402" s="233"/>
    </row>
    <row r="403" spans="1:15" s="182" customFormat="1" ht="21.95" customHeight="1" x14ac:dyDescent="0.15">
      <c r="A403" s="151" t="s">
        <v>7389</v>
      </c>
      <c r="B403" s="20" t="s">
        <v>7390</v>
      </c>
      <c r="C403" s="184" t="s">
        <v>4963</v>
      </c>
      <c r="D403" s="184" t="s">
        <v>5153</v>
      </c>
      <c r="E403" s="184" t="s">
        <v>6976</v>
      </c>
      <c r="F403" s="184" t="s">
        <v>5078</v>
      </c>
      <c r="G403" s="235" t="s">
        <v>5333</v>
      </c>
      <c r="H403" s="509">
        <v>25113</v>
      </c>
      <c r="I403" s="194">
        <v>0</v>
      </c>
      <c r="J403" s="194">
        <v>37500</v>
      </c>
      <c r="K403" s="185">
        <v>0.1</v>
      </c>
      <c r="L403" s="183" t="s">
        <v>6144</v>
      </c>
      <c r="M403" s="184" t="s">
        <v>5765</v>
      </c>
      <c r="N403" s="184" t="s">
        <v>5765</v>
      </c>
      <c r="O403" s="233"/>
    </row>
    <row r="404" spans="1:15" s="182" customFormat="1" ht="21.95" customHeight="1" x14ac:dyDescent="0.15">
      <c r="A404" s="151" t="s">
        <v>7389</v>
      </c>
      <c r="B404" s="20" t="s">
        <v>7390</v>
      </c>
      <c r="C404" s="184" t="s">
        <v>4963</v>
      </c>
      <c r="D404" s="184" t="s">
        <v>5153</v>
      </c>
      <c r="E404" s="184" t="s">
        <v>5179</v>
      </c>
      <c r="F404" s="184" t="s">
        <v>5078</v>
      </c>
      <c r="G404" s="235" t="s">
        <v>7393</v>
      </c>
      <c r="H404" s="509">
        <v>25114</v>
      </c>
      <c r="I404" s="194">
        <v>0</v>
      </c>
      <c r="J404" s="194">
        <v>18750</v>
      </c>
      <c r="K404" s="185">
        <v>0.1</v>
      </c>
      <c r="L404" s="183" t="s">
        <v>6144</v>
      </c>
      <c r="M404" s="184" t="s">
        <v>5765</v>
      </c>
      <c r="N404" s="184" t="s">
        <v>5765</v>
      </c>
      <c r="O404" s="233"/>
    </row>
    <row r="405" spans="1:15" s="182" customFormat="1" ht="21.95" customHeight="1" x14ac:dyDescent="0.15">
      <c r="A405" s="151" t="s">
        <v>7389</v>
      </c>
      <c r="B405" s="20" t="s">
        <v>7390</v>
      </c>
      <c r="C405" s="184" t="s">
        <v>4963</v>
      </c>
      <c r="D405" s="184" t="s">
        <v>5153</v>
      </c>
      <c r="E405" s="184" t="s">
        <v>5420</v>
      </c>
      <c r="F405" s="184" t="s">
        <v>5078</v>
      </c>
      <c r="G405" s="235" t="s">
        <v>7393</v>
      </c>
      <c r="H405" s="509">
        <v>25115</v>
      </c>
      <c r="I405" s="194">
        <v>0</v>
      </c>
      <c r="J405" s="194">
        <v>37500</v>
      </c>
      <c r="K405" s="185">
        <v>0.1</v>
      </c>
      <c r="L405" s="183" t="s">
        <v>6144</v>
      </c>
      <c r="M405" s="184" t="s">
        <v>5765</v>
      </c>
      <c r="N405" s="184" t="s">
        <v>5765</v>
      </c>
      <c r="O405" s="233"/>
    </row>
    <row r="406" spans="1:15" s="182" customFormat="1" ht="21.95" customHeight="1" x14ac:dyDescent="0.15">
      <c r="A406" s="151" t="s">
        <v>7391</v>
      </c>
      <c r="B406" s="20" t="s">
        <v>7299</v>
      </c>
      <c r="C406" s="392" t="s">
        <v>3346</v>
      </c>
      <c r="D406" s="945" t="s">
        <v>3354</v>
      </c>
      <c r="E406" s="391" t="s">
        <v>7304</v>
      </c>
      <c r="F406" s="945" t="s">
        <v>3332</v>
      </c>
      <c r="G406" s="460" t="s">
        <v>5731</v>
      </c>
      <c r="H406" s="509">
        <v>16110</v>
      </c>
      <c r="I406" s="194">
        <v>0</v>
      </c>
      <c r="J406" s="194">
        <v>27800</v>
      </c>
      <c r="K406" s="185">
        <v>0.1</v>
      </c>
      <c r="L406" s="183" t="s">
        <v>5744</v>
      </c>
      <c r="M406" s="1095" t="s">
        <v>3725</v>
      </c>
      <c r="N406" s="958" t="s">
        <v>3726</v>
      </c>
      <c r="O406" s="233"/>
    </row>
    <row r="407" spans="1:15" s="182" customFormat="1" ht="21.95" customHeight="1" x14ac:dyDescent="0.15">
      <c r="A407" s="151" t="s">
        <v>7391</v>
      </c>
      <c r="B407" s="20" t="s">
        <v>637</v>
      </c>
      <c r="C407" s="399" t="s">
        <v>5567</v>
      </c>
      <c r="D407" s="399" t="s">
        <v>4942</v>
      </c>
      <c r="E407" s="399" t="s">
        <v>5728</v>
      </c>
      <c r="F407" s="184" t="s">
        <v>5078</v>
      </c>
      <c r="G407" s="235" t="s">
        <v>5249</v>
      </c>
      <c r="H407" s="509" t="s">
        <v>6246</v>
      </c>
      <c r="I407" s="194">
        <v>0</v>
      </c>
      <c r="J407" s="194">
        <v>8837.6</v>
      </c>
      <c r="K407" s="185">
        <v>0.1</v>
      </c>
      <c r="L407" s="183" t="s">
        <v>5744</v>
      </c>
      <c r="M407" s="184" t="s">
        <v>5765</v>
      </c>
      <c r="N407" s="184" t="s">
        <v>5765</v>
      </c>
      <c r="O407" s="233"/>
    </row>
    <row r="408" spans="1:15" s="182" customFormat="1" ht="21.95" customHeight="1" x14ac:dyDescent="0.15">
      <c r="A408" s="151" t="s">
        <v>7391</v>
      </c>
      <c r="B408" s="20" t="s">
        <v>637</v>
      </c>
      <c r="C408" s="399" t="s">
        <v>5567</v>
      </c>
      <c r="D408" s="399" t="s">
        <v>4942</v>
      </c>
      <c r="E408" s="399" t="s">
        <v>5728</v>
      </c>
      <c r="F408" s="184" t="s">
        <v>3400</v>
      </c>
      <c r="G408" s="235" t="s">
        <v>5249</v>
      </c>
      <c r="H408" s="509" t="s">
        <v>7394</v>
      </c>
      <c r="I408" s="194">
        <v>0</v>
      </c>
      <c r="J408" s="194">
        <v>3240</v>
      </c>
      <c r="K408" s="185">
        <v>0.1</v>
      </c>
      <c r="L408" s="183" t="s">
        <v>5744</v>
      </c>
      <c r="M408" s="184" t="s">
        <v>5765</v>
      </c>
      <c r="N408" s="184" t="s">
        <v>5765</v>
      </c>
      <c r="O408" s="233"/>
    </row>
    <row r="409" spans="1:15" s="182" customFormat="1" ht="21.95" customHeight="1" x14ac:dyDescent="0.15">
      <c r="A409" s="151" t="s">
        <v>7392</v>
      </c>
      <c r="B409" s="20" t="s">
        <v>992</v>
      </c>
      <c r="C409" s="184" t="s">
        <v>6216</v>
      </c>
      <c r="D409" s="184" t="s">
        <v>5422</v>
      </c>
      <c r="E409" s="184" t="s">
        <v>6217</v>
      </c>
      <c r="F409" s="292" t="s">
        <v>3328</v>
      </c>
      <c r="G409" s="235" t="s">
        <v>7395</v>
      </c>
      <c r="H409" s="509">
        <v>24114</v>
      </c>
      <c r="I409" s="194">
        <v>0</v>
      </c>
      <c r="J409" s="194">
        <v>112000</v>
      </c>
      <c r="K409" s="185">
        <v>1</v>
      </c>
      <c r="L409" s="183" t="s">
        <v>806</v>
      </c>
      <c r="M409" s="184" t="s">
        <v>6038</v>
      </c>
      <c r="N409" s="184" t="s">
        <v>6038</v>
      </c>
      <c r="O409" s="233"/>
    </row>
    <row r="410" spans="1:15" s="182" customFormat="1" ht="21.95" customHeight="1" x14ac:dyDescent="0.15">
      <c r="A410" s="151" t="s">
        <v>7396</v>
      </c>
      <c r="B410" s="20" t="s">
        <v>5170</v>
      </c>
      <c r="C410" s="224" t="s">
        <v>3351</v>
      </c>
      <c r="D410" s="224" t="s">
        <v>3352</v>
      </c>
      <c r="E410" s="45" t="s">
        <v>2796</v>
      </c>
      <c r="F410" s="207" t="s">
        <v>3328</v>
      </c>
      <c r="G410" s="239" t="s">
        <v>3566</v>
      </c>
      <c r="H410" s="509">
        <v>24106</v>
      </c>
      <c r="I410" s="194">
        <v>0</v>
      </c>
      <c r="J410" s="194">
        <v>34500</v>
      </c>
      <c r="K410" s="185" t="s">
        <v>6898</v>
      </c>
      <c r="L410" s="183" t="s">
        <v>5743</v>
      </c>
      <c r="M410" s="184" t="s">
        <v>5255</v>
      </c>
      <c r="N410" s="184" t="s">
        <v>5255</v>
      </c>
      <c r="O410" s="233"/>
    </row>
    <row r="411" spans="1:15" s="182" customFormat="1" ht="21.95" customHeight="1" x14ac:dyDescent="0.15">
      <c r="A411" s="151" t="s">
        <v>7396</v>
      </c>
      <c r="B411" s="20" t="s">
        <v>5169</v>
      </c>
      <c r="C411" s="224" t="s">
        <v>3351</v>
      </c>
      <c r="D411" s="224" t="s">
        <v>3352</v>
      </c>
      <c r="E411" s="394" t="s">
        <v>2789</v>
      </c>
      <c r="F411" s="403" t="s">
        <v>3340</v>
      </c>
      <c r="G411" s="235" t="s">
        <v>6314</v>
      </c>
      <c r="H411" s="509" t="s">
        <v>7397</v>
      </c>
      <c r="I411" s="194">
        <v>0</v>
      </c>
      <c r="J411" s="194">
        <v>6475</v>
      </c>
      <c r="K411" s="185">
        <v>0.05</v>
      </c>
      <c r="L411" s="183" t="s">
        <v>5744</v>
      </c>
      <c r="M411" s="184" t="s">
        <v>5255</v>
      </c>
      <c r="N411" s="184" t="s">
        <v>5255</v>
      </c>
      <c r="O411" s="233"/>
    </row>
    <row r="412" spans="1:15" s="182" customFormat="1" ht="21.95" customHeight="1" x14ac:dyDescent="0.15">
      <c r="A412" s="151" t="s">
        <v>7396</v>
      </c>
      <c r="B412" s="20" t="s">
        <v>5169</v>
      </c>
      <c r="C412" s="224" t="s">
        <v>3351</v>
      </c>
      <c r="D412" s="224" t="s">
        <v>3352</v>
      </c>
      <c r="E412" s="394" t="s">
        <v>2788</v>
      </c>
      <c r="F412" s="403" t="s">
        <v>3340</v>
      </c>
      <c r="G412" s="235" t="s">
        <v>6314</v>
      </c>
      <c r="H412" s="509" t="s">
        <v>7398</v>
      </c>
      <c r="I412" s="194">
        <v>0</v>
      </c>
      <c r="J412" s="194">
        <v>6475</v>
      </c>
      <c r="K412" s="185">
        <v>0.05</v>
      </c>
      <c r="L412" s="183" t="s">
        <v>5744</v>
      </c>
      <c r="M412" s="184" t="s">
        <v>5255</v>
      </c>
      <c r="N412" s="184" t="s">
        <v>5255</v>
      </c>
      <c r="O412" s="233"/>
    </row>
    <row r="413" spans="1:15" s="182" customFormat="1" ht="21.95" customHeight="1" x14ac:dyDescent="0.15">
      <c r="A413" s="151" t="s">
        <v>7396</v>
      </c>
      <c r="B413" s="20" t="s">
        <v>4854</v>
      </c>
      <c r="C413" s="1017" t="s">
        <v>3985</v>
      </c>
      <c r="D413" s="1017" t="s">
        <v>3405</v>
      </c>
      <c r="E413" s="1017" t="s">
        <v>6041</v>
      </c>
      <c r="F413" s="184" t="s">
        <v>3332</v>
      </c>
      <c r="G413" s="235" t="s">
        <v>7316</v>
      </c>
      <c r="H413" s="509" t="s">
        <v>7399</v>
      </c>
      <c r="I413" s="194">
        <v>0</v>
      </c>
      <c r="J413" s="194">
        <v>23000</v>
      </c>
      <c r="K413" s="185">
        <v>1</v>
      </c>
      <c r="L413" s="183" t="s">
        <v>806</v>
      </c>
      <c r="M413" s="184" t="s">
        <v>5765</v>
      </c>
      <c r="N413" s="184" t="s">
        <v>5765</v>
      </c>
      <c r="O413" s="233"/>
    </row>
    <row r="414" spans="1:15" s="182" customFormat="1" ht="21.95" customHeight="1" x14ac:dyDescent="0.15">
      <c r="A414" s="151" t="s">
        <v>7396</v>
      </c>
      <c r="B414" s="20" t="s">
        <v>4854</v>
      </c>
      <c r="C414" s="1094" t="s">
        <v>4963</v>
      </c>
      <c r="D414" s="1094" t="s">
        <v>4964</v>
      </c>
      <c r="E414" s="1094" t="s">
        <v>5909</v>
      </c>
      <c r="F414" s="184" t="s">
        <v>3332</v>
      </c>
      <c r="G414" s="235" t="s">
        <v>7316</v>
      </c>
      <c r="H414" s="509" t="s">
        <v>7400</v>
      </c>
      <c r="I414" s="194">
        <v>0</v>
      </c>
      <c r="J414" s="194">
        <v>23000</v>
      </c>
      <c r="K414" s="185">
        <v>1</v>
      </c>
      <c r="L414" s="183" t="s">
        <v>806</v>
      </c>
      <c r="M414" s="184" t="s">
        <v>5765</v>
      </c>
      <c r="N414" s="184" t="s">
        <v>5765</v>
      </c>
      <c r="O414" s="233"/>
    </row>
    <row r="415" spans="1:15" s="182" customFormat="1" ht="21.95" customHeight="1" x14ac:dyDescent="0.15">
      <c r="A415" s="151" t="s">
        <v>7396</v>
      </c>
      <c r="B415" s="20" t="s">
        <v>5560</v>
      </c>
      <c r="C415" s="1094" t="s">
        <v>4963</v>
      </c>
      <c r="D415" s="1094" t="s">
        <v>5714</v>
      </c>
      <c r="E415" s="1094" t="s">
        <v>5715</v>
      </c>
      <c r="F415" s="224" t="s">
        <v>3328</v>
      </c>
      <c r="G415" s="235" t="s">
        <v>7316</v>
      </c>
      <c r="H415" s="509">
        <v>25150</v>
      </c>
      <c r="I415" s="194">
        <v>0</v>
      </c>
      <c r="J415" s="194">
        <v>30000</v>
      </c>
      <c r="K415" s="185">
        <v>1</v>
      </c>
      <c r="L415" s="183" t="s">
        <v>806</v>
      </c>
      <c r="M415" s="184" t="s">
        <v>3957</v>
      </c>
      <c r="N415" s="184" t="s">
        <v>3957</v>
      </c>
      <c r="O415" s="233"/>
    </row>
    <row r="416" spans="1:15" s="182" customFormat="1" ht="21.95" customHeight="1" x14ac:dyDescent="0.15">
      <c r="A416" s="151" t="s">
        <v>7401</v>
      </c>
      <c r="B416" s="226" t="s">
        <v>7402</v>
      </c>
      <c r="C416" s="184" t="s">
        <v>4963</v>
      </c>
      <c r="D416" s="184" t="s">
        <v>4964</v>
      </c>
      <c r="E416" s="184" t="s">
        <v>4965</v>
      </c>
      <c r="F416" s="184" t="s">
        <v>3332</v>
      </c>
      <c r="G416" s="235" t="s">
        <v>7403</v>
      </c>
      <c r="H416" s="509">
        <v>25157</v>
      </c>
      <c r="I416" s="194">
        <v>0</v>
      </c>
      <c r="J416" s="194">
        <v>32000</v>
      </c>
      <c r="K416" s="185">
        <v>1</v>
      </c>
      <c r="L416" s="183" t="s">
        <v>806</v>
      </c>
      <c r="M416" s="184" t="s">
        <v>3957</v>
      </c>
      <c r="N416" s="184" t="s">
        <v>3957</v>
      </c>
      <c r="O416" s="233"/>
    </row>
    <row r="417" spans="1:15" s="182" customFormat="1" ht="21.95" customHeight="1" x14ac:dyDescent="0.15">
      <c r="A417" s="151" t="s">
        <v>7433</v>
      </c>
      <c r="B417" s="226" t="s">
        <v>7434</v>
      </c>
      <c r="C417" s="184" t="s">
        <v>4982</v>
      </c>
      <c r="D417" s="184" t="s">
        <v>5028</v>
      </c>
      <c r="E417" s="184" t="s">
        <v>6974</v>
      </c>
      <c r="F417" s="184" t="s">
        <v>5078</v>
      </c>
      <c r="G417" s="235" t="s">
        <v>5090</v>
      </c>
      <c r="H417" s="509">
        <v>24122</v>
      </c>
      <c r="I417" s="194">
        <v>0</v>
      </c>
      <c r="J417" s="194">
        <v>36000</v>
      </c>
      <c r="K417" s="185">
        <v>0.08</v>
      </c>
      <c r="L417" s="183" t="s">
        <v>7280</v>
      </c>
      <c r="M417" s="184" t="s">
        <v>3433</v>
      </c>
      <c r="N417" s="184" t="s">
        <v>3433</v>
      </c>
      <c r="O417" s="233"/>
    </row>
    <row r="418" spans="1:15" s="182" customFormat="1" ht="21.95" customHeight="1" x14ac:dyDescent="0.15">
      <c r="A418" s="151" t="s">
        <v>7405</v>
      </c>
      <c r="B418" s="226" t="s">
        <v>7406</v>
      </c>
      <c r="C418" s="184" t="s">
        <v>4963</v>
      </c>
      <c r="D418" s="184" t="s">
        <v>5028</v>
      </c>
      <c r="E418" s="184" t="s">
        <v>6439</v>
      </c>
      <c r="F418" s="184" t="s">
        <v>5078</v>
      </c>
      <c r="G418" s="235" t="s">
        <v>7316</v>
      </c>
      <c r="H418" s="509">
        <v>25152</v>
      </c>
      <c r="I418" s="194">
        <v>0</v>
      </c>
      <c r="J418" s="194">
        <v>15000</v>
      </c>
      <c r="K418" s="185">
        <v>1</v>
      </c>
      <c r="L418" s="183" t="s">
        <v>806</v>
      </c>
      <c r="M418" s="184" t="s">
        <v>3957</v>
      </c>
      <c r="N418" s="184" t="s">
        <v>3957</v>
      </c>
      <c r="O418" s="233"/>
    </row>
    <row r="419" spans="1:15" s="182" customFormat="1" ht="21.95" customHeight="1" x14ac:dyDescent="0.15">
      <c r="A419" s="151" t="s">
        <v>7405</v>
      </c>
      <c r="B419" s="226" t="s">
        <v>7407</v>
      </c>
      <c r="C419" s="184" t="s">
        <v>4963</v>
      </c>
      <c r="D419" s="184" t="s">
        <v>5153</v>
      </c>
      <c r="E419" s="184" t="s">
        <v>6976</v>
      </c>
      <c r="F419" s="184" t="s">
        <v>5078</v>
      </c>
      <c r="G419" s="235" t="s">
        <v>6975</v>
      </c>
      <c r="H419" s="509">
        <v>25033</v>
      </c>
      <c r="I419" s="194">
        <v>0</v>
      </c>
      <c r="J419" s="194">
        <v>48770</v>
      </c>
      <c r="K419" s="185">
        <v>0.2</v>
      </c>
      <c r="L419" s="183" t="s">
        <v>4711</v>
      </c>
      <c r="M419" s="184" t="s">
        <v>3957</v>
      </c>
      <c r="N419" s="184" t="s">
        <v>3957</v>
      </c>
      <c r="O419" s="233"/>
    </row>
    <row r="420" spans="1:15" s="182" customFormat="1" ht="21.95" customHeight="1" x14ac:dyDescent="0.15">
      <c r="A420" s="151" t="s">
        <v>7405</v>
      </c>
      <c r="B420" s="226" t="s">
        <v>7408</v>
      </c>
      <c r="C420" s="184" t="s">
        <v>4963</v>
      </c>
      <c r="D420" s="184" t="s">
        <v>5153</v>
      </c>
      <c r="E420" s="184" t="s">
        <v>6976</v>
      </c>
      <c r="F420" s="184" t="s">
        <v>5078</v>
      </c>
      <c r="G420" s="235" t="s">
        <v>6975</v>
      </c>
      <c r="H420" s="509">
        <v>25026</v>
      </c>
      <c r="I420" s="194">
        <v>0</v>
      </c>
      <c r="J420" s="194">
        <v>29270</v>
      </c>
      <c r="K420" s="185">
        <v>0.2</v>
      </c>
      <c r="L420" s="183" t="s">
        <v>4711</v>
      </c>
      <c r="M420" s="184" t="s">
        <v>3957</v>
      </c>
      <c r="N420" s="184" t="s">
        <v>3957</v>
      </c>
      <c r="O420" s="233"/>
    </row>
    <row r="421" spans="1:15" s="182" customFormat="1" ht="21.95" customHeight="1" x14ac:dyDescent="0.15">
      <c r="A421" s="151" t="s">
        <v>7405</v>
      </c>
      <c r="B421" s="226" t="s">
        <v>5059</v>
      </c>
      <c r="C421" s="184" t="s">
        <v>4963</v>
      </c>
      <c r="D421" s="184" t="s">
        <v>5153</v>
      </c>
      <c r="E421" s="184" t="s">
        <v>6976</v>
      </c>
      <c r="F421" s="184" t="s">
        <v>5078</v>
      </c>
      <c r="G421" s="235" t="s">
        <v>6975</v>
      </c>
      <c r="H421" s="509">
        <v>25025</v>
      </c>
      <c r="I421" s="194">
        <v>0</v>
      </c>
      <c r="J421" s="194">
        <v>52988</v>
      </c>
      <c r="K421" s="185">
        <v>0.2</v>
      </c>
      <c r="L421" s="183" t="s">
        <v>4711</v>
      </c>
      <c r="M421" s="184" t="s">
        <v>3957</v>
      </c>
      <c r="N421" s="184" t="s">
        <v>3957</v>
      </c>
      <c r="O421" s="233"/>
    </row>
    <row r="422" spans="1:15" s="182" customFormat="1" ht="21.95" customHeight="1" x14ac:dyDescent="0.15">
      <c r="A422" s="151" t="s">
        <v>7405</v>
      </c>
      <c r="B422" s="226" t="s">
        <v>7409</v>
      </c>
      <c r="C422" s="184" t="s">
        <v>4963</v>
      </c>
      <c r="D422" s="184" t="s">
        <v>5153</v>
      </c>
      <c r="E422" s="184" t="s">
        <v>6978</v>
      </c>
      <c r="F422" s="184" t="s">
        <v>5078</v>
      </c>
      <c r="G422" s="235" t="s">
        <v>6975</v>
      </c>
      <c r="H422" s="509">
        <v>25031</v>
      </c>
      <c r="I422" s="194">
        <v>0</v>
      </c>
      <c r="J422" s="194">
        <v>52988</v>
      </c>
      <c r="K422" s="185">
        <v>0.2</v>
      </c>
      <c r="L422" s="183" t="s">
        <v>4711</v>
      </c>
      <c r="M422" s="184" t="s">
        <v>3957</v>
      </c>
      <c r="N422" s="184" t="s">
        <v>3957</v>
      </c>
      <c r="O422" s="233"/>
    </row>
    <row r="423" spans="1:15" s="182" customFormat="1" ht="21.95" customHeight="1" x14ac:dyDescent="0.15">
      <c r="A423" s="151" t="s">
        <v>7405</v>
      </c>
      <c r="B423" s="226" t="s">
        <v>5753</v>
      </c>
      <c r="C423" s="945" t="s">
        <v>3364</v>
      </c>
      <c r="D423" s="945" t="s">
        <v>3326</v>
      </c>
      <c r="E423" s="945" t="s">
        <v>5938</v>
      </c>
      <c r="F423" s="945" t="s">
        <v>3355</v>
      </c>
      <c r="G423" s="460" t="s">
        <v>4484</v>
      </c>
      <c r="H423" s="509" t="s">
        <v>5936</v>
      </c>
      <c r="I423" s="194">
        <v>0</v>
      </c>
      <c r="J423" s="194">
        <v>10000</v>
      </c>
      <c r="K423" s="185">
        <v>0.1</v>
      </c>
      <c r="L423" s="183" t="s">
        <v>4724</v>
      </c>
      <c r="M423" s="184" t="s">
        <v>3726</v>
      </c>
      <c r="N423" s="184" t="s">
        <v>3726</v>
      </c>
      <c r="O423" s="233"/>
    </row>
    <row r="424" spans="1:15" s="182" customFormat="1" ht="21.95" customHeight="1" x14ac:dyDescent="0.15">
      <c r="A424" s="151" t="s">
        <v>7405</v>
      </c>
      <c r="B424" s="226" t="s">
        <v>5753</v>
      </c>
      <c r="C424" s="945" t="s">
        <v>3364</v>
      </c>
      <c r="D424" s="945" t="s">
        <v>3326</v>
      </c>
      <c r="E424" s="945" t="s">
        <v>5938</v>
      </c>
      <c r="F424" s="945" t="s">
        <v>3328</v>
      </c>
      <c r="G424" s="460" t="s">
        <v>3367</v>
      </c>
      <c r="H424" s="509" t="s">
        <v>5937</v>
      </c>
      <c r="I424" s="194">
        <v>0</v>
      </c>
      <c r="J424" s="194">
        <v>2500</v>
      </c>
      <c r="K424" s="185">
        <v>0.1</v>
      </c>
      <c r="L424" s="183" t="s">
        <v>4724</v>
      </c>
      <c r="M424" s="184" t="s">
        <v>3726</v>
      </c>
      <c r="N424" s="184" t="s">
        <v>3726</v>
      </c>
      <c r="O424" s="233"/>
    </row>
    <row r="425" spans="1:15" s="182" customFormat="1" ht="21.95" customHeight="1" x14ac:dyDescent="0.15">
      <c r="A425" s="151" t="s">
        <v>7405</v>
      </c>
      <c r="B425" s="226" t="s">
        <v>5753</v>
      </c>
      <c r="C425" s="399" t="s">
        <v>5942</v>
      </c>
      <c r="D425" s="399" t="s">
        <v>5153</v>
      </c>
      <c r="E425" s="399" t="s">
        <v>5943</v>
      </c>
      <c r="F425" s="224" t="s">
        <v>3328</v>
      </c>
      <c r="G425" s="239" t="s">
        <v>5240</v>
      </c>
      <c r="H425" s="509" t="s">
        <v>7410</v>
      </c>
      <c r="I425" s="194">
        <v>0</v>
      </c>
      <c r="J425" s="194">
        <v>7400</v>
      </c>
      <c r="K425" s="185">
        <v>0.1</v>
      </c>
      <c r="L425" s="183" t="s">
        <v>4724</v>
      </c>
      <c r="M425" s="184" t="s">
        <v>3726</v>
      </c>
      <c r="N425" s="184" t="s">
        <v>3726</v>
      </c>
      <c r="O425" s="233"/>
    </row>
    <row r="426" spans="1:15" s="182" customFormat="1" ht="21.95" customHeight="1" x14ac:dyDescent="0.15">
      <c r="A426" s="151" t="s">
        <v>7405</v>
      </c>
      <c r="B426" s="226" t="s">
        <v>5753</v>
      </c>
      <c r="C426" s="399" t="s">
        <v>5942</v>
      </c>
      <c r="D426" s="399" t="s">
        <v>5153</v>
      </c>
      <c r="E426" s="399" t="s">
        <v>5944</v>
      </c>
      <c r="F426" s="224" t="s">
        <v>3328</v>
      </c>
      <c r="G426" s="239" t="s">
        <v>5240</v>
      </c>
      <c r="H426" s="509" t="s">
        <v>7411</v>
      </c>
      <c r="I426" s="194">
        <v>0</v>
      </c>
      <c r="J426" s="194">
        <v>7400</v>
      </c>
      <c r="K426" s="185">
        <v>0.1</v>
      </c>
      <c r="L426" s="183" t="s">
        <v>4724</v>
      </c>
      <c r="M426" s="184" t="s">
        <v>3726</v>
      </c>
      <c r="N426" s="184" t="s">
        <v>3726</v>
      </c>
      <c r="O426" s="233"/>
    </row>
    <row r="427" spans="1:15" s="182" customFormat="1" ht="21.95" customHeight="1" x14ac:dyDescent="0.15">
      <c r="A427" s="151" t="s">
        <v>7412</v>
      </c>
      <c r="B427" s="226" t="s">
        <v>5051</v>
      </c>
      <c r="C427" s="392" t="s">
        <v>3384</v>
      </c>
      <c r="D427" s="945" t="s">
        <v>3354</v>
      </c>
      <c r="E427" s="391" t="s">
        <v>4792</v>
      </c>
      <c r="F427" s="391" t="s">
        <v>4178</v>
      </c>
      <c r="G427" s="430" t="s">
        <v>4179</v>
      </c>
      <c r="H427" s="509">
        <v>17040</v>
      </c>
      <c r="I427" s="194">
        <v>0</v>
      </c>
      <c r="J427" s="194">
        <v>12500</v>
      </c>
      <c r="K427" s="185">
        <v>0.1</v>
      </c>
      <c r="L427" s="183" t="s">
        <v>4724</v>
      </c>
      <c r="M427" s="391" t="s">
        <v>4708</v>
      </c>
      <c r="N427" s="958" t="s">
        <v>4708</v>
      </c>
      <c r="O427" s="233"/>
    </row>
    <row r="428" spans="1:15" s="182" customFormat="1" ht="21.95" customHeight="1" x14ac:dyDescent="0.15">
      <c r="A428" s="151" t="s">
        <v>7413</v>
      </c>
      <c r="B428" s="226" t="s">
        <v>5147</v>
      </c>
      <c r="C428" s="1098" t="s">
        <v>4941</v>
      </c>
      <c r="D428" s="1098" t="s">
        <v>4942</v>
      </c>
      <c r="E428" s="1098" t="s">
        <v>7420</v>
      </c>
      <c r="F428" s="184" t="s">
        <v>5078</v>
      </c>
      <c r="G428" s="235" t="s">
        <v>7421</v>
      </c>
      <c r="H428" s="509" t="s">
        <v>7417</v>
      </c>
      <c r="I428" s="194">
        <v>0</v>
      </c>
      <c r="J428" s="194">
        <v>469883.34</v>
      </c>
      <c r="K428" s="185" t="s">
        <v>7424</v>
      </c>
      <c r="L428" s="183" t="s">
        <v>7425</v>
      </c>
      <c r="M428" s="184" t="s">
        <v>3726</v>
      </c>
      <c r="N428" s="184" t="s">
        <v>3726</v>
      </c>
      <c r="O428" s="233"/>
    </row>
    <row r="429" spans="1:15" s="182" customFormat="1" ht="21.95" customHeight="1" x14ac:dyDescent="0.15">
      <c r="A429" s="151" t="s">
        <v>7413</v>
      </c>
      <c r="B429" s="226" t="s">
        <v>5147</v>
      </c>
      <c r="C429" s="1098" t="s">
        <v>4941</v>
      </c>
      <c r="D429" s="1098" t="s">
        <v>4942</v>
      </c>
      <c r="E429" s="1098" t="s">
        <v>7422</v>
      </c>
      <c r="F429" s="184" t="s">
        <v>5078</v>
      </c>
      <c r="G429" s="235" t="s">
        <v>7421</v>
      </c>
      <c r="H429" s="509" t="s">
        <v>7418</v>
      </c>
      <c r="I429" s="194">
        <v>0</v>
      </c>
      <c r="J429" s="194">
        <v>469883.33</v>
      </c>
      <c r="K429" s="185" t="s">
        <v>7424</v>
      </c>
      <c r="L429" s="183" t="s">
        <v>7425</v>
      </c>
      <c r="M429" s="184" t="s">
        <v>3726</v>
      </c>
      <c r="N429" s="184" t="s">
        <v>3726</v>
      </c>
      <c r="O429" s="233"/>
    </row>
    <row r="430" spans="1:15" s="182" customFormat="1" ht="21.95" customHeight="1" x14ac:dyDescent="0.15">
      <c r="A430" s="151" t="s">
        <v>7413</v>
      </c>
      <c r="B430" s="226" t="s">
        <v>5147</v>
      </c>
      <c r="C430" s="1098" t="s">
        <v>4941</v>
      </c>
      <c r="D430" s="1098" t="s">
        <v>4942</v>
      </c>
      <c r="E430" s="1098" t="s">
        <v>7423</v>
      </c>
      <c r="F430" s="184" t="s">
        <v>5078</v>
      </c>
      <c r="G430" s="235" t="s">
        <v>7421</v>
      </c>
      <c r="H430" s="509" t="s">
        <v>7419</v>
      </c>
      <c r="I430" s="194">
        <v>0</v>
      </c>
      <c r="J430" s="194">
        <v>469883.33</v>
      </c>
      <c r="K430" s="185" t="s">
        <v>7424</v>
      </c>
      <c r="L430" s="183" t="s">
        <v>7425</v>
      </c>
      <c r="M430" s="184" t="s">
        <v>3726</v>
      </c>
      <c r="N430" s="184" t="s">
        <v>3726</v>
      </c>
      <c r="O430" s="233"/>
    </row>
    <row r="431" spans="1:15" s="182" customFormat="1" ht="21.95" customHeight="1" x14ac:dyDescent="0.15">
      <c r="A431" s="151" t="s">
        <v>7414</v>
      </c>
      <c r="B431" s="226" t="s">
        <v>7415</v>
      </c>
      <c r="C431" s="279" t="s">
        <v>3351</v>
      </c>
      <c r="D431" s="279" t="s">
        <v>3717</v>
      </c>
      <c r="E431" s="1096" t="s">
        <v>5485</v>
      </c>
      <c r="F431" s="224" t="s">
        <v>3328</v>
      </c>
      <c r="G431" s="235" t="s">
        <v>5030</v>
      </c>
      <c r="H431" s="509">
        <v>24034</v>
      </c>
      <c r="I431" s="194">
        <v>0</v>
      </c>
      <c r="J431" s="194">
        <v>70000</v>
      </c>
      <c r="K431" s="185">
        <v>1</v>
      </c>
      <c r="L431" s="183" t="s">
        <v>4706</v>
      </c>
      <c r="M431" s="184" t="s">
        <v>5255</v>
      </c>
      <c r="N431" s="184" t="s">
        <v>5255</v>
      </c>
      <c r="O431" s="233"/>
    </row>
    <row r="432" spans="1:15" s="182" customFormat="1" ht="21.95" customHeight="1" x14ac:dyDescent="0.15">
      <c r="A432" s="151" t="s">
        <v>7414</v>
      </c>
      <c r="B432" s="226" t="s">
        <v>7416</v>
      </c>
      <c r="C432" s="1097" t="s">
        <v>5567</v>
      </c>
      <c r="D432" s="1097" t="s">
        <v>5153</v>
      </c>
      <c r="E432" s="1097" t="s">
        <v>6851</v>
      </c>
      <c r="F432" s="184" t="s">
        <v>5078</v>
      </c>
      <c r="G432" s="235" t="s">
        <v>5249</v>
      </c>
      <c r="H432" s="509">
        <v>24155</v>
      </c>
      <c r="I432" s="194">
        <v>0</v>
      </c>
      <c r="J432" s="194">
        <v>47304</v>
      </c>
      <c r="K432" s="185">
        <v>0.9</v>
      </c>
      <c r="L432" s="183" t="s">
        <v>4711</v>
      </c>
      <c r="M432" s="391" t="s">
        <v>6038</v>
      </c>
      <c r="N432" s="958" t="s">
        <v>6038</v>
      </c>
      <c r="O432" s="233"/>
    </row>
    <row r="433" spans="1:15" s="182" customFormat="1" ht="21.95" customHeight="1" x14ac:dyDescent="0.15">
      <c r="A433" s="151" t="s">
        <v>7426</v>
      </c>
      <c r="B433" s="277" t="s">
        <v>7427</v>
      </c>
      <c r="C433" s="399" t="s">
        <v>4982</v>
      </c>
      <c r="D433" s="399" t="s">
        <v>5018</v>
      </c>
      <c r="E433" s="399" t="s">
        <v>7187</v>
      </c>
      <c r="F433" s="184" t="s">
        <v>3328</v>
      </c>
      <c r="G433" s="235" t="s">
        <v>3378</v>
      </c>
      <c r="H433" s="1099" t="s">
        <v>7186</v>
      </c>
      <c r="I433" s="194">
        <v>71777.7</v>
      </c>
      <c r="J433" s="194">
        <v>0</v>
      </c>
      <c r="K433" s="185" t="s">
        <v>7428</v>
      </c>
      <c r="L433" s="183" t="s">
        <v>4694</v>
      </c>
      <c r="M433" s="184" t="s">
        <v>5161</v>
      </c>
      <c r="N433" s="184" t="s">
        <v>3726</v>
      </c>
      <c r="O433" s="1086" t="s">
        <v>7430</v>
      </c>
    </row>
    <row r="434" spans="1:15" s="182" customFormat="1" ht="21.95" customHeight="1" x14ac:dyDescent="0.15">
      <c r="A434" s="151" t="s">
        <v>7426</v>
      </c>
      <c r="B434" s="277" t="s">
        <v>7427</v>
      </c>
      <c r="C434" s="399" t="s">
        <v>4982</v>
      </c>
      <c r="D434" s="399" t="s">
        <v>5018</v>
      </c>
      <c r="E434" s="399" t="s">
        <v>7187</v>
      </c>
      <c r="F434" s="184" t="s">
        <v>3328</v>
      </c>
      <c r="G434" s="235" t="s">
        <v>3378</v>
      </c>
      <c r="H434" s="1099" t="s">
        <v>7186</v>
      </c>
      <c r="I434" s="194">
        <v>107413.04</v>
      </c>
      <c r="J434" s="194">
        <v>0</v>
      </c>
      <c r="K434" s="185" t="s">
        <v>7429</v>
      </c>
      <c r="L434" s="183" t="s">
        <v>7432</v>
      </c>
      <c r="M434" s="184" t="s">
        <v>5161</v>
      </c>
      <c r="N434" s="184" t="s">
        <v>3726</v>
      </c>
      <c r="O434" s="1086" t="s">
        <v>7431</v>
      </c>
    </row>
    <row r="435" spans="1:15" s="182" customFormat="1" ht="21.95" customHeight="1" x14ac:dyDescent="0.15">
      <c r="A435" s="151" t="s">
        <v>7426</v>
      </c>
      <c r="B435" s="277" t="s">
        <v>7427</v>
      </c>
      <c r="C435" s="399" t="s">
        <v>4982</v>
      </c>
      <c r="D435" s="399" t="s">
        <v>5018</v>
      </c>
      <c r="E435" s="399" t="s">
        <v>7187</v>
      </c>
      <c r="F435" s="184" t="s">
        <v>3937</v>
      </c>
      <c r="G435" s="235" t="s">
        <v>5300</v>
      </c>
      <c r="H435" s="1099" t="s">
        <v>7284</v>
      </c>
      <c r="I435" s="194">
        <v>220809.26</v>
      </c>
      <c r="J435" s="194">
        <v>0</v>
      </c>
      <c r="K435" s="185" t="s">
        <v>7185</v>
      </c>
      <c r="L435" s="183" t="s">
        <v>7432</v>
      </c>
      <c r="M435" s="184" t="s">
        <v>5161</v>
      </c>
      <c r="N435" s="184" t="s">
        <v>3726</v>
      </c>
      <c r="O435" s="1086" t="s">
        <v>7431</v>
      </c>
    </row>
    <row r="436" spans="1:15" s="182" customFormat="1" ht="21.95" customHeight="1" x14ac:dyDescent="0.15">
      <c r="A436" s="151" t="s">
        <v>7435</v>
      </c>
      <c r="B436" s="20" t="s">
        <v>4704</v>
      </c>
      <c r="C436" s="1102" t="s">
        <v>3376</v>
      </c>
      <c r="D436" s="1102" t="s">
        <v>3682</v>
      </c>
      <c r="E436" s="180" t="s">
        <v>3683</v>
      </c>
      <c r="F436" s="184" t="s">
        <v>3332</v>
      </c>
      <c r="G436" s="235" t="s">
        <v>7447</v>
      </c>
      <c r="H436" s="509">
        <v>25092</v>
      </c>
      <c r="I436" s="194">
        <v>0</v>
      </c>
      <c r="J436" s="194">
        <v>92000</v>
      </c>
      <c r="K436" s="185">
        <v>1</v>
      </c>
      <c r="L436" s="183" t="s">
        <v>4707</v>
      </c>
      <c r="M436" s="184" t="s">
        <v>4708</v>
      </c>
      <c r="N436" s="184" t="s">
        <v>4708</v>
      </c>
      <c r="O436" s="233"/>
    </row>
    <row r="437" spans="1:15" s="182" customFormat="1" ht="21.95" customHeight="1" x14ac:dyDescent="0.15">
      <c r="A437" s="151" t="s">
        <v>7435</v>
      </c>
      <c r="B437" s="20" t="s">
        <v>4701</v>
      </c>
      <c r="C437" s="1102" t="s">
        <v>3376</v>
      </c>
      <c r="D437" s="1102" t="s">
        <v>3682</v>
      </c>
      <c r="E437" s="184" t="s">
        <v>4243</v>
      </c>
      <c r="F437" s="184" t="s">
        <v>3332</v>
      </c>
      <c r="G437" s="235" t="s">
        <v>7447</v>
      </c>
      <c r="H437" s="509">
        <v>25093</v>
      </c>
      <c r="I437" s="194">
        <v>0</v>
      </c>
      <c r="J437" s="194">
        <v>92000</v>
      </c>
      <c r="K437" s="185">
        <v>1</v>
      </c>
      <c r="L437" s="183" t="s">
        <v>4707</v>
      </c>
      <c r="M437" s="184" t="s">
        <v>4708</v>
      </c>
      <c r="N437" s="184" t="s">
        <v>4708</v>
      </c>
      <c r="O437" s="233"/>
    </row>
    <row r="438" spans="1:15" s="182" customFormat="1" ht="21.95" customHeight="1" x14ac:dyDescent="0.15">
      <c r="A438" s="151" t="s">
        <v>7436</v>
      </c>
      <c r="B438" s="20" t="s">
        <v>4738</v>
      </c>
      <c r="C438" s="1102" t="s">
        <v>3376</v>
      </c>
      <c r="D438" s="368" t="s">
        <v>3516</v>
      </c>
      <c r="E438" s="30" t="s">
        <v>6326</v>
      </c>
      <c r="F438" s="184" t="s">
        <v>3332</v>
      </c>
      <c r="G438" s="235" t="s">
        <v>7447</v>
      </c>
      <c r="H438" s="509">
        <v>25091</v>
      </c>
      <c r="I438" s="194">
        <v>0</v>
      </c>
      <c r="J438" s="194">
        <v>92000</v>
      </c>
      <c r="K438" s="185">
        <v>1</v>
      </c>
      <c r="L438" s="183" t="s">
        <v>4707</v>
      </c>
      <c r="M438" s="184" t="s">
        <v>4708</v>
      </c>
      <c r="N438" s="184" t="s">
        <v>4708</v>
      </c>
      <c r="O438" s="233"/>
    </row>
    <row r="439" spans="1:15" s="182" customFormat="1" ht="21.95" customHeight="1" x14ac:dyDescent="0.15">
      <c r="A439" s="151" t="s">
        <v>7436</v>
      </c>
      <c r="B439" s="20" t="s">
        <v>4702</v>
      </c>
      <c r="C439" s="1102" t="s">
        <v>3376</v>
      </c>
      <c r="D439" s="1102" t="s">
        <v>3682</v>
      </c>
      <c r="E439" s="184" t="s">
        <v>4245</v>
      </c>
      <c r="F439" s="184" t="s">
        <v>3332</v>
      </c>
      <c r="G439" s="235" t="s">
        <v>7447</v>
      </c>
      <c r="H439" s="509">
        <v>25094</v>
      </c>
      <c r="I439" s="194">
        <v>0</v>
      </c>
      <c r="J439" s="194">
        <v>92000</v>
      </c>
      <c r="K439" s="185">
        <v>1</v>
      </c>
      <c r="L439" s="183" t="s">
        <v>4707</v>
      </c>
      <c r="M439" s="184" t="s">
        <v>4708</v>
      </c>
      <c r="N439" s="184" t="s">
        <v>4708</v>
      </c>
      <c r="O439" s="233"/>
    </row>
    <row r="440" spans="1:15" s="182" customFormat="1" ht="21.95" customHeight="1" x14ac:dyDescent="0.15">
      <c r="A440" s="151" t="s">
        <v>7436</v>
      </c>
      <c r="B440" s="20" t="s">
        <v>5492</v>
      </c>
      <c r="C440" s="184" t="s">
        <v>4982</v>
      </c>
      <c r="D440" s="184" t="s">
        <v>5422</v>
      </c>
      <c r="E440" s="184" t="s">
        <v>879</v>
      </c>
      <c r="F440" s="184" t="s">
        <v>4944</v>
      </c>
      <c r="G440" s="239" t="s">
        <v>5240</v>
      </c>
      <c r="H440" s="1101">
        <v>22165</v>
      </c>
      <c r="I440" s="194">
        <v>0</v>
      </c>
      <c r="J440" s="194">
        <v>28000</v>
      </c>
      <c r="K440" s="185">
        <v>1</v>
      </c>
      <c r="L440" s="183" t="s">
        <v>4707</v>
      </c>
      <c r="M440" s="184" t="s">
        <v>3433</v>
      </c>
      <c r="N440" s="184" t="s">
        <v>3433</v>
      </c>
      <c r="O440" s="233"/>
    </row>
    <row r="441" spans="1:15" s="182" customFormat="1" ht="21.95" customHeight="1" x14ac:dyDescent="0.15">
      <c r="A441" s="151" t="s">
        <v>7436</v>
      </c>
      <c r="B441" s="20" t="s">
        <v>7437</v>
      </c>
      <c r="C441" s="184" t="s">
        <v>3371</v>
      </c>
      <c r="D441" s="184" t="s">
        <v>3415</v>
      </c>
      <c r="E441" s="184" t="s">
        <v>7458</v>
      </c>
      <c r="F441" s="184" t="s">
        <v>3332</v>
      </c>
      <c r="G441" s="235" t="s">
        <v>5731</v>
      </c>
      <c r="H441" s="509">
        <v>25163</v>
      </c>
      <c r="I441" s="194">
        <v>0</v>
      </c>
      <c r="J441" s="194">
        <v>6000</v>
      </c>
      <c r="K441" s="185">
        <v>1</v>
      </c>
      <c r="L441" s="183" t="s">
        <v>4707</v>
      </c>
      <c r="M441" s="184" t="s">
        <v>3434</v>
      </c>
      <c r="N441" s="184" t="s">
        <v>3434</v>
      </c>
      <c r="O441" s="233"/>
    </row>
    <row r="442" spans="1:15" s="182" customFormat="1" ht="21.95" customHeight="1" x14ac:dyDescent="0.15">
      <c r="A442" s="151" t="s">
        <v>7438</v>
      </c>
      <c r="B442" s="20" t="s">
        <v>7439</v>
      </c>
      <c r="C442" s="945" t="s">
        <v>3325</v>
      </c>
      <c r="D442" s="945" t="s">
        <v>3439</v>
      </c>
      <c r="E442" s="945" t="s">
        <v>5568</v>
      </c>
      <c r="F442" s="945" t="s">
        <v>3355</v>
      </c>
      <c r="G442" s="460" t="s">
        <v>4348</v>
      </c>
      <c r="H442" s="509">
        <v>20032</v>
      </c>
      <c r="I442" s="194">
        <v>0</v>
      </c>
      <c r="J442" s="194">
        <v>9600</v>
      </c>
      <c r="K442" s="185">
        <v>0.1</v>
      </c>
      <c r="L442" s="183" t="s">
        <v>4724</v>
      </c>
      <c r="M442" s="184" t="s">
        <v>3433</v>
      </c>
      <c r="N442" s="184" t="s">
        <v>3433</v>
      </c>
      <c r="O442" s="233"/>
    </row>
    <row r="443" spans="1:15" s="182" customFormat="1" ht="21.95" customHeight="1" x14ac:dyDescent="0.15">
      <c r="A443" s="151" t="s">
        <v>7440</v>
      </c>
      <c r="B443" s="20" t="s">
        <v>7439</v>
      </c>
      <c r="C443" s="399" t="s">
        <v>5567</v>
      </c>
      <c r="D443" s="399" t="s">
        <v>5422</v>
      </c>
      <c r="E443" s="399" t="s">
        <v>5568</v>
      </c>
      <c r="F443" s="184" t="s">
        <v>5078</v>
      </c>
      <c r="G443" s="239" t="s">
        <v>5240</v>
      </c>
      <c r="H443" s="509">
        <v>23119</v>
      </c>
      <c r="I443" s="194">
        <v>0</v>
      </c>
      <c r="J443" s="194">
        <v>28000</v>
      </c>
      <c r="K443" s="185">
        <v>1</v>
      </c>
      <c r="L443" s="183" t="s">
        <v>4707</v>
      </c>
      <c r="M443" s="184" t="s">
        <v>3433</v>
      </c>
      <c r="N443" s="184" t="s">
        <v>3433</v>
      </c>
      <c r="O443" s="233"/>
    </row>
    <row r="444" spans="1:15" s="182" customFormat="1" ht="21.95" customHeight="1" x14ac:dyDescent="0.15">
      <c r="A444" s="151" t="s">
        <v>7441</v>
      </c>
      <c r="B444" s="20" t="s">
        <v>7439</v>
      </c>
      <c r="C444" s="1103" t="s">
        <v>5567</v>
      </c>
      <c r="D444" s="1103" t="s">
        <v>5422</v>
      </c>
      <c r="E444" s="1103" t="s">
        <v>5568</v>
      </c>
      <c r="F444" s="184" t="s">
        <v>5078</v>
      </c>
      <c r="G444" s="235" t="s">
        <v>5030</v>
      </c>
      <c r="H444" s="509">
        <v>24031</v>
      </c>
      <c r="I444" s="194">
        <v>0</v>
      </c>
      <c r="J444" s="194">
        <v>92000</v>
      </c>
      <c r="K444" s="185">
        <v>1</v>
      </c>
      <c r="L444" s="183" t="s">
        <v>4706</v>
      </c>
      <c r="M444" s="184" t="s">
        <v>3433</v>
      </c>
      <c r="N444" s="184" t="s">
        <v>3433</v>
      </c>
      <c r="O444" s="233"/>
    </row>
    <row r="445" spans="1:15" s="182" customFormat="1" ht="21.95" customHeight="1" x14ac:dyDescent="0.15">
      <c r="A445" s="151" t="s">
        <v>7441</v>
      </c>
      <c r="B445" s="20" t="s">
        <v>7442</v>
      </c>
      <c r="C445" s="1103" t="s">
        <v>4963</v>
      </c>
      <c r="D445" s="1103" t="s">
        <v>5028</v>
      </c>
      <c r="E445" s="1103" t="s">
        <v>6286</v>
      </c>
      <c r="F445" s="184" t="s">
        <v>3332</v>
      </c>
      <c r="G445" s="235" t="s">
        <v>7403</v>
      </c>
      <c r="H445" s="509">
        <v>25158</v>
      </c>
      <c r="I445" s="194">
        <v>0</v>
      </c>
      <c r="J445" s="194">
        <v>15000</v>
      </c>
      <c r="K445" s="185">
        <v>1</v>
      </c>
      <c r="L445" s="183" t="s">
        <v>4707</v>
      </c>
      <c r="M445" s="184" t="s">
        <v>3957</v>
      </c>
      <c r="N445" s="184" t="s">
        <v>3957</v>
      </c>
      <c r="O445" s="233"/>
    </row>
    <row r="446" spans="1:15" s="182" customFormat="1" ht="21.95" customHeight="1" x14ac:dyDescent="0.15">
      <c r="A446" s="151" t="s">
        <v>7441</v>
      </c>
      <c r="B446" s="20" t="s">
        <v>5070</v>
      </c>
      <c r="C446" s="945" t="s">
        <v>5088</v>
      </c>
      <c r="D446" s="945" t="s">
        <v>3415</v>
      </c>
      <c r="E446" s="952" t="s">
        <v>5089</v>
      </c>
      <c r="F446" s="952" t="s">
        <v>3332</v>
      </c>
      <c r="G446" s="430" t="s">
        <v>3381</v>
      </c>
      <c r="H446" s="509">
        <v>24017</v>
      </c>
      <c r="I446" s="194">
        <v>0</v>
      </c>
      <c r="J446" s="194">
        <v>88500</v>
      </c>
      <c r="K446" s="185">
        <v>1</v>
      </c>
      <c r="L446" s="183" t="s">
        <v>4706</v>
      </c>
      <c r="M446" s="184" t="s">
        <v>4708</v>
      </c>
      <c r="N446" s="184" t="s">
        <v>4708</v>
      </c>
      <c r="O446" s="233"/>
    </row>
    <row r="447" spans="1:15" s="182" customFormat="1" ht="21.95" customHeight="1" x14ac:dyDescent="0.15">
      <c r="A447" s="151" t="s">
        <v>7443</v>
      </c>
      <c r="B447" s="20" t="s">
        <v>5461</v>
      </c>
      <c r="C447" s="392" t="s">
        <v>3351</v>
      </c>
      <c r="D447" s="392" t="s">
        <v>3717</v>
      </c>
      <c r="E447" s="399" t="s">
        <v>5485</v>
      </c>
      <c r="F447" s="224" t="s">
        <v>3328</v>
      </c>
      <c r="G447" s="235" t="s">
        <v>5030</v>
      </c>
      <c r="H447" s="509">
        <v>23027</v>
      </c>
      <c r="I447" s="194">
        <v>0</v>
      </c>
      <c r="J447" s="194">
        <v>80000</v>
      </c>
      <c r="K447" s="185">
        <v>1</v>
      </c>
      <c r="L447" s="183" t="s">
        <v>4706</v>
      </c>
      <c r="M447" s="184" t="s">
        <v>3726</v>
      </c>
      <c r="N447" s="184" t="s">
        <v>3726</v>
      </c>
      <c r="O447" s="233"/>
    </row>
    <row r="448" spans="1:15" s="182" customFormat="1" ht="21.95" customHeight="1" x14ac:dyDescent="0.15">
      <c r="A448" s="151" t="s">
        <v>7444</v>
      </c>
      <c r="B448" s="20" t="s">
        <v>7445</v>
      </c>
      <c r="C448" s="224" t="s">
        <v>3351</v>
      </c>
      <c r="D448" s="224" t="s">
        <v>3352</v>
      </c>
      <c r="E448" s="184" t="s">
        <v>2795</v>
      </c>
      <c r="F448" s="207" t="s">
        <v>3328</v>
      </c>
      <c r="G448" s="239" t="s">
        <v>3566</v>
      </c>
      <c r="H448" s="509">
        <v>24102</v>
      </c>
      <c r="I448" s="194">
        <v>0</v>
      </c>
      <c r="J448" s="194">
        <v>34500</v>
      </c>
      <c r="K448" s="185" t="s">
        <v>6249</v>
      </c>
      <c r="L448" s="183" t="s">
        <v>4706</v>
      </c>
      <c r="M448" s="184" t="s">
        <v>3726</v>
      </c>
      <c r="N448" s="184" t="s">
        <v>3726</v>
      </c>
      <c r="O448" s="233"/>
    </row>
    <row r="449" spans="1:15" s="182" customFormat="1" ht="21.95" customHeight="1" x14ac:dyDescent="0.15">
      <c r="A449" s="151" t="s">
        <v>7444</v>
      </c>
      <c r="B449" s="20" t="s">
        <v>7446</v>
      </c>
      <c r="C449" s="224" t="s">
        <v>3351</v>
      </c>
      <c r="D449" s="224" t="s">
        <v>3352</v>
      </c>
      <c r="E449" s="394" t="s">
        <v>3643</v>
      </c>
      <c r="F449" s="403" t="s">
        <v>3340</v>
      </c>
      <c r="G449" s="239" t="s">
        <v>3349</v>
      </c>
      <c r="H449" s="509">
        <v>23104</v>
      </c>
      <c r="I449" s="194">
        <v>0</v>
      </c>
      <c r="J449" s="194">
        <v>35000</v>
      </c>
      <c r="K449" s="185">
        <v>0.5</v>
      </c>
      <c r="L449" s="183" t="s">
        <v>4706</v>
      </c>
      <c r="M449" s="184" t="s">
        <v>3726</v>
      </c>
      <c r="N449" s="184" t="s">
        <v>3726</v>
      </c>
      <c r="O449" s="233"/>
    </row>
    <row r="450" spans="1:15" s="182" customFormat="1" ht="21.95" customHeight="1" x14ac:dyDescent="0.15">
      <c r="A450" s="151" t="s">
        <v>7444</v>
      </c>
      <c r="B450" s="20" t="s">
        <v>7388</v>
      </c>
      <c r="C450" s="1105" t="s">
        <v>3363</v>
      </c>
      <c r="D450" s="1105" t="s">
        <v>7221</v>
      </c>
      <c r="E450" s="1105" t="s">
        <v>7222</v>
      </c>
      <c r="F450" s="184" t="s">
        <v>5078</v>
      </c>
      <c r="G450" s="235" t="s">
        <v>5090</v>
      </c>
      <c r="H450" s="509" t="s">
        <v>7205</v>
      </c>
      <c r="I450" s="194">
        <v>110000</v>
      </c>
      <c r="J450" s="194">
        <v>0</v>
      </c>
      <c r="K450" s="185">
        <v>0.25</v>
      </c>
      <c r="L450" s="183" t="s">
        <v>4694</v>
      </c>
      <c r="M450" s="184" t="s">
        <v>3957</v>
      </c>
      <c r="N450" s="184" t="s">
        <v>3957</v>
      </c>
      <c r="O450" s="233"/>
    </row>
    <row r="451" spans="1:15" s="182" customFormat="1" ht="21.95" customHeight="1" x14ac:dyDescent="0.15">
      <c r="A451" s="151" t="s">
        <v>7444</v>
      </c>
      <c r="B451" s="20" t="s">
        <v>7388</v>
      </c>
      <c r="C451" s="1105" t="s">
        <v>3363</v>
      </c>
      <c r="D451" s="1105" t="s">
        <v>7221</v>
      </c>
      <c r="E451" s="1105" t="s">
        <v>7223</v>
      </c>
      <c r="F451" s="184" t="s">
        <v>5078</v>
      </c>
      <c r="G451" s="235" t="s">
        <v>5090</v>
      </c>
      <c r="H451" s="509" t="s">
        <v>7206</v>
      </c>
      <c r="I451" s="194">
        <v>110000</v>
      </c>
      <c r="J451" s="194">
        <v>0</v>
      </c>
      <c r="K451" s="185">
        <v>0.25</v>
      </c>
      <c r="L451" s="183" t="s">
        <v>4694</v>
      </c>
      <c r="M451" s="184" t="s">
        <v>3957</v>
      </c>
      <c r="N451" s="184" t="s">
        <v>3957</v>
      </c>
      <c r="O451" s="233"/>
    </row>
    <row r="452" spans="1:15" s="182" customFormat="1" ht="21.95" customHeight="1" x14ac:dyDescent="0.15">
      <c r="A452" s="151" t="s">
        <v>7448</v>
      </c>
      <c r="B452" s="20" t="s">
        <v>4806</v>
      </c>
      <c r="C452" s="184" t="s">
        <v>4963</v>
      </c>
      <c r="D452" s="184" t="s">
        <v>5028</v>
      </c>
      <c r="E452" s="184" t="s">
        <v>5722</v>
      </c>
      <c r="F452" s="224" t="s">
        <v>3328</v>
      </c>
      <c r="G452" s="239" t="s">
        <v>3349</v>
      </c>
      <c r="H452" s="509">
        <v>24123</v>
      </c>
      <c r="I452" s="194">
        <v>0</v>
      </c>
      <c r="J452" s="194">
        <v>70000</v>
      </c>
      <c r="K452" s="185">
        <v>1</v>
      </c>
      <c r="L452" s="183" t="s">
        <v>4706</v>
      </c>
      <c r="M452" s="184" t="s">
        <v>3957</v>
      </c>
      <c r="N452" s="184" t="s">
        <v>3957</v>
      </c>
      <c r="O452" s="233"/>
    </row>
    <row r="453" spans="1:15" s="182" customFormat="1" ht="21.95" customHeight="1" x14ac:dyDescent="0.15">
      <c r="A453" s="151" t="s">
        <v>7448</v>
      </c>
      <c r="B453" s="20" t="s">
        <v>5027</v>
      </c>
      <c r="C453" s="184" t="s">
        <v>4963</v>
      </c>
      <c r="D453" s="184" t="s">
        <v>5028</v>
      </c>
      <c r="E453" s="184" t="s">
        <v>5029</v>
      </c>
      <c r="F453" s="224" t="s">
        <v>3328</v>
      </c>
      <c r="G453" s="239" t="s">
        <v>3349</v>
      </c>
      <c r="H453" s="509">
        <v>24124</v>
      </c>
      <c r="I453" s="194">
        <v>0</v>
      </c>
      <c r="J453" s="194">
        <v>70000</v>
      </c>
      <c r="K453" s="185">
        <v>1</v>
      </c>
      <c r="L453" s="183" t="s">
        <v>4706</v>
      </c>
      <c r="M453" s="184" t="s">
        <v>3957</v>
      </c>
      <c r="N453" s="184" t="s">
        <v>3957</v>
      </c>
      <c r="O453" s="233"/>
    </row>
    <row r="454" spans="1:15" s="182" customFormat="1" ht="21.95" customHeight="1" x14ac:dyDescent="0.15">
      <c r="A454" s="151" t="s">
        <v>7448</v>
      </c>
      <c r="B454" s="20" t="s">
        <v>4893</v>
      </c>
      <c r="C454" s="184" t="s">
        <v>3985</v>
      </c>
      <c r="D454" s="184" t="s">
        <v>3572</v>
      </c>
      <c r="E454" s="184" t="s">
        <v>5697</v>
      </c>
      <c r="F454" s="224" t="s">
        <v>3328</v>
      </c>
      <c r="G454" s="239" t="s">
        <v>3349</v>
      </c>
      <c r="H454" s="509">
        <v>24125</v>
      </c>
      <c r="I454" s="194">
        <v>0</v>
      </c>
      <c r="J454" s="194">
        <v>70000</v>
      </c>
      <c r="K454" s="185">
        <v>1</v>
      </c>
      <c r="L454" s="183" t="s">
        <v>4706</v>
      </c>
      <c r="M454" s="184" t="s">
        <v>3957</v>
      </c>
      <c r="N454" s="184" t="s">
        <v>3957</v>
      </c>
      <c r="O454" s="233"/>
    </row>
    <row r="455" spans="1:15" s="182" customFormat="1" ht="21.95" customHeight="1" x14ac:dyDescent="0.15">
      <c r="A455" s="151" t="s">
        <v>7448</v>
      </c>
      <c r="B455" s="20" t="s">
        <v>4731</v>
      </c>
      <c r="C455" s="399" t="s">
        <v>3346</v>
      </c>
      <c r="D455" s="399" t="s">
        <v>3354</v>
      </c>
      <c r="E455" s="399" t="s">
        <v>845</v>
      </c>
      <c r="F455" s="184" t="s">
        <v>5762</v>
      </c>
      <c r="G455" s="235" t="s">
        <v>6591</v>
      </c>
      <c r="H455" s="509" t="s">
        <v>7460</v>
      </c>
      <c r="I455" s="194">
        <v>0</v>
      </c>
      <c r="J455" s="194">
        <v>57350</v>
      </c>
      <c r="K455" s="185">
        <v>0.5</v>
      </c>
      <c r="L455" s="183" t="s">
        <v>4707</v>
      </c>
      <c r="M455" s="184" t="s">
        <v>3726</v>
      </c>
      <c r="N455" s="184" t="s">
        <v>3726</v>
      </c>
      <c r="O455" s="233"/>
    </row>
    <row r="456" spans="1:15" s="182" customFormat="1" ht="21.95" customHeight="1" x14ac:dyDescent="0.15">
      <c r="A456" s="151" t="s">
        <v>7448</v>
      </c>
      <c r="B456" s="20" t="s">
        <v>7449</v>
      </c>
      <c r="C456" s="399" t="s">
        <v>4941</v>
      </c>
      <c r="D456" s="399" t="s">
        <v>4942</v>
      </c>
      <c r="E456" s="399" t="s">
        <v>5657</v>
      </c>
      <c r="F456" s="184" t="s">
        <v>5078</v>
      </c>
      <c r="G456" s="239" t="s">
        <v>3566</v>
      </c>
      <c r="H456" s="509">
        <v>23131</v>
      </c>
      <c r="I456" s="194">
        <v>0</v>
      </c>
      <c r="J456" s="194">
        <v>40800</v>
      </c>
      <c r="K456" s="185">
        <v>0.2</v>
      </c>
      <c r="L456" s="183" t="s">
        <v>4706</v>
      </c>
      <c r="M456" s="184" t="s">
        <v>5255</v>
      </c>
      <c r="N456" s="184" t="s">
        <v>5255</v>
      </c>
      <c r="O456" s="233"/>
    </row>
    <row r="457" spans="1:15" s="182" customFormat="1" ht="21.95" customHeight="1" x14ac:dyDescent="0.15">
      <c r="A457" s="151" t="s">
        <v>7450</v>
      </c>
      <c r="B457" s="20" t="s">
        <v>7451</v>
      </c>
      <c r="C457" s="184" t="s">
        <v>4941</v>
      </c>
      <c r="D457" s="184" t="s">
        <v>4942</v>
      </c>
      <c r="E457" s="184" t="s">
        <v>7461</v>
      </c>
      <c r="F457" s="184" t="s">
        <v>5078</v>
      </c>
      <c r="G457" s="235" t="s">
        <v>5681</v>
      </c>
      <c r="H457" s="509">
        <v>24164</v>
      </c>
      <c r="I457" s="194">
        <v>0</v>
      </c>
      <c r="J457" s="194">
        <v>1716048</v>
      </c>
      <c r="K457" s="185">
        <v>0.85</v>
      </c>
      <c r="L457" s="183" t="s">
        <v>4711</v>
      </c>
      <c r="M457" s="184" t="s">
        <v>5255</v>
      </c>
      <c r="N457" s="184" t="s">
        <v>5255</v>
      </c>
      <c r="O457" s="233"/>
    </row>
    <row r="458" spans="1:15" s="182" customFormat="1" ht="21.95" customHeight="1" x14ac:dyDescent="0.15">
      <c r="A458" s="151" t="s">
        <v>7450</v>
      </c>
      <c r="B458" s="20" t="s">
        <v>7452</v>
      </c>
      <c r="C458" s="184" t="s">
        <v>4963</v>
      </c>
      <c r="D458" s="184" t="s">
        <v>6434</v>
      </c>
      <c r="E458" s="184" t="s">
        <v>6437</v>
      </c>
      <c r="F458" s="184" t="s">
        <v>4944</v>
      </c>
      <c r="G458" s="235" t="s">
        <v>3997</v>
      </c>
      <c r="H458" s="509">
        <v>25169</v>
      </c>
      <c r="I458" s="194">
        <v>0</v>
      </c>
      <c r="J458" s="194">
        <v>1200</v>
      </c>
      <c r="K458" s="185">
        <v>1</v>
      </c>
      <c r="L458" s="183" t="s">
        <v>4707</v>
      </c>
      <c r="M458" s="184" t="s">
        <v>3957</v>
      </c>
      <c r="N458" s="184" t="s">
        <v>3957</v>
      </c>
      <c r="O458" s="233"/>
    </row>
    <row r="459" spans="1:15" s="182" customFormat="1" ht="21.95" customHeight="1" x14ac:dyDescent="0.15">
      <c r="A459" s="151" t="s">
        <v>7453</v>
      </c>
      <c r="B459" s="20" t="s">
        <v>7454</v>
      </c>
      <c r="C459" s="1104" t="s">
        <v>4982</v>
      </c>
      <c r="D459" s="1104" t="s">
        <v>6706</v>
      </c>
      <c r="E459" s="1104" t="s">
        <v>6707</v>
      </c>
      <c r="F459" s="184" t="s">
        <v>5078</v>
      </c>
      <c r="G459" s="235" t="s">
        <v>3329</v>
      </c>
      <c r="H459" s="509">
        <v>24073</v>
      </c>
      <c r="I459" s="194">
        <v>0</v>
      </c>
      <c r="J459" s="194">
        <v>96000</v>
      </c>
      <c r="K459" s="185" t="s">
        <v>7459</v>
      </c>
      <c r="L459" s="183" t="s">
        <v>4694</v>
      </c>
      <c r="M459" s="184" t="s">
        <v>4399</v>
      </c>
      <c r="N459" s="184" t="s">
        <v>4399</v>
      </c>
      <c r="O459" s="233"/>
    </row>
    <row r="460" spans="1:15" s="182" customFormat="1" ht="21.95" customHeight="1" x14ac:dyDescent="0.15">
      <c r="A460" s="151" t="s">
        <v>7453</v>
      </c>
      <c r="B460" s="20" t="s">
        <v>7455</v>
      </c>
      <c r="C460" s="1106" t="s">
        <v>5213</v>
      </c>
      <c r="D460" s="1106" t="s">
        <v>6277</v>
      </c>
      <c r="E460" s="1106" t="s">
        <v>6278</v>
      </c>
      <c r="F460" s="184" t="s">
        <v>5078</v>
      </c>
      <c r="G460" s="235" t="s">
        <v>5030</v>
      </c>
      <c r="H460" s="509">
        <v>25096</v>
      </c>
      <c r="I460" s="194">
        <v>0</v>
      </c>
      <c r="J460" s="194">
        <v>120000</v>
      </c>
      <c r="K460" s="185">
        <v>1</v>
      </c>
      <c r="L460" s="183" t="s">
        <v>4706</v>
      </c>
      <c r="M460" s="184" t="s">
        <v>3726</v>
      </c>
      <c r="N460" s="184" t="s">
        <v>3726</v>
      </c>
      <c r="O460" s="233"/>
    </row>
    <row r="461" spans="1:15" s="182" customFormat="1" ht="21.95" customHeight="1" x14ac:dyDescent="0.15">
      <c r="A461" s="151" t="s">
        <v>7456</v>
      </c>
      <c r="B461" s="20" t="s">
        <v>7457</v>
      </c>
      <c r="C461" s="184" t="s">
        <v>4941</v>
      </c>
      <c r="D461" s="184" t="s">
        <v>4942</v>
      </c>
      <c r="E461" s="184" t="s">
        <v>6933</v>
      </c>
      <c r="F461" s="184" t="s">
        <v>4944</v>
      </c>
      <c r="G461" s="235" t="s">
        <v>6711</v>
      </c>
      <c r="H461" s="509">
        <v>24098</v>
      </c>
      <c r="I461" s="194">
        <v>0</v>
      </c>
      <c r="J461" s="194">
        <v>34500</v>
      </c>
      <c r="K461" s="185" t="s">
        <v>6898</v>
      </c>
      <c r="L461" s="183" t="s">
        <v>4706</v>
      </c>
      <c r="M461" s="184" t="s">
        <v>3726</v>
      </c>
      <c r="N461" s="184" t="s">
        <v>3726</v>
      </c>
      <c r="O461" s="233"/>
    </row>
    <row r="462" spans="1:15" s="182" customFormat="1" ht="21.95" customHeight="1" x14ac:dyDescent="0.15">
      <c r="A462" s="151" t="s">
        <v>7462</v>
      </c>
      <c r="B462" s="20" t="s">
        <v>767</v>
      </c>
      <c r="C462" s="399" t="s">
        <v>5567</v>
      </c>
      <c r="D462" s="184" t="s">
        <v>5422</v>
      </c>
      <c r="E462" s="399" t="s">
        <v>5572</v>
      </c>
      <c r="F462" s="184" t="s">
        <v>3328</v>
      </c>
      <c r="G462" s="239" t="s">
        <v>5240</v>
      </c>
      <c r="H462" s="509" t="s">
        <v>7463</v>
      </c>
      <c r="I462" s="194">
        <v>0</v>
      </c>
      <c r="J462" s="194">
        <v>27160</v>
      </c>
      <c r="K462" s="185">
        <v>0.97</v>
      </c>
      <c r="L462" s="183" t="s">
        <v>4711</v>
      </c>
      <c r="M462" s="184" t="s">
        <v>3433</v>
      </c>
      <c r="N462" s="184" t="s">
        <v>3433</v>
      </c>
      <c r="O462" s="233"/>
    </row>
    <row r="463" spans="1:15" s="182" customFormat="1" ht="21.95" customHeight="1" x14ac:dyDescent="0.15">
      <c r="A463" s="151" t="s">
        <v>7462</v>
      </c>
      <c r="B463" s="20" t="s">
        <v>767</v>
      </c>
      <c r="C463" s="399" t="s">
        <v>5567</v>
      </c>
      <c r="D463" s="184" t="s">
        <v>5422</v>
      </c>
      <c r="E463" s="399" t="s">
        <v>5572</v>
      </c>
      <c r="F463" s="184" t="s">
        <v>3400</v>
      </c>
      <c r="G463" s="235" t="s">
        <v>5249</v>
      </c>
      <c r="H463" s="509" t="s">
        <v>7464</v>
      </c>
      <c r="I463" s="194">
        <v>0</v>
      </c>
      <c r="J463" s="194">
        <v>31528.799999999999</v>
      </c>
      <c r="K463" s="185">
        <v>0.9</v>
      </c>
      <c r="L463" s="183" t="s">
        <v>4711</v>
      </c>
      <c r="M463" s="184" t="s">
        <v>3433</v>
      </c>
      <c r="N463" s="184" t="s">
        <v>3433</v>
      </c>
      <c r="O463" s="233"/>
    </row>
    <row r="464" spans="1:15" s="182" customFormat="1" ht="21.95" customHeight="1" x14ac:dyDescent="0.15">
      <c r="A464" s="151" t="s">
        <v>7462</v>
      </c>
      <c r="B464" s="20" t="s">
        <v>767</v>
      </c>
      <c r="C464" s="1107" t="s">
        <v>5567</v>
      </c>
      <c r="D464" s="184" t="s">
        <v>5422</v>
      </c>
      <c r="E464" s="1107" t="s">
        <v>5572</v>
      </c>
      <c r="F464" s="184" t="s">
        <v>3328</v>
      </c>
      <c r="G464" s="239" t="s">
        <v>5480</v>
      </c>
      <c r="H464" s="509">
        <v>24033</v>
      </c>
      <c r="I464" s="194">
        <v>0</v>
      </c>
      <c r="J464" s="194">
        <v>244893.8</v>
      </c>
      <c r="K464" s="185" t="s">
        <v>7465</v>
      </c>
      <c r="L464" s="183" t="s">
        <v>4707</v>
      </c>
      <c r="M464" s="184" t="s">
        <v>3433</v>
      </c>
      <c r="N464" s="184" t="s">
        <v>3433</v>
      </c>
      <c r="O464" s="233"/>
    </row>
    <row r="465" spans="1:15" s="182" customFormat="1" ht="21.95" customHeight="1" x14ac:dyDescent="0.15">
      <c r="A465" s="151" t="s">
        <v>7466</v>
      </c>
      <c r="B465" s="20" t="s">
        <v>7468</v>
      </c>
      <c r="C465" s="1107" t="s">
        <v>3357</v>
      </c>
      <c r="D465" s="1107" t="s">
        <v>3851</v>
      </c>
      <c r="E465" s="1107" t="s">
        <v>7469</v>
      </c>
      <c r="F465" s="184" t="s">
        <v>3332</v>
      </c>
      <c r="G465" s="235" t="s">
        <v>5727</v>
      </c>
      <c r="H465" s="509">
        <v>25168</v>
      </c>
      <c r="I465" s="194">
        <v>0</v>
      </c>
      <c r="J465" s="194">
        <v>21000</v>
      </c>
      <c r="K465" s="185">
        <v>0.3</v>
      </c>
      <c r="L465" s="183" t="s">
        <v>4727</v>
      </c>
      <c r="M465" s="184" t="s">
        <v>4399</v>
      </c>
      <c r="N465" s="184" t="s">
        <v>4399</v>
      </c>
      <c r="O465" s="233"/>
    </row>
    <row r="466" spans="1:15" s="182" customFormat="1" ht="21.95" customHeight="1" x14ac:dyDescent="0.15">
      <c r="A466" s="151" t="s">
        <v>7466</v>
      </c>
      <c r="B466" s="20" t="s">
        <v>5126</v>
      </c>
      <c r="C466" s="1107" t="s">
        <v>5148</v>
      </c>
      <c r="D466" s="1107" t="s">
        <v>5853</v>
      </c>
      <c r="E466" s="1107" t="s">
        <v>5854</v>
      </c>
      <c r="F466" s="184" t="s">
        <v>5078</v>
      </c>
      <c r="G466" s="235" t="s">
        <v>6711</v>
      </c>
      <c r="H466" s="509">
        <v>24038</v>
      </c>
      <c r="I466" s="194">
        <v>0</v>
      </c>
      <c r="J466" s="194">
        <v>99000</v>
      </c>
      <c r="K466" s="185" t="s">
        <v>6375</v>
      </c>
      <c r="L466" s="183" t="s">
        <v>4706</v>
      </c>
      <c r="M466" s="184" t="s">
        <v>4708</v>
      </c>
      <c r="N466" s="184" t="s">
        <v>4708</v>
      </c>
      <c r="O466" s="233"/>
    </row>
    <row r="467" spans="1:15" s="182" customFormat="1" ht="21.95" customHeight="1" x14ac:dyDescent="0.15">
      <c r="A467" s="151" t="s">
        <v>7467</v>
      </c>
      <c r="B467" s="226" t="s">
        <v>7470</v>
      </c>
      <c r="C467" s="184" t="s">
        <v>4941</v>
      </c>
      <c r="D467" s="184" t="s">
        <v>4942</v>
      </c>
      <c r="E467" s="184" t="s">
        <v>5945</v>
      </c>
      <c r="F467" s="184" t="s">
        <v>4944</v>
      </c>
      <c r="G467" s="239" t="s">
        <v>3566</v>
      </c>
      <c r="H467" s="509">
        <v>24113</v>
      </c>
      <c r="I467" s="194">
        <v>0</v>
      </c>
      <c r="J467" s="194">
        <v>34500</v>
      </c>
      <c r="K467" s="185" t="s">
        <v>6249</v>
      </c>
      <c r="L467" s="183" t="s">
        <v>4706</v>
      </c>
      <c r="M467" s="184" t="s">
        <v>3726</v>
      </c>
      <c r="N467" s="184" t="s">
        <v>3726</v>
      </c>
      <c r="O467" s="233"/>
    </row>
    <row r="468" spans="1:15" s="182" customFormat="1" ht="21.95" customHeight="1" x14ac:dyDescent="0.15">
      <c r="A468" s="151" t="s">
        <v>7467</v>
      </c>
      <c r="B468" s="20" t="s">
        <v>7298</v>
      </c>
      <c r="C468" s="184" t="s">
        <v>4941</v>
      </c>
      <c r="D468" s="184" t="s">
        <v>4942</v>
      </c>
      <c r="E468" s="184" t="s">
        <v>6554</v>
      </c>
      <c r="F468" s="184" t="s">
        <v>5078</v>
      </c>
      <c r="G468" s="235" t="s">
        <v>6711</v>
      </c>
      <c r="H468" s="509">
        <v>24093</v>
      </c>
      <c r="I468" s="194">
        <v>0</v>
      </c>
      <c r="J468" s="194">
        <v>34500</v>
      </c>
      <c r="K468" s="185" t="s">
        <v>6249</v>
      </c>
      <c r="L468" s="183" t="s">
        <v>4706</v>
      </c>
      <c r="M468" s="184" t="s">
        <v>3726</v>
      </c>
      <c r="N468" s="184" t="s">
        <v>3726</v>
      </c>
      <c r="O468" s="233"/>
    </row>
    <row r="469" spans="1:15" s="182" customFormat="1" ht="21.95" customHeight="1" x14ac:dyDescent="0.15">
      <c r="A469" s="151" t="s">
        <v>7467</v>
      </c>
      <c r="B469" s="20" t="s">
        <v>6521</v>
      </c>
      <c r="C469" s="184" t="s">
        <v>4963</v>
      </c>
      <c r="D469" s="184" t="s">
        <v>5153</v>
      </c>
      <c r="E469" s="184" t="s">
        <v>6525</v>
      </c>
      <c r="F469" s="184" t="s">
        <v>5078</v>
      </c>
      <c r="G469" s="235" t="s">
        <v>6975</v>
      </c>
      <c r="H469" s="509">
        <v>25024</v>
      </c>
      <c r="I469" s="194">
        <v>0</v>
      </c>
      <c r="J469" s="194">
        <v>50770</v>
      </c>
      <c r="K469" s="185">
        <v>0.2</v>
      </c>
      <c r="L469" s="183" t="s">
        <v>4711</v>
      </c>
      <c r="M469" s="184" t="s">
        <v>3957</v>
      </c>
      <c r="N469" s="184" t="s">
        <v>3957</v>
      </c>
      <c r="O469" s="233"/>
    </row>
    <row r="470" spans="1:15" s="182" customFormat="1" ht="21.95" customHeight="1" x14ac:dyDescent="0.15">
      <c r="A470" s="151" t="s">
        <v>7471</v>
      </c>
      <c r="B470" s="20" t="s">
        <v>7472</v>
      </c>
      <c r="C470" s="1108" t="s">
        <v>3351</v>
      </c>
      <c r="D470" s="1108" t="s">
        <v>3463</v>
      </c>
      <c r="E470" s="1108" t="s">
        <v>7476</v>
      </c>
      <c r="F470" s="184" t="s">
        <v>5078</v>
      </c>
      <c r="G470" s="235" t="s">
        <v>7350</v>
      </c>
      <c r="H470" s="509" t="s">
        <v>7473</v>
      </c>
      <c r="I470" s="194">
        <v>0</v>
      </c>
      <c r="J470" s="194">
        <v>45252</v>
      </c>
      <c r="K470" s="185">
        <v>0.9</v>
      </c>
      <c r="L470" s="183" t="s">
        <v>4711</v>
      </c>
      <c r="M470" s="184" t="s">
        <v>3726</v>
      </c>
      <c r="N470" s="184" t="s">
        <v>3726</v>
      </c>
      <c r="O470" s="233"/>
    </row>
    <row r="471" spans="1:15" s="182" customFormat="1" ht="21.95" customHeight="1" x14ac:dyDescent="0.15">
      <c r="A471" s="151" t="s">
        <v>7471</v>
      </c>
      <c r="B471" s="20" t="s">
        <v>7472</v>
      </c>
      <c r="C471" s="1108" t="s">
        <v>3351</v>
      </c>
      <c r="D471" s="1108" t="s">
        <v>3463</v>
      </c>
      <c r="E471" s="1108" t="s">
        <v>7477</v>
      </c>
      <c r="F471" s="184" t="s">
        <v>5078</v>
      </c>
      <c r="G471" s="235" t="s">
        <v>7350</v>
      </c>
      <c r="H471" s="509" t="s">
        <v>7474</v>
      </c>
      <c r="I471" s="194">
        <v>0</v>
      </c>
      <c r="J471" s="194">
        <v>86143.5</v>
      </c>
      <c r="K471" s="185">
        <v>0.9</v>
      </c>
      <c r="L471" s="183" t="s">
        <v>4711</v>
      </c>
      <c r="M471" s="184" t="s">
        <v>3726</v>
      </c>
      <c r="N471" s="184" t="s">
        <v>3726</v>
      </c>
      <c r="O471" s="233"/>
    </row>
    <row r="472" spans="1:15" s="182" customFormat="1" ht="21.95" customHeight="1" x14ac:dyDescent="0.15">
      <c r="A472" s="151" t="s">
        <v>7471</v>
      </c>
      <c r="B472" s="20" t="s">
        <v>7472</v>
      </c>
      <c r="C472" s="1108" t="s">
        <v>3351</v>
      </c>
      <c r="D472" s="1108" t="s">
        <v>3463</v>
      </c>
      <c r="E472" s="1108" t="s">
        <v>7478</v>
      </c>
      <c r="F472" s="184" t="s">
        <v>5078</v>
      </c>
      <c r="G472" s="235" t="s">
        <v>7350</v>
      </c>
      <c r="H472" s="509" t="s">
        <v>7475</v>
      </c>
      <c r="I472" s="194">
        <v>0</v>
      </c>
      <c r="J472" s="194">
        <v>86143.5</v>
      </c>
      <c r="K472" s="185">
        <v>0.9</v>
      </c>
      <c r="L472" s="183" t="s">
        <v>4711</v>
      </c>
      <c r="M472" s="184" t="s">
        <v>3726</v>
      </c>
      <c r="N472" s="184" t="s">
        <v>3726</v>
      </c>
      <c r="O472" s="233"/>
    </row>
    <row r="473" spans="1:15" s="182" customFormat="1" ht="21.95" customHeight="1" x14ac:dyDescent="0.15">
      <c r="A473" s="151" t="s">
        <v>7471</v>
      </c>
      <c r="B473" s="20" t="s">
        <v>4691</v>
      </c>
      <c r="C473" s="224" t="s">
        <v>3351</v>
      </c>
      <c r="D473" s="224" t="s">
        <v>3326</v>
      </c>
      <c r="E473" s="224" t="s">
        <v>4695</v>
      </c>
      <c r="F473" s="207" t="s">
        <v>3328</v>
      </c>
      <c r="G473" s="235" t="s">
        <v>5681</v>
      </c>
      <c r="H473" s="509">
        <v>25039</v>
      </c>
      <c r="I473" s="194">
        <v>0</v>
      </c>
      <c r="J473" s="194">
        <v>256500</v>
      </c>
      <c r="K473" s="185">
        <v>0.9</v>
      </c>
      <c r="L473" s="183" t="s">
        <v>4711</v>
      </c>
      <c r="M473" s="184" t="s">
        <v>3726</v>
      </c>
      <c r="N473" s="184" t="s">
        <v>3726</v>
      </c>
      <c r="O473" s="233"/>
    </row>
    <row r="474" spans="1:15" s="182" customFormat="1" ht="21.95" customHeight="1" x14ac:dyDescent="0.15">
      <c r="A474" s="151" t="s">
        <v>7479</v>
      </c>
      <c r="B474" s="20" t="s">
        <v>7480</v>
      </c>
      <c r="C474" s="184" t="s">
        <v>4963</v>
      </c>
      <c r="D474" s="184" t="s">
        <v>5153</v>
      </c>
      <c r="E474" s="184" t="s">
        <v>6525</v>
      </c>
      <c r="F474" s="184" t="s">
        <v>5078</v>
      </c>
      <c r="G474" s="235" t="s">
        <v>6975</v>
      </c>
      <c r="H474" s="509">
        <v>25022</v>
      </c>
      <c r="I474" s="194">
        <v>0</v>
      </c>
      <c r="J474" s="194">
        <v>29270</v>
      </c>
      <c r="K474" s="185">
        <v>0.2</v>
      </c>
      <c r="L474" s="183" t="s">
        <v>4711</v>
      </c>
      <c r="M474" s="184" t="s">
        <v>3957</v>
      </c>
      <c r="N474" s="184" t="s">
        <v>3957</v>
      </c>
      <c r="O474" s="233"/>
    </row>
    <row r="475" spans="1:15" s="182" customFormat="1" ht="21.95" customHeight="1" x14ac:dyDescent="0.15">
      <c r="A475" s="151" t="s">
        <v>7479</v>
      </c>
      <c r="B475" s="20" t="s">
        <v>7481</v>
      </c>
      <c r="C475" s="184" t="s">
        <v>4963</v>
      </c>
      <c r="D475" s="184" t="s">
        <v>5153</v>
      </c>
      <c r="E475" s="184" t="s">
        <v>6525</v>
      </c>
      <c r="F475" s="184" t="s">
        <v>5078</v>
      </c>
      <c r="G475" s="235" t="s">
        <v>6975</v>
      </c>
      <c r="H475" s="509">
        <v>25023</v>
      </c>
      <c r="I475" s="194">
        <v>0</v>
      </c>
      <c r="J475" s="194">
        <v>29270</v>
      </c>
      <c r="K475" s="185">
        <v>0.2</v>
      </c>
      <c r="L475" s="183" t="s">
        <v>4711</v>
      </c>
      <c r="M475" s="184" t="s">
        <v>3957</v>
      </c>
      <c r="N475" s="184" t="s">
        <v>3957</v>
      </c>
      <c r="O475" s="233"/>
    </row>
    <row r="476" spans="1:15" s="182" customFormat="1" ht="21.95" customHeight="1" x14ac:dyDescent="0.15">
      <c r="A476" s="151" t="s">
        <v>7482</v>
      </c>
      <c r="B476" s="20" t="s">
        <v>5147</v>
      </c>
      <c r="C476" s="184" t="s">
        <v>4941</v>
      </c>
      <c r="D476" s="184" t="s">
        <v>4942</v>
      </c>
      <c r="E476" s="184" t="s">
        <v>7485</v>
      </c>
      <c r="F476" s="184" t="s">
        <v>5078</v>
      </c>
      <c r="G476" s="235" t="s">
        <v>7486</v>
      </c>
      <c r="H476" s="1109">
        <v>25080</v>
      </c>
      <c r="I476" s="194">
        <v>0</v>
      </c>
      <c r="J476" s="194">
        <v>645119.99</v>
      </c>
      <c r="K476" s="185" t="s">
        <v>7487</v>
      </c>
      <c r="L476" s="183" t="s">
        <v>7425</v>
      </c>
      <c r="M476" s="184" t="s">
        <v>3726</v>
      </c>
      <c r="N476" s="184" t="s">
        <v>3726</v>
      </c>
      <c r="O476" s="233"/>
    </row>
    <row r="477" spans="1:15" s="182" customFormat="1" ht="21.95" customHeight="1" x14ac:dyDescent="0.15">
      <c r="A477" s="151" t="s">
        <v>7483</v>
      </c>
      <c r="B477" s="20" t="s">
        <v>7484</v>
      </c>
      <c r="C477" s="184" t="s">
        <v>5148</v>
      </c>
      <c r="D477" s="184" t="s">
        <v>5410</v>
      </c>
      <c r="E477" s="184" t="s">
        <v>6182</v>
      </c>
      <c r="F477" s="184" t="s">
        <v>5078</v>
      </c>
      <c r="G477" s="235" t="s">
        <v>5030</v>
      </c>
      <c r="H477" s="509">
        <v>24002</v>
      </c>
      <c r="I477" s="194">
        <v>0</v>
      </c>
      <c r="J477" s="194">
        <v>25000</v>
      </c>
      <c r="K477" s="185">
        <v>0.5</v>
      </c>
      <c r="L477" s="183" t="s">
        <v>4706</v>
      </c>
      <c r="M477" s="184" t="s">
        <v>4708</v>
      </c>
      <c r="N477" s="184" t="s">
        <v>4708</v>
      </c>
      <c r="O477" s="233"/>
    </row>
    <row r="478" spans="1:15" s="182" customFormat="1" ht="21.95" customHeight="1" x14ac:dyDescent="0.15">
      <c r="A478" s="151" t="s">
        <v>7488</v>
      </c>
      <c r="B478" s="20" t="s">
        <v>7427</v>
      </c>
      <c r="C478" s="399" t="s">
        <v>4982</v>
      </c>
      <c r="D478" s="399" t="s">
        <v>5018</v>
      </c>
      <c r="E478" s="399" t="s">
        <v>7187</v>
      </c>
      <c r="F478" s="184" t="s">
        <v>3328</v>
      </c>
      <c r="G478" s="235" t="s">
        <v>3378</v>
      </c>
      <c r="H478" s="509" t="s">
        <v>7186</v>
      </c>
      <c r="I478" s="194">
        <v>41739.78</v>
      </c>
      <c r="J478" s="194">
        <v>0</v>
      </c>
      <c r="K478" s="185" t="s">
        <v>7504</v>
      </c>
      <c r="L478" s="183" t="s">
        <v>7503</v>
      </c>
      <c r="M478" s="184" t="s">
        <v>5161</v>
      </c>
      <c r="N478" s="184" t="s">
        <v>3726</v>
      </c>
      <c r="O478" s="233"/>
    </row>
    <row r="479" spans="1:15" s="182" customFormat="1" ht="21.95" customHeight="1" x14ac:dyDescent="0.15">
      <c r="A479" s="151" t="s">
        <v>7488</v>
      </c>
      <c r="B479" s="20" t="s">
        <v>7427</v>
      </c>
      <c r="C479" s="399" t="s">
        <v>4982</v>
      </c>
      <c r="D479" s="399" t="s">
        <v>5018</v>
      </c>
      <c r="E479" s="399" t="s">
        <v>7187</v>
      </c>
      <c r="F479" s="184" t="s">
        <v>3937</v>
      </c>
      <c r="G479" s="235" t="s">
        <v>5300</v>
      </c>
      <c r="H479" s="509" t="s">
        <v>7502</v>
      </c>
      <c r="I479" s="194">
        <v>51434.22</v>
      </c>
      <c r="J479" s="194">
        <v>0</v>
      </c>
      <c r="K479" s="185" t="s">
        <v>7504</v>
      </c>
      <c r="L479" s="183" t="s">
        <v>7503</v>
      </c>
      <c r="M479" s="184" t="s">
        <v>5161</v>
      </c>
      <c r="N479" s="184" t="s">
        <v>3726</v>
      </c>
      <c r="O479" s="233"/>
    </row>
    <row r="480" spans="1:15" s="182" customFormat="1" ht="21.95" customHeight="1" x14ac:dyDescent="0.15">
      <c r="A480" s="151" t="s">
        <v>7489</v>
      </c>
      <c r="B480" s="20" t="s">
        <v>7490</v>
      </c>
      <c r="C480" s="945" t="s">
        <v>3371</v>
      </c>
      <c r="D480" s="945" t="s">
        <v>3572</v>
      </c>
      <c r="E480" s="952" t="s">
        <v>2909</v>
      </c>
      <c r="F480" s="292" t="s">
        <v>3328</v>
      </c>
      <c r="G480" s="235" t="s">
        <v>4371</v>
      </c>
      <c r="H480" s="509" t="s">
        <v>7505</v>
      </c>
      <c r="I480" s="194">
        <v>0</v>
      </c>
      <c r="J480" s="194">
        <v>55000</v>
      </c>
      <c r="K480" s="185">
        <v>1</v>
      </c>
      <c r="L480" s="183" t="s">
        <v>4707</v>
      </c>
      <c r="M480" s="184" t="s">
        <v>3433</v>
      </c>
      <c r="N480" s="184" t="s">
        <v>3433</v>
      </c>
      <c r="O480" s="233"/>
    </row>
    <row r="481" spans="1:15" s="182" customFormat="1" ht="21.95" customHeight="1" x14ac:dyDescent="0.15">
      <c r="A481" s="151" t="s">
        <v>7489</v>
      </c>
      <c r="B481" s="20" t="s">
        <v>622</v>
      </c>
      <c r="C481" s="945" t="s">
        <v>3371</v>
      </c>
      <c r="D481" s="945" t="s">
        <v>3572</v>
      </c>
      <c r="E481" s="952" t="s">
        <v>39</v>
      </c>
      <c r="F481" s="292" t="s">
        <v>3328</v>
      </c>
      <c r="G481" s="235" t="s">
        <v>4371</v>
      </c>
      <c r="H481" s="509" t="s">
        <v>7506</v>
      </c>
      <c r="I481" s="194">
        <v>0</v>
      </c>
      <c r="J481" s="194">
        <v>55000</v>
      </c>
      <c r="K481" s="185">
        <v>1</v>
      </c>
      <c r="L481" s="183" t="s">
        <v>4707</v>
      </c>
      <c r="M481" s="184" t="s">
        <v>3433</v>
      </c>
      <c r="N481" s="184" t="s">
        <v>3433</v>
      </c>
      <c r="O481" s="233"/>
    </row>
    <row r="482" spans="1:15" s="182" customFormat="1" ht="21.95" customHeight="1" x14ac:dyDescent="0.15">
      <c r="A482" s="151" t="s">
        <v>7489</v>
      </c>
      <c r="B482" s="20" t="s">
        <v>568</v>
      </c>
      <c r="C482" s="184" t="s">
        <v>4963</v>
      </c>
      <c r="D482" s="184" t="s">
        <v>5422</v>
      </c>
      <c r="E482" s="184" t="s">
        <v>843</v>
      </c>
      <c r="F482" s="419" t="s">
        <v>3328</v>
      </c>
      <c r="G482" s="235" t="s">
        <v>6531</v>
      </c>
      <c r="H482" s="509">
        <v>23042</v>
      </c>
      <c r="I482" s="194">
        <v>0</v>
      </c>
      <c r="J482" s="194">
        <v>184000</v>
      </c>
      <c r="K482" s="185">
        <v>1</v>
      </c>
      <c r="L482" s="183" t="s">
        <v>4706</v>
      </c>
      <c r="M482" s="184" t="s">
        <v>3433</v>
      </c>
      <c r="N482" s="184" t="s">
        <v>3433</v>
      </c>
      <c r="O482" s="233"/>
    </row>
    <row r="483" spans="1:15" s="182" customFormat="1" ht="21.95" customHeight="1" x14ac:dyDescent="0.15">
      <c r="A483" s="151" t="s">
        <v>7491</v>
      </c>
      <c r="B483" s="20" t="s">
        <v>5113</v>
      </c>
      <c r="C483" s="945" t="s">
        <v>3371</v>
      </c>
      <c r="D483" s="945" t="s">
        <v>3572</v>
      </c>
      <c r="E483" s="952" t="s">
        <v>7508</v>
      </c>
      <c r="F483" s="292" t="s">
        <v>3328</v>
      </c>
      <c r="G483" s="235" t="s">
        <v>4371</v>
      </c>
      <c r="H483" s="509" t="s">
        <v>7507</v>
      </c>
      <c r="I483" s="194">
        <v>0</v>
      </c>
      <c r="J483" s="194">
        <v>55000</v>
      </c>
      <c r="K483" s="185">
        <v>1</v>
      </c>
      <c r="L483" s="183" t="s">
        <v>4707</v>
      </c>
      <c r="M483" s="184" t="s">
        <v>3433</v>
      </c>
      <c r="N483" s="184" t="s">
        <v>3433</v>
      </c>
      <c r="O483" s="233"/>
    </row>
    <row r="484" spans="1:15" s="182" customFormat="1" ht="21.75" customHeight="1" x14ac:dyDescent="0.15">
      <c r="A484" s="151" t="s">
        <v>7491</v>
      </c>
      <c r="B484" s="20" t="s">
        <v>7493</v>
      </c>
      <c r="C484" s="945" t="s">
        <v>3371</v>
      </c>
      <c r="D484" s="945" t="s">
        <v>3572</v>
      </c>
      <c r="E484" s="952" t="s">
        <v>2908</v>
      </c>
      <c r="F484" s="292" t="s">
        <v>3328</v>
      </c>
      <c r="G484" s="235" t="s">
        <v>4371</v>
      </c>
      <c r="H484" s="509" t="s">
        <v>7509</v>
      </c>
      <c r="I484" s="194">
        <v>0</v>
      </c>
      <c r="J484" s="194">
        <v>55000</v>
      </c>
      <c r="K484" s="185">
        <v>1</v>
      </c>
      <c r="L484" s="183" t="s">
        <v>4707</v>
      </c>
      <c r="M484" s="184" t="s">
        <v>3433</v>
      </c>
      <c r="N484" s="184" t="s">
        <v>3433</v>
      </c>
      <c r="O484" s="233"/>
    </row>
    <row r="485" spans="1:15" s="182" customFormat="1" ht="21.95" customHeight="1" x14ac:dyDescent="0.15">
      <c r="A485" s="151" t="s">
        <v>7491</v>
      </c>
      <c r="B485" s="20" t="s">
        <v>7492</v>
      </c>
      <c r="C485" s="945" t="s">
        <v>3371</v>
      </c>
      <c r="D485" s="945" t="s">
        <v>3572</v>
      </c>
      <c r="E485" s="952" t="s">
        <v>7511</v>
      </c>
      <c r="F485" s="292" t="s">
        <v>3328</v>
      </c>
      <c r="G485" s="235" t="s">
        <v>4371</v>
      </c>
      <c r="H485" s="509" t="s">
        <v>7510</v>
      </c>
      <c r="I485" s="194">
        <v>0</v>
      </c>
      <c r="J485" s="194">
        <v>55000</v>
      </c>
      <c r="K485" s="185">
        <v>1</v>
      </c>
      <c r="L485" s="183" t="s">
        <v>4707</v>
      </c>
      <c r="M485" s="184" t="s">
        <v>3433</v>
      </c>
      <c r="N485" s="184" t="s">
        <v>3433</v>
      </c>
      <c r="O485" s="233"/>
    </row>
    <row r="486" spans="1:15" s="182" customFormat="1" ht="21.95" customHeight="1" x14ac:dyDescent="0.15">
      <c r="A486" s="151" t="s">
        <v>7491</v>
      </c>
      <c r="B486" s="20" t="s">
        <v>7494</v>
      </c>
      <c r="C486" s="945" t="s">
        <v>3371</v>
      </c>
      <c r="D486" s="945" t="s">
        <v>3572</v>
      </c>
      <c r="E486" s="952" t="s">
        <v>7513</v>
      </c>
      <c r="F486" s="184" t="s">
        <v>4944</v>
      </c>
      <c r="G486" s="235" t="s">
        <v>4371</v>
      </c>
      <c r="H486" s="509" t="s">
        <v>7512</v>
      </c>
      <c r="I486" s="194">
        <v>0</v>
      </c>
      <c r="J486" s="194">
        <v>55000</v>
      </c>
      <c r="K486" s="185">
        <v>1</v>
      </c>
      <c r="L486" s="183" t="s">
        <v>4707</v>
      </c>
      <c r="M486" s="184" t="s">
        <v>3433</v>
      </c>
      <c r="N486" s="184" t="s">
        <v>3433</v>
      </c>
      <c r="O486" s="233"/>
    </row>
    <row r="487" spans="1:15" s="182" customFormat="1" ht="21.95" customHeight="1" x14ac:dyDescent="0.15">
      <c r="A487" s="151" t="s">
        <v>7491</v>
      </c>
      <c r="B487" s="20" t="s">
        <v>7495</v>
      </c>
      <c r="C487" s="945" t="s">
        <v>3371</v>
      </c>
      <c r="D487" s="945" t="s">
        <v>3572</v>
      </c>
      <c r="E487" s="952" t="s">
        <v>7516</v>
      </c>
      <c r="F487" s="292" t="s">
        <v>3328</v>
      </c>
      <c r="G487" s="235" t="s">
        <v>4371</v>
      </c>
      <c r="H487" s="509" t="s">
        <v>7514</v>
      </c>
      <c r="I487" s="194">
        <v>0</v>
      </c>
      <c r="J487" s="194">
        <v>55000</v>
      </c>
      <c r="K487" s="185">
        <v>1</v>
      </c>
      <c r="L487" s="183" t="s">
        <v>4707</v>
      </c>
      <c r="M487" s="184" t="s">
        <v>3433</v>
      </c>
      <c r="N487" s="184" t="s">
        <v>3433</v>
      </c>
      <c r="O487" s="233"/>
    </row>
    <row r="488" spans="1:15" s="182" customFormat="1" ht="21.95" customHeight="1" x14ac:dyDescent="0.15">
      <c r="A488" s="151" t="s">
        <v>7491</v>
      </c>
      <c r="B488" s="20" t="s">
        <v>7495</v>
      </c>
      <c r="C488" s="945" t="s">
        <v>3371</v>
      </c>
      <c r="D488" s="945" t="s">
        <v>3572</v>
      </c>
      <c r="E488" s="952" t="s">
        <v>4016</v>
      </c>
      <c r="F488" s="184" t="s">
        <v>4944</v>
      </c>
      <c r="G488" s="235" t="s">
        <v>4371</v>
      </c>
      <c r="H488" s="509" t="s">
        <v>7515</v>
      </c>
      <c r="I488" s="194">
        <v>0</v>
      </c>
      <c r="J488" s="194">
        <v>55000</v>
      </c>
      <c r="K488" s="185">
        <v>1</v>
      </c>
      <c r="L488" s="183" t="s">
        <v>4707</v>
      </c>
      <c r="M488" s="184" t="s">
        <v>3433</v>
      </c>
      <c r="N488" s="184" t="s">
        <v>3433</v>
      </c>
      <c r="O488" s="233"/>
    </row>
    <row r="489" spans="1:15" s="182" customFormat="1" ht="21.95" customHeight="1" x14ac:dyDescent="0.15">
      <c r="A489" s="151" t="s">
        <v>7491</v>
      </c>
      <c r="B489" s="20" t="s">
        <v>7452</v>
      </c>
      <c r="C489" s="184" t="s">
        <v>3985</v>
      </c>
      <c r="D489" s="184" t="s">
        <v>6480</v>
      </c>
      <c r="E489" s="184" t="s">
        <v>6481</v>
      </c>
      <c r="F489" s="184" t="s">
        <v>3344</v>
      </c>
      <c r="G489" s="235" t="s">
        <v>7403</v>
      </c>
      <c r="H489" s="509" t="s">
        <v>7517</v>
      </c>
      <c r="I489" s="194">
        <v>0</v>
      </c>
      <c r="J489" s="194">
        <v>20000</v>
      </c>
      <c r="K489" s="185">
        <v>1</v>
      </c>
      <c r="L489" s="183" t="s">
        <v>4707</v>
      </c>
      <c r="M489" s="184" t="s">
        <v>3957</v>
      </c>
      <c r="N489" s="184" t="s">
        <v>3957</v>
      </c>
      <c r="O489" s="233"/>
    </row>
    <row r="490" spans="1:15" s="182" customFormat="1" ht="21.95" customHeight="1" x14ac:dyDescent="0.15">
      <c r="A490" s="151" t="s">
        <v>7491</v>
      </c>
      <c r="B490" s="20" t="s">
        <v>7452</v>
      </c>
      <c r="C490" s="184" t="s">
        <v>3985</v>
      </c>
      <c r="D490" s="184" t="s">
        <v>6480</v>
      </c>
      <c r="E490" s="184" t="s">
        <v>7524</v>
      </c>
      <c r="F490" s="184" t="s">
        <v>3344</v>
      </c>
      <c r="G490" s="235" t="s">
        <v>7403</v>
      </c>
      <c r="H490" s="509" t="s">
        <v>7518</v>
      </c>
      <c r="I490" s="194">
        <v>0</v>
      </c>
      <c r="J490" s="194">
        <v>20000</v>
      </c>
      <c r="K490" s="185">
        <v>1</v>
      </c>
      <c r="L490" s="183" t="s">
        <v>4707</v>
      </c>
      <c r="M490" s="184" t="s">
        <v>3957</v>
      </c>
      <c r="N490" s="184" t="s">
        <v>3957</v>
      </c>
      <c r="O490" s="233"/>
    </row>
    <row r="491" spans="1:15" s="182" customFormat="1" ht="21.95" customHeight="1" x14ac:dyDescent="0.15">
      <c r="A491" s="151" t="s">
        <v>7491</v>
      </c>
      <c r="B491" s="20" t="s">
        <v>7452</v>
      </c>
      <c r="C491" s="184" t="s">
        <v>3985</v>
      </c>
      <c r="D491" s="184" t="s">
        <v>6480</v>
      </c>
      <c r="E491" s="184" t="s">
        <v>7525</v>
      </c>
      <c r="F491" s="184" t="s">
        <v>3344</v>
      </c>
      <c r="G491" s="235" t="s">
        <v>7403</v>
      </c>
      <c r="H491" s="509" t="s">
        <v>7519</v>
      </c>
      <c r="I491" s="194">
        <v>0</v>
      </c>
      <c r="J491" s="194">
        <v>20000</v>
      </c>
      <c r="K491" s="185">
        <v>1</v>
      </c>
      <c r="L491" s="183" t="s">
        <v>4707</v>
      </c>
      <c r="M491" s="184" t="s">
        <v>3957</v>
      </c>
      <c r="N491" s="184" t="s">
        <v>3957</v>
      </c>
      <c r="O491" s="233"/>
    </row>
    <row r="492" spans="1:15" s="182" customFormat="1" ht="21.95" customHeight="1" x14ac:dyDescent="0.15">
      <c r="A492" s="151" t="s">
        <v>7491</v>
      </c>
      <c r="B492" s="20" t="s">
        <v>7452</v>
      </c>
      <c r="C492" s="184" t="s">
        <v>3985</v>
      </c>
      <c r="D492" s="184" t="s">
        <v>6480</v>
      </c>
      <c r="E492" s="184" t="s">
        <v>6482</v>
      </c>
      <c r="F492" s="184" t="s">
        <v>3344</v>
      </c>
      <c r="G492" s="235" t="s">
        <v>7403</v>
      </c>
      <c r="H492" s="509" t="s">
        <v>7520</v>
      </c>
      <c r="I492" s="194">
        <v>0</v>
      </c>
      <c r="J492" s="194">
        <v>20000</v>
      </c>
      <c r="K492" s="185">
        <v>1</v>
      </c>
      <c r="L492" s="183" t="s">
        <v>4707</v>
      </c>
      <c r="M492" s="184" t="s">
        <v>3957</v>
      </c>
      <c r="N492" s="184" t="s">
        <v>3957</v>
      </c>
      <c r="O492" s="233"/>
    </row>
    <row r="493" spans="1:15" s="182" customFormat="1" ht="21.95" customHeight="1" x14ac:dyDescent="0.15">
      <c r="A493" s="151" t="s">
        <v>7491</v>
      </c>
      <c r="B493" s="20" t="s">
        <v>7452</v>
      </c>
      <c r="C493" s="184" t="s">
        <v>3985</v>
      </c>
      <c r="D493" s="184" t="s">
        <v>3572</v>
      </c>
      <c r="E493" s="184" t="s">
        <v>7135</v>
      </c>
      <c r="F493" s="184" t="s">
        <v>3344</v>
      </c>
      <c r="G493" s="235" t="s">
        <v>7403</v>
      </c>
      <c r="H493" s="509" t="s">
        <v>7521</v>
      </c>
      <c r="I493" s="194">
        <v>0</v>
      </c>
      <c r="J493" s="194">
        <v>20000</v>
      </c>
      <c r="K493" s="185">
        <v>1</v>
      </c>
      <c r="L493" s="183" t="s">
        <v>4707</v>
      </c>
      <c r="M493" s="184" t="s">
        <v>3957</v>
      </c>
      <c r="N493" s="184" t="s">
        <v>3957</v>
      </c>
      <c r="O493" s="233"/>
    </row>
    <row r="494" spans="1:15" s="182" customFormat="1" ht="21.95" customHeight="1" x14ac:dyDescent="0.15">
      <c r="A494" s="151" t="s">
        <v>7491</v>
      </c>
      <c r="B494" s="20" t="s">
        <v>7452</v>
      </c>
      <c r="C494" s="184" t="s">
        <v>3985</v>
      </c>
      <c r="D494" s="184" t="s">
        <v>6480</v>
      </c>
      <c r="E494" s="184" t="s">
        <v>6481</v>
      </c>
      <c r="F494" s="184" t="s">
        <v>3332</v>
      </c>
      <c r="G494" s="235" t="s">
        <v>7403</v>
      </c>
      <c r="H494" s="509" t="s">
        <v>7522</v>
      </c>
      <c r="I494" s="194">
        <v>0</v>
      </c>
      <c r="J494" s="194">
        <v>20000</v>
      </c>
      <c r="K494" s="185">
        <v>1</v>
      </c>
      <c r="L494" s="183" t="s">
        <v>4707</v>
      </c>
      <c r="M494" s="184" t="s">
        <v>3957</v>
      </c>
      <c r="N494" s="184" t="s">
        <v>3957</v>
      </c>
      <c r="O494" s="233"/>
    </row>
    <row r="495" spans="1:15" s="182" customFormat="1" ht="21.95" customHeight="1" x14ac:dyDescent="0.15">
      <c r="A495" s="151" t="s">
        <v>7491</v>
      </c>
      <c r="B495" s="20" t="s">
        <v>7452</v>
      </c>
      <c r="C495" s="184" t="s">
        <v>3985</v>
      </c>
      <c r="D495" s="184" t="s">
        <v>6480</v>
      </c>
      <c r="E495" s="184" t="s">
        <v>6482</v>
      </c>
      <c r="F495" s="184" t="s">
        <v>3332</v>
      </c>
      <c r="G495" s="235" t="s">
        <v>7403</v>
      </c>
      <c r="H495" s="509" t="s">
        <v>7523</v>
      </c>
      <c r="I495" s="194">
        <v>0</v>
      </c>
      <c r="J495" s="194">
        <v>20000</v>
      </c>
      <c r="K495" s="185">
        <v>1</v>
      </c>
      <c r="L495" s="183" t="s">
        <v>4707</v>
      </c>
      <c r="M495" s="184" t="s">
        <v>3957</v>
      </c>
      <c r="N495" s="184" t="s">
        <v>3957</v>
      </c>
      <c r="O495" s="233"/>
    </row>
    <row r="496" spans="1:15" s="182" customFormat="1" ht="21.95" customHeight="1" x14ac:dyDescent="0.15">
      <c r="A496" s="151" t="s">
        <v>7491</v>
      </c>
      <c r="B496" s="20" t="s">
        <v>5045</v>
      </c>
      <c r="C496" s="945" t="s">
        <v>3371</v>
      </c>
      <c r="D496" s="945" t="s">
        <v>3572</v>
      </c>
      <c r="E496" s="952" t="s">
        <v>2925</v>
      </c>
      <c r="F496" s="184" t="s">
        <v>4944</v>
      </c>
      <c r="G496" s="235" t="s">
        <v>4371</v>
      </c>
      <c r="H496" s="509" t="s">
        <v>7526</v>
      </c>
      <c r="I496" s="194">
        <v>0</v>
      </c>
      <c r="J496" s="194">
        <v>27500</v>
      </c>
      <c r="K496" s="185">
        <v>1</v>
      </c>
      <c r="L496" s="183" t="s">
        <v>4707</v>
      </c>
      <c r="M496" s="184" t="s">
        <v>3433</v>
      </c>
      <c r="N496" s="184" t="s">
        <v>3433</v>
      </c>
      <c r="O496" s="233"/>
    </row>
    <row r="497" spans="1:15" s="182" customFormat="1" ht="21.95" customHeight="1" x14ac:dyDescent="0.15">
      <c r="A497" s="151" t="s">
        <v>7491</v>
      </c>
      <c r="B497" s="20" t="s">
        <v>5045</v>
      </c>
      <c r="C497" s="945" t="s">
        <v>3371</v>
      </c>
      <c r="D497" s="945" t="s">
        <v>3572</v>
      </c>
      <c r="E497" s="952" t="s">
        <v>7528</v>
      </c>
      <c r="F497" s="184" t="s">
        <v>4944</v>
      </c>
      <c r="G497" s="235" t="s">
        <v>4371</v>
      </c>
      <c r="H497" s="509" t="s">
        <v>7527</v>
      </c>
      <c r="I497" s="194">
        <v>0</v>
      </c>
      <c r="J497" s="194">
        <v>27500</v>
      </c>
      <c r="K497" s="185">
        <v>1</v>
      </c>
      <c r="L497" s="183" t="s">
        <v>4707</v>
      </c>
      <c r="M497" s="184" t="s">
        <v>3433</v>
      </c>
      <c r="N497" s="184" t="s">
        <v>3433</v>
      </c>
      <c r="O497" s="233"/>
    </row>
    <row r="498" spans="1:15" s="182" customFormat="1" ht="21.95" customHeight="1" x14ac:dyDescent="0.15">
      <c r="A498" s="151" t="s">
        <v>7496</v>
      </c>
      <c r="B498" s="20" t="s">
        <v>4681</v>
      </c>
      <c r="C498" s="399" t="s">
        <v>5148</v>
      </c>
      <c r="D498" s="399" t="s">
        <v>5098</v>
      </c>
      <c r="E498" s="399" t="s">
        <v>5149</v>
      </c>
      <c r="F498" s="184" t="s">
        <v>5078</v>
      </c>
      <c r="G498" s="235" t="s">
        <v>4923</v>
      </c>
      <c r="H498" s="509">
        <v>21132</v>
      </c>
      <c r="I498" s="194">
        <v>0</v>
      </c>
      <c r="J498" s="194">
        <v>1520</v>
      </c>
      <c r="K498" s="185">
        <v>0.1</v>
      </c>
      <c r="L498" s="183" t="s">
        <v>4724</v>
      </c>
      <c r="M498" s="184" t="s">
        <v>4708</v>
      </c>
      <c r="N498" s="184" t="s">
        <v>4708</v>
      </c>
      <c r="O498" s="233"/>
    </row>
    <row r="499" spans="1:15" s="182" customFormat="1" ht="21.95" customHeight="1" x14ac:dyDescent="0.15">
      <c r="A499" s="151" t="s">
        <v>7496</v>
      </c>
      <c r="B499" s="20" t="s">
        <v>4681</v>
      </c>
      <c r="C499" s="399" t="s">
        <v>5148</v>
      </c>
      <c r="D499" s="399" t="s">
        <v>5098</v>
      </c>
      <c r="E499" s="399" t="s">
        <v>5149</v>
      </c>
      <c r="F499" s="184" t="s">
        <v>5078</v>
      </c>
      <c r="G499" s="235" t="s">
        <v>5793</v>
      </c>
      <c r="H499" s="509">
        <v>22086</v>
      </c>
      <c r="I499" s="194">
        <v>0</v>
      </c>
      <c r="J499" s="194">
        <v>7150</v>
      </c>
      <c r="K499" s="185">
        <v>0.1</v>
      </c>
      <c r="L499" s="183" t="s">
        <v>4724</v>
      </c>
      <c r="M499" s="184" t="s">
        <v>4708</v>
      </c>
      <c r="N499" s="184" t="s">
        <v>4708</v>
      </c>
      <c r="O499" s="233"/>
    </row>
    <row r="500" spans="1:15" s="182" customFormat="1" ht="21.95" customHeight="1" x14ac:dyDescent="0.15">
      <c r="A500" s="151" t="s">
        <v>7496</v>
      </c>
      <c r="B500" s="20" t="s">
        <v>4681</v>
      </c>
      <c r="C500" s="399" t="s">
        <v>5148</v>
      </c>
      <c r="D500" s="399" t="s">
        <v>5098</v>
      </c>
      <c r="E500" s="399" t="s">
        <v>5149</v>
      </c>
      <c r="F500" s="184" t="s">
        <v>5078</v>
      </c>
      <c r="G500" s="235" t="s">
        <v>4923</v>
      </c>
      <c r="H500" s="981">
        <v>22143</v>
      </c>
      <c r="I500" s="194">
        <v>0</v>
      </c>
      <c r="J500" s="194">
        <v>2000</v>
      </c>
      <c r="K500" s="185">
        <v>0.1</v>
      </c>
      <c r="L500" s="183" t="s">
        <v>4724</v>
      </c>
      <c r="M500" s="184" t="s">
        <v>4708</v>
      </c>
      <c r="N500" s="184" t="s">
        <v>4708</v>
      </c>
      <c r="O500" s="233"/>
    </row>
    <row r="501" spans="1:15" s="182" customFormat="1" ht="21.95" customHeight="1" x14ac:dyDescent="0.15">
      <c r="A501" s="151" t="s">
        <v>7496</v>
      </c>
      <c r="B501" s="20" t="s">
        <v>5106</v>
      </c>
      <c r="C501" s="184" t="s">
        <v>7533</v>
      </c>
      <c r="D501" s="184" t="s">
        <v>4089</v>
      </c>
      <c r="E501" s="184" t="s">
        <v>7534</v>
      </c>
      <c r="F501" s="184" t="s">
        <v>3332</v>
      </c>
      <c r="G501" s="235" t="s">
        <v>5021</v>
      </c>
      <c r="H501" s="509" t="s">
        <v>7529</v>
      </c>
      <c r="I501" s="194">
        <v>0</v>
      </c>
      <c r="J501" s="194">
        <v>60000</v>
      </c>
      <c r="K501" s="185">
        <v>1</v>
      </c>
      <c r="L501" s="183" t="s">
        <v>4707</v>
      </c>
      <c r="M501" s="184" t="s">
        <v>3433</v>
      </c>
      <c r="N501" s="184" t="s">
        <v>3433</v>
      </c>
      <c r="O501" s="233"/>
    </row>
    <row r="502" spans="1:15" s="182" customFormat="1" ht="21.95" customHeight="1" x14ac:dyDescent="0.15">
      <c r="A502" s="151" t="s">
        <v>7496</v>
      </c>
      <c r="B502" s="20" t="s">
        <v>5106</v>
      </c>
      <c r="C502" s="184" t="s">
        <v>7533</v>
      </c>
      <c r="D502" s="184" t="s">
        <v>4089</v>
      </c>
      <c r="E502" s="184" t="s">
        <v>7535</v>
      </c>
      <c r="F502" s="184" t="s">
        <v>3332</v>
      </c>
      <c r="G502" s="235" t="s">
        <v>5021</v>
      </c>
      <c r="H502" s="509" t="s">
        <v>7530</v>
      </c>
      <c r="I502" s="194">
        <v>0</v>
      </c>
      <c r="J502" s="194">
        <v>30000</v>
      </c>
      <c r="K502" s="185">
        <v>1</v>
      </c>
      <c r="L502" s="183" t="s">
        <v>4707</v>
      </c>
      <c r="M502" s="184" t="s">
        <v>3433</v>
      </c>
      <c r="N502" s="184" t="s">
        <v>3433</v>
      </c>
      <c r="O502" s="233"/>
    </row>
    <row r="503" spans="1:15" s="182" customFormat="1" ht="21.95" customHeight="1" x14ac:dyDescent="0.15">
      <c r="A503" s="151" t="s">
        <v>7496</v>
      </c>
      <c r="B503" s="20" t="s">
        <v>5106</v>
      </c>
      <c r="C503" s="184" t="s">
        <v>7533</v>
      </c>
      <c r="D503" s="184" t="s">
        <v>4089</v>
      </c>
      <c r="E503" s="184" t="s">
        <v>5568</v>
      </c>
      <c r="F503" s="184" t="s">
        <v>3332</v>
      </c>
      <c r="G503" s="235" t="s">
        <v>5021</v>
      </c>
      <c r="H503" s="509" t="s">
        <v>7531</v>
      </c>
      <c r="I503" s="194">
        <v>0</v>
      </c>
      <c r="J503" s="194">
        <v>30000</v>
      </c>
      <c r="K503" s="185">
        <v>1</v>
      </c>
      <c r="L503" s="183" t="s">
        <v>4707</v>
      </c>
      <c r="M503" s="184" t="s">
        <v>3433</v>
      </c>
      <c r="N503" s="184" t="s">
        <v>3433</v>
      </c>
      <c r="O503" s="233"/>
    </row>
    <row r="504" spans="1:15" s="182" customFormat="1" ht="21.95" customHeight="1" x14ac:dyDescent="0.15">
      <c r="A504" s="151" t="s">
        <v>7496</v>
      </c>
      <c r="B504" s="20" t="s">
        <v>5106</v>
      </c>
      <c r="C504" s="184" t="s">
        <v>7533</v>
      </c>
      <c r="D504" s="184" t="s">
        <v>4089</v>
      </c>
      <c r="E504" s="184" t="s">
        <v>7536</v>
      </c>
      <c r="F504" s="184" t="s">
        <v>3332</v>
      </c>
      <c r="G504" s="235" t="s">
        <v>5021</v>
      </c>
      <c r="H504" s="509" t="s">
        <v>7532</v>
      </c>
      <c r="I504" s="194">
        <v>0</v>
      </c>
      <c r="J504" s="194">
        <v>30000</v>
      </c>
      <c r="K504" s="185">
        <v>1</v>
      </c>
      <c r="L504" s="183" t="s">
        <v>4707</v>
      </c>
      <c r="M504" s="184" t="s">
        <v>3433</v>
      </c>
      <c r="N504" s="184" t="s">
        <v>3433</v>
      </c>
      <c r="O504" s="233"/>
    </row>
    <row r="505" spans="1:15" s="182" customFormat="1" ht="21.95" customHeight="1" x14ac:dyDescent="0.15">
      <c r="A505" s="151" t="s">
        <v>7496</v>
      </c>
      <c r="B505" s="20" t="s">
        <v>7497</v>
      </c>
      <c r="C505" s="224" t="s">
        <v>3325</v>
      </c>
      <c r="D505" s="224" t="s">
        <v>3439</v>
      </c>
      <c r="E505" s="180" t="s">
        <v>4102</v>
      </c>
      <c r="F505" s="224" t="s">
        <v>3340</v>
      </c>
      <c r="G505" s="235" t="s">
        <v>5030</v>
      </c>
      <c r="H505" s="509">
        <v>25065</v>
      </c>
      <c r="I505" s="194">
        <v>0</v>
      </c>
      <c r="J505" s="194">
        <v>62667</v>
      </c>
      <c r="K505" s="185">
        <v>1</v>
      </c>
      <c r="L505" s="183" t="s">
        <v>4706</v>
      </c>
      <c r="M505" s="184" t="s">
        <v>3433</v>
      </c>
      <c r="N505" s="184" t="s">
        <v>3433</v>
      </c>
      <c r="O505" s="233"/>
    </row>
    <row r="506" spans="1:15" s="182" customFormat="1" ht="21.95" customHeight="1" x14ac:dyDescent="0.15">
      <c r="A506" s="151" t="s">
        <v>7498</v>
      </c>
      <c r="B506" s="20" t="s">
        <v>7457</v>
      </c>
      <c r="C506" s="399" t="s">
        <v>4941</v>
      </c>
      <c r="D506" s="399" t="s">
        <v>4942</v>
      </c>
      <c r="E506" s="399" t="s">
        <v>6576</v>
      </c>
      <c r="F506" s="224" t="s">
        <v>3328</v>
      </c>
      <c r="G506" s="239" t="s">
        <v>3566</v>
      </c>
      <c r="H506" s="509">
        <v>23129</v>
      </c>
      <c r="I506" s="194">
        <v>0</v>
      </c>
      <c r="J506" s="194">
        <v>40800</v>
      </c>
      <c r="K506" s="185">
        <v>0.2</v>
      </c>
      <c r="L506" s="183" t="s">
        <v>4706</v>
      </c>
      <c r="M506" s="184" t="s">
        <v>3726</v>
      </c>
      <c r="N506" s="184" t="s">
        <v>3726</v>
      </c>
      <c r="O506" s="233"/>
    </row>
    <row r="507" spans="1:15" s="182" customFormat="1" ht="21.95" customHeight="1" x14ac:dyDescent="0.15">
      <c r="A507" s="151" t="s">
        <v>7498</v>
      </c>
      <c r="B507" s="20" t="s">
        <v>637</v>
      </c>
      <c r="C507" s="1111" t="s">
        <v>5567</v>
      </c>
      <c r="D507" s="1111" t="s">
        <v>4942</v>
      </c>
      <c r="E507" s="1111" t="s">
        <v>5728</v>
      </c>
      <c r="F507" s="184" t="s">
        <v>5078</v>
      </c>
      <c r="G507" s="235" t="s">
        <v>6004</v>
      </c>
      <c r="H507" s="509">
        <v>25095</v>
      </c>
      <c r="I507" s="194">
        <v>0</v>
      </c>
      <c r="J507" s="194">
        <v>43000</v>
      </c>
      <c r="K507" s="185">
        <v>1</v>
      </c>
      <c r="L507" s="183" t="s">
        <v>4706</v>
      </c>
      <c r="M507" s="184" t="s">
        <v>3957</v>
      </c>
      <c r="N507" s="184" t="s">
        <v>3957</v>
      </c>
      <c r="O507" s="233"/>
    </row>
    <row r="508" spans="1:15" s="182" customFormat="1" ht="21.95" customHeight="1" x14ac:dyDescent="0.15">
      <c r="A508" s="151" t="s">
        <v>7498</v>
      </c>
      <c r="B508" s="20" t="s">
        <v>4169</v>
      </c>
      <c r="C508" s="224" t="s">
        <v>3363</v>
      </c>
      <c r="D508" s="224" t="s">
        <v>3457</v>
      </c>
      <c r="E508" s="224" t="s">
        <v>3458</v>
      </c>
      <c r="F508" s="184" t="s">
        <v>5078</v>
      </c>
      <c r="G508" s="235" t="s">
        <v>7316</v>
      </c>
      <c r="H508" s="1110">
        <v>25142</v>
      </c>
      <c r="I508" s="194">
        <v>0</v>
      </c>
      <c r="J508" s="194">
        <v>37000</v>
      </c>
      <c r="K508" s="185">
        <v>1</v>
      </c>
      <c r="L508" s="183" t="s">
        <v>4707</v>
      </c>
      <c r="M508" s="184" t="s">
        <v>3957</v>
      </c>
      <c r="N508" s="184" t="s">
        <v>3957</v>
      </c>
      <c r="O508" s="233"/>
    </row>
    <row r="509" spans="1:15" s="182" customFormat="1" ht="21.95" customHeight="1" x14ac:dyDescent="0.15">
      <c r="A509" s="151" t="s">
        <v>7499</v>
      </c>
      <c r="B509" s="20" t="s">
        <v>7500</v>
      </c>
      <c r="C509" s="391" t="s">
        <v>3351</v>
      </c>
      <c r="D509" s="393" t="s">
        <v>3354</v>
      </c>
      <c r="E509" s="394" t="s">
        <v>5874</v>
      </c>
      <c r="F509" s="224" t="s">
        <v>4178</v>
      </c>
      <c r="G509" s="235" t="s">
        <v>3386</v>
      </c>
      <c r="H509" s="509">
        <v>21185</v>
      </c>
      <c r="I509" s="194">
        <v>0</v>
      </c>
      <c r="J509" s="194">
        <v>6000</v>
      </c>
      <c r="K509" s="185">
        <v>0.1</v>
      </c>
      <c r="L509" s="183" t="s">
        <v>4724</v>
      </c>
      <c r="M509" s="184" t="s">
        <v>3726</v>
      </c>
      <c r="N509" s="184" t="s">
        <v>5255</v>
      </c>
      <c r="O509" s="233"/>
    </row>
    <row r="510" spans="1:15" s="182" customFormat="1" ht="21.95" customHeight="1" x14ac:dyDescent="0.15">
      <c r="A510" s="151" t="s">
        <v>7499</v>
      </c>
      <c r="B510" s="20" t="s">
        <v>7501</v>
      </c>
      <c r="C510" s="184" t="s">
        <v>4941</v>
      </c>
      <c r="D510" s="184" t="s">
        <v>5076</v>
      </c>
      <c r="E510" s="224" t="s">
        <v>7537</v>
      </c>
      <c r="F510" s="184" t="s">
        <v>7538</v>
      </c>
      <c r="G510" s="235" t="s">
        <v>7539</v>
      </c>
      <c r="H510" s="509">
        <v>25143</v>
      </c>
      <c r="I510" s="194">
        <v>0</v>
      </c>
      <c r="J510" s="194">
        <v>199500</v>
      </c>
      <c r="K510" s="185">
        <v>0.3</v>
      </c>
      <c r="L510" s="183" t="s">
        <v>4707</v>
      </c>
      <c r="M510" s="184" t="s">
        <v>3726</v>
      </c>
      <c r="N510" s="184" t="s">
        <v>5255</v>
      </c>
      <c r="O510" s="233"/>
    </row>
    <row r="511" spans="1:15" s="182" customFormat="1" ht="21.95" customHeight="1" x14ac:dyDescent="0.15">
      <c r="A511" s="151" t="s">
        <v>7540</v>
      </c>
      <c r="B511" s="20" t="s">
        <v>5993</v>
      </c>
      <c r="C511" s="1031" t="s">
        <v>3325</v>
      </c>
      <c r="D511" s="1031" t="s">
        <v>3457</v>
      </c>
      <c r="E511" s="1032" t="s">
        <v>83</v>
      </c>
      <c r="F511" s="1031" t="s">
        <v>3328</v>
      </c>
      <c r="G511" s="1033" t="s">
        <v>3349</v>
      </c>
      <c r="H511" s="509">
        <v>25073</v>
      </c>
      <c r="I511" s="194">
        <v>0</v>
      </c>
      <c r="J511" s="194">
        <v>52500</v>
      </c>
      <c r="K511" s="185">
        <v>1</v>
      </c>
      <c r="L511" s="183" t="s">
        <v>4706</v>
      </c>
      <c r="M511" s="184" t="s">
        <v>3957</v>
      </c>
      <c r="N511" s="184" t="s">
        <v>3957</v>
      </c>
      <c r="O511" s="233"/>
    </row>
    <row r="512" spans="1:15" s="182" customFormat="1" ht="21.95" customHeight="1" x14ac:dyDescent="0.15">
      <c r="A512" s="151" t="s">
        <v>7540</v>
      </c>
      <c r="B512" s="20" t="s">
        <v>5070</v>
      </c>
      <c r="C512" s="184" t="s">
        <v>5834</v>
      </c>
      <c r="D512" s="184" t="s">
        <v>5541</v>
      </c>
      <c r="E512" s="184" t="s">
        <v>7541</v>
      </c>
      <c r="F512" s="184" t="s">
        <v>5078</v>
      </c>
      <c r="G512" s="235" t="s">
        <v>6610</v>
      </c>
      <c r="H512" s="509">
        <v>23140</v>
      </c>
      <c r="I512" s="194">
        <v>0</v>
      </c>
      <c r="J512" s="194">
        <v>900</v>
      </c>
      <c r="K512" s="185">
        <v>0.03</v>
      </c>
      <c r="L512" s="183" t="s">
        <v>4724</v>
      </c>
      <c r="M512" s="184" t="s">
        <v>4708</v>
      </c>
      <c r="N512" s="184" t="s">
        <v>4708</v>
      </c>
      <c r="O512" s="233"/>
    </row>
    <row r="513" spans="1:15" s="182" customFormat="1" ht="21.95" customHeight="1" x14ac:dyDescent="0.15">
      <c r="A513" s="151" t="s">
        <v>7542</v>
      </c>
      <c r="B513" s="20" t="s">
        <v>5175</v>
      </c>
      <c r="C513" s="224" t="s">
        <v>3334</v>
      </c>
      <c r="D513" s="224" t="s">
        <v>3326</v>
      </c>
      <c r="E513" s="224" t="s">
        <v>3942</v>
      </c>
      <c r="F513" s="403" t="s">
        <v>3328</v>
      </c>
      <c r="G513" s="235" t="s">
        <v>6855</v>
      </c>
      <c r="H513" s="509">
        <v>23061</v>
      </c>
      <c r="I513" s="194">
        <v>0</v>
      </c>
      <c r="J513" s="194">
        <v>91450</v>
      </c>
      <c r="K513" s="185" t="s">
        <v>6375</v>
      </c>
      <c r="L513" s="183" t="s">
        <v>4706</v>
      </c>
      <c r="M513" s="184" t="s">
        <v>4708</v>
      </c>
      <c r="N513" s="184" t="s">
        <v>4708</v>
      </c>
      <c r="O513" s="233"/>
    </row>
    <row r="514" spans="1:15" s="182" customFormat="1" ht="21.95" customHeight="1" x14ac:dyDescent="0.15">
      <c r="A514" s="151" t="s">
        <v>7542</v>
      </c>
      <c r="B514" s="20" t="s">
        <v>5027</v>
      </c>
      <c r="C514" s="184" t="s">
        <v>4963</v>
      </c>
      <c r="D514" s="184" t="s">
        <v>5028</v>
      </c>
      <c r="E514" s="184" t="s">
        <v>5029</v>
      </c>
      <c r="F514" s="224" t="s">
        <v>3328</v>
      </c>
      <c r="G514" s="235" t="s">
        <v>7316</v>
      </c>
      <c r="H514" s="509">
        <v>25180</v>
      </c>
      <c r="I514" s="194">
        <v>0</v>
      </c>
      <c r="J514" s="194">
        <v>15000</v>
      </c>
      <c r="K514" s="185">
        <v>1</v>
      </c>
      <c r="L514" s="183" t="s">
        <v>4707</v>
      </c>
      <c r="M514" s="184" t="s">
        <v>3957</v>
      </c>
      <c r="N514" s="184" t="s">
        <v>3957</v>
      </c>
      <c r="O514" s="233"/>
    </row>
    <row r="515" spans="1:15" s="182" customFormat="1" ht="21.95" customHeight="1" x14ac:dyDescent="0.15">
      <c r="A515" s="151" t="s">
        <v>7542</v>
      </c>
      <c r="B515" s="20" t="s">
        <v>4691</v>
      </c>
      <c r="C515" s="224" t="s">
        <v>3351</v>
      </c>
      <c r="D515" s="224" t="s">
        <v>3326</v>
      </c>
      <c r="E515" s="224" t="s">
        <v>4695</v>
      </c>
      <c r="F515" s="207" t="s">
        <v>3328</v>
      </c>
      <c r="G515" s="235" t="s">
        <v>5030</v>
      </c>
      <c r="H515" s="509">
        <v>24040</v>
      </c>
      <c r="I515" s="194">
        <v>0</v>
      </c>
      <c r="J515" s="194">
        <v>60000</v>
      </c>
      <c r="K515" s="185">
        <v>1</v>
      </c>
      <c r="L515" s="183" t="s">
        <v>4706</v>
      </c>
      <c r="M515" s="184" t="s">
        <v>3726</v>
      </c>
      <c r="N515" s="184" t="s">
        <v>3726</v>
      </c>
      <c r="O515" s="233"/>
    </row>
    <row r="516" spans="1:15" s="182" customFormat="1" ht="21.95" customHeight="1" x14ac:dyDescent="0.15">
      <c r="A516" s="151" t="s">
        <v>7543</v>
      </c>
      <c r="B516" s="20" t="s">
        <v>5702</v>
      </c>
      <c r="C516" s="184" t="s">
        <v>4941</v>
      </c>
      <c r="D516" s="184" t="s">
        <v>4942</v>
      </c>
      <c r="E516" s="184" t="s">
        <v>7547</v>
      </c>
      <c r="F516" s="184" t="s">
        <v>5078</v>
      </c>
      <c r="G516" s="235" t="s">
        <v>3353</v>
      </c>
      <c r="H516" s="509">
        <v>25117</v>
      </c>
      <c r="I516" s="194">
        <v>0</v>
      </c>
      <c r="J516" s="194">
        <v>166950</v>
      </c>
      <c r="K516" s="185">
        <v>0.9</v>
      </c>
      <c r="L516" s="183" t="s">
        <v>7548</v>
      </c>
      <c r="M516" s="184" t="s">
        <v>3726</v>
      </c>
      <c r="N516" s="184" t="s">
        <v>3726</v>
      </c>
      <c r="O516" s="233"/>
    </row>
    <row r="517" spans="1:15" s="182" customFormat="1" ht="21.95" customHeight="1" x14ac:dyDescent="0.15">
      <c r="A517" s="151" t="s">
        <v>7543</v>
      </c>
      <c r="B517" s="20" t="s">
        <v>5702</v>
      </c>
      <c r="C517" s="184" t="s">
        <v>4941</v>
      </c>
      <c r="D517" s="184" t="s">
        <v>4942</v>
      </c>
      <c r="E517" s="184" t="s">
        <v>7547</v>
      </c>
      <c r="F517" s="184" t="s">
        <v>5078</v>
      </c>
      <c r="G517" s="235" t="s">
        <v>3566</v>
      </c>
      <c r="H517" s="509">
        <v>25170</v>
      </c>
      <c r="I517" s="194">
        <v>0</v>
      </c>
      <c r="J517" s="194">
        <v>70000</v>
      </c>
      <c r="K517" s="185" t="s">
        <v>6375</v>
      </c>
      <c r="L517" s="183" t="s">
        <v>4706</v>
      </c>
      <c r="M517" s="184" t="s">
        <v>3726</v>
      </c>
      <c r="N517" s="184" t="s">
        <v>3726</v>
      </c>
      <c r="O517" s="233"/>
    </row>
    <row r="518" spans="1:15" s="182" customFormat="1" ht="21.95" customHeight="1" x14ac:dyDescent="0.15">
      <c r="A518" s="151" t="s">
        <v>7543</v>
      </c>
      <c r="B518" s="20" t="s">
        <v>5670</v>
      </c>
      <c r="C518" s="184" t="s">
        <v>4941</v>
      </c>
      <c r="D518" s="184" t="s">
        <v>5153</v>
      </c>
      <c r="E518" s="184" t="s">
        <v>7549</v>
      </c>
      <c r="F518" s="184" t="s">
        <v>5078</v>
      </c>
      <c r="G518" s="235" t="s">
        <v>7550</v>
      </c>
      <c r="H518" s="1112">
        <v>25081</v>
      </c>
      <c r="I518" s="194">
        <v>0</v>
      </c>
      <c r="J518" s="194">
        <v>310778.3</v>
      </c>
      <c r="K518" s="185">
        <v>0.97</v>
      </c>
      <c r="L518" s="183" t="s">
        <v>7551</v>
      </c>
      <c r="M518" s="184" t="s">
        <v>3726</v>
      </c>
      <c r="N518" s="184" t="s">
        <v>3726</v>
      </c>
      <c r="O518" s="233"/>
    </row>
    <row r="519" spans="1:15" s="182" customFormat="1" ht="21.95" customHeight="1" x14ac:dyDescent="0.15">
      <c r="A519" s="151" t="s">
        <v>7543</v>
      </c>
      <c r="B519" s="20" t="s">
        <v>7544</v>
      </c>
      <c r="C519" s="184" t="s">
        <v>4982</v>
      </c>
      <c r="D519" s="184" t="s">
        <v>5422</v>
      </c>
      <c r="E519" s="184" t="s">
        <v>5798</v>
      </c>
      <c r="F519" s="184" t="s">
        <v>5078</v>
      </c>
      <c r="G519" s="239" t="s">
        <v>5240</v>
      </c>
      <c r="H519" s="509">
        <v>22167</v>
      </c>
      <c r="I519" s="194">
        <v>0</v>
      </c>
      <c r="J519" s="194">
        <v>28000</v>
      </c>
      <c r="K519" s="185">
        <v>1</v>
      </c>
      <c r="L519" s="183" t="s">
        <v>4707</v>
      </c>
      <c r="M519" s="184" t="s">
        <v>3433</v>
      </c>
      <c r="N519" s="184" t="s">
        <v>3433</v>
      </c>
      <c r="O519" s="233"/>
    </row>
    <row r="520" spans="1:15" s="182" customFormat="1" ht="21.95" customHeight="1" x14ac:dyDescent="0.15">
      <c r="A520" s="151" t="s">
        <v>7543</v>
      </c>
      <c r="B520" s="20" t="s">
        <v>6768</v>
      </c>
      <c r="C520" s="1113" t="s">
        <v>4963</v>
      </c>
      <c r="D520" s="1113" t="s">
        <v>4942</v>
      </c>
      <c r="E520" s="1113" t="s">
        <v>6634</v>
      </c>
      <c r="F520" s="207" t="s">
        <v>3328</v>
      </c>
      <c r="G520" s="235" t="s">
        <v>5658</v>
      </c>
      <c r="H520" s="1112">
        <v>24024</v>
      </c>
      <c r="I520" s="194">
        <v>1183.76</v>
      </c>
      <c r="J520" s="194">
        <v>0</v>
      </c>
      <c r="K520" s="222">
        <v>9.8646666666666674E-3</v>
      </c>
      <c r="L520" s="183" t="s">
        <v>4694</v>
      </c>
      <c r="M520" s="184" t="s">
        <v>3957</v>
      </c>
      <c r="N520" s="184" t="s">
        <v>3957</v>
      </c>
      <c r="O520" s="233"/>
    </row>
    <row r="521" spans="1:15" s="182" customFormat="1" ht="21.95" customHeight="1" x14ac:dyDescent="0.15">
      <c r="A521" s="151" t="s">
        <v>7543</v>
      </c>
      <c r="B521" s="20" t="s">
        <v>6768</v>
      </c>
      <c r="C521" s="1113" t="s">
        <v>4963</v>
      </c>
      <c r="D521" s="1113" t="s">
        <v>4942</v>
      </c>
      <c r="E521" s="1113" t="s">
        <v>6634</v>
      </c>
      <c r="F521" s="207" t="s">
        <v>3328</v>
      </c>
      <c r="G521" s="235" t="s">
        <v>5658</v>
      </c>
      <c r="H521" s="1113">
        <v>24024</v>
      </c>
      <c r="I521" s="194">
        <v>52650.68</v>
      </c>
      <c r="J521" s="194">
        <v>0</v>
      </c>
      <c r="K521" s="222">
        <v>0.43875566666666665</v>
      </c>
      <c r="L521" s="183" t="s">
        <v>4694</v>
      </c>
      <c r="M521" s="184" t="s">
        <v>3957</v>
      </c>
      <c r="N521" s="184" t="s">
        <v>3957</v>
      </c>
      <c r="O521" s="233"/>
    </row>
    <row r="522" spans="1:15" s="182" customFormat="1" ht="21.95" customHeight="1" x14ac:dyDescent="0.15">
      <c r="A522" s="151" t="s">
        <v>7543</v>
      </c>
      <c r="B522" s="20" t="s">
        <v>6768</v>
      </c>
      <c r="C522" s="1113" t="s">
        <v>4963</v>
      </c>
      <c r="D522" s="1113" t="s">
        <v>4942</v>
      </c>
      <c r="E522" s="1113" t="s">
        <v>6634</v>
      </c>
      <c r="F522" s="207" t="s">
        <v>3328</v>
      </c>
      <c r="G522" s="235" t="s">
        <v>5658</v>
      </c>
      <c r="H522" s="1113">
        <v>24024</v>
      </c>
      <c r="I522" s="194">
        <v>6165.56</v>
      </c>
      <c r="J522" s="194">
        <v>0</v>
      </c>
      <c r="K522" s="222">
        <v>5.1379666666666671E-2</v>
      </c>
      <c r="L522" s="183" t="s">
        <v>4694</v>
      </c>
      <c r="M522" s="184" t="s">
        <v>3957</v>
      </c>
      <c r="N522" s="184" t="s">
        <v>3957</v>
      </c>
      <c r="O522" s="233"/>
    </row>
    <row r="523" spans="1:15" s="182" customFormat="1" ht="21.95" customHeight="1" x14ac:dyDescent="0.15">
      <c r="A523" s="151" t="s">
        <v>7546</v>
      </c>
      <c r="B523" s="20" t="s">
        <v>7545</v>
      </c>
      <c r="C523" s="184" t="s">
        <v>5156</v>
      </c>
      <c r="D523" s="184" t="s">
        <v>7562</v>
      </c>
      <c r="E523" s="184" t="s">
        <v>5157</v>
      </c>
      <c r="F523" s="184" t="s">
        <v>5078</v>
      </c>
      <c r="G523" s="235" t="s">
        <v>5658</v>
      </c>
      <c r="H523" s="509">
        <v>25120</v>
      </c>
      <c r="I523" s="194">
        <v>0</v>
      </c>
      <c r="J523" s="194">
        <v>134140</v>
      </c>
      <c r="K523" s="185">
        <v>0.95</v>
      </c>
      <c r="L523" s="183" t="s">
        <v>7563</v>
      </c>
      <c r="M523" s="184" t="s">
        <v>4708</v>
      </c>
      <c r="N523" s="184" t="s">
        <v>4708</v>
      </c>
      <c r="O523" s="233"/>
    </row>
    <row r="524" spans="1:15" s="182" customFormat="1" ht="45.75" customHeight="1" x14ac:dyDescent="0.15">
      <c r="A524" s="151" t="s">
        <v>7546</v>
      </c>
      <c r="B524" s="849" t="s">
        <v>7564</v>
      </c>
      <c r="C524" s="399" t="s">
        <v>5156</v>
      </c>
      <c r="D524" s="399" t="s">
        <v>5153</v>
      </c>
      <c r="E524" s="399" t="s">
        <v>5863</v>
      </c>
      <c r="F524" s="184" t="s">
        <v>5078</v>
      </c>
      <c r="G524" s="235" t="s">
        <v>6855</v>
      </c>
      <c r="H524" s="1112">
        <v>23062</v>
      </c>
      <c r="I524" s="194">
        <v>0</v>
      </c>
      <c r="J524" s="194">
        <v>218850</v>
      </c>
      <c r="K524" s="185" t="s">
        <v>6375</v>
      </c>
      <c r="L524" s="183" t="s">
        <v>4706</v>
      </c>
      <c r="M524" s="184" t="s">
        <v>4708</v>
      </c>
      <c r="N524" s="184" t="s">
        <v>4708</v>
      </c>
      <c r="O524" s="233"/>
    </row>
    <row r="525" spans="1:15" s="182" customFormat="1" ht="21.95" customHeight="1" x14ac:dyDescent="0.15">
      <c r="A525" s="151" t="s">
        <v>7546</v>
      </c>
      <c r="B525" s="20" t="s">
        <v>5175</v>
      </c>
      <c r="C525" s="184" t="s">
        <v>5156</v>
      </c>
      <c r="D525" s="184" t="s">
        <v>7562</v>
      </c>
      <c r="E525" s="184" t="s">
        <v>7567</v>
      </c>
      <c r="F525" s="184" t="s">
        <v>5078</v>
      </c>
      <c r="G525" s="235" t="s">
        <v>5658</v>
      </c>
      <c r="H525" s="509" t="s">
        <v>7565</v>
      </c>
      <c r="I525" s="194">
        <v>0</v>
      </c>
      <c r="J525" s="194">
        <v>134140</v>
      </c>
      <c r="K525" s="185">
        <v>0.95</v>
      </c>
      <c r="L525" s="183" t="s">
        <v>7563</v>
      </c>
      <c r="M525" s="184" t="s">
        <v>4708</v>
      </c>
      <c r="N525" s="184" t="s">
        <v>4708</v>
      </c>
      <c r="O525" s="233"/>
    </row>
    <row r="526" spans="1:15" s="182" customFormat="1" ht="21.95" customHeight="1" x14ac:dyDescent="0.15">
      <c r="A526" s="151" t="s">
        <v>7546</v>
      </c>
      <c r="B526" s="20" t="s">
        <v>5175</v>
      </c>
      <c r="C526" s="184" t="s">
        <v>5156</v>
      </c>
      <c r="D526" s="184" t="s">
        <v>7562</v>
      </c>
      <c r="E526" s="184" t="s">
        <v>7568</v>
      </c>
      <c r="F526" s="184" t="s">
        <v>5078</v>
      </c>
      <c r="G526" s="235" t="s">
        <v>5658</v>
      </c>
      <c r="H526" s="509" t="s">
        <v>7566</v>
      </c>
      <c r="I526" s="194">
        <v>0</v>
      </c>
      <c r="J526" s="194">
        <v>149340</v>
      </c>
      <c r="K526" s="185">
        <v>0.95</v>
      </c>
      <c r="L526" s="183" t="s">
        <v>7563</v>
      </c>
      <c r="M526" s="184" t="s">
        <v>4708</v>
      </c>
      <c r="N526" s="184" t="s">
        <v>4708</v>
      </c>
      <c r="O526" s="233"/>
    </row>
    <row r="527" spans="1:15" s="182" customFormat="1" ht="21.95" customHeight="1" x14ac:dyDescent="0.15">
      <c r="A527" s="151" t="s">
        <v>7546</v>
      </c>
      <c r="B527" s="20" t="s">
        <v>7416</v>
      </c>
      <c r="C527" s="1115" t="s">
        <v>5567</v>
      </c>
      <c r="D527" s="1115" t="s">
        <v>5153</v>
      </c>
      <c r="E527" s="1115" t="s">
        <v>6851</v>
      </c>
      <c r="F527" s="184" t="s">
        <v>5078</v>
      </c>
      <c r="G527" s="235" t="s">
        <v>5030</v>
      </c>
      <c r="H527" s="509">
        <v>24156</v>
      </c>
      <c r="I527" s="194">
        <v>0</v>
      </c>
      <c r="J527" s="194">
        <v>25396</v>
      </c>
      <c r="K527" s="185">
        <v>0.4</v>
      </c>
      <c r="L527" s="183" t="s">
        <v>4706</v>
      </c>
      <c r="M527" s="184" t="s">
        <v>4399</v>
      </c>
      <c r="N527" s="184" t="s">
        <v>4399</v>
      </c>
      <c r="O527" s="233"/>
    </row>
    <row r="528" spans="1:15" s="182" customFormat="1" ht="21.95" customHeight="1" x14ac:dyDescent="0.15">
      <c r="A528" s="151" t="s">
        <v>7546</v>
      </c>
      <c r="B528" s="20" t="s">
        <v>545</v>
      </c>
      <c r="C528" s="1116" t="s">
        <v>3346</v>
      </c>
      <c r="D528" s="236" t="s">
        <v>3354</v>
      </c>
      <c r="E528" s="30" t="s">
        <v>921</v>
      </c>
      <c r="F528" s="184" t="s">
        <v>3328</v>
      </c>
      <c r="G528" s="235" t="s">
        <v>6951</v>
      </c>
      <c r="H528" s="509" t="s">
        <v>7089</v>
      </c>
      <c r="I528" s="194">
        <v>0</v>
      </c>
      <c r="J528" s="194">
        <v>68750</v>
      </c>
      <c r="K528" s="185" t="s">
        <v>6249</v>
      </c>
      <c r="L528" s="183" t="s">
        <v>4706</v>
      </c>
      <c r="M528" s="184" t="s">
        <v>6106</v>
      </c>
      <c r="N528" s="184" t="s">
        <v>5255</v>
      </c>
      <c r="O528" s="233"/>
    </row>
    <row r="529" spans="1:15" s="182" customFormat="1" ht="21.95" customHeight="1" x14ac:dyDescent="0.15">
      <c r="A529" s="151" t="s">
        <v>7546</v>
      </c>
      <c r="B529" s="20" t="s">
        <v>545</v>
      </c>
      <c r="C529" s="1116" t="s">
        <v>3346</v>
      </c>
      <c r="D529" s="236" t="s">
        <v>3354</v>
      </c>
      <c r="E529" s="30" t="s">
        <v>925</v>
      </c>
      <c r="F529" s="184" t="s">
        <v>3328</v>
      </c>
      <c r="G529" s="235" t="s">
        <v>6951</v>
      </c>
      <c r="H529" s="509" t="s">
        <v>7090</v>
      </c>
      <c r="I529" s="194">
        <v>0</v>
      </c>
      <c r="J529" s="194">
        <v>68750</v>
      </c>
      <c r="K529" s="185" t="s">
        <v>6249</v>
      </c>
      <c r="L529" s="183" t="s">
        <v>4706</v>
      </c>
      <c r="M529" s="184" t="s">
        <v>6106</v>
      </c>
      <c r="N529" s="184" t="s">
        <v>5255</v>
      </c>
      <c r="O529" s="233"/>
    </row>
    <row r="530" spans="1:15" s="182" customFormat="1" ht="21.95" customHeight="1" x14ac:dyDescent="0.15">
      <c r="A530" s="151" t="s">
        <v>7546</v>
      </c>
      <c r="B530" s="20" t="s">
        <v>4738</v>
      </c>
      <c r="C530" s="1117" t="s">
        <v>3376</v>
      </c>
      <c r="D530" s="368" t="s">
        <v>3516</v>
      </c>
      <c r="E530" s="30" t="s">
        <v>6326</v>
      </c>
      <c r="F530" s="184" t="s">
        <v>3400</v>
      </c>
      <c r="G530" s="235" t="s">
        <v>6809</v>
      </c>
      <c r="H530" s="509">
        <v>24136</v>
      </c>
      <c r="I530" s="194">
        <v>0</v>
      </c>
      <c r="J530" s="194">
        <v>9225</v>
      </c>
      <c r="K530" s="185">
        <v>0.1</v>
      </c>
      <c r="L530" s="183" t="s">
        <v>4724</v>
      </c>
      <c r="M530" s="184" t="s">
        <v>4708</v>
      </c>
      <c r="N530" s="184" t="s">
        <v>4708</v>
      </c>
      <c r="O530" s="226" t="s">
        <v>7569</v>
      </c>
    </row>
    <row r="531" spans="1:15" s="182" customFormat="1" ht="21.95" customHeight="1" x14ac:dyDescent="0.15">
      <c r="A531" s="151" t="s">
        <v>7546</v>
      </c>
      <c r="B531" s="20" t="s">
        <v>4701</v>
      </c>
      <c r="C531" s="1117" t="s">
        <v>3376</v>
      </c>
      <c r="D531" s="1117" t="s">
        <v>3682</v>
      </c>
      <c r="E531" s="184" t="s">
        <v>4243</v>
      </c>
      <c r="F531" s="184" t="s">
        <v>3400</v>
      </c>
      <c r="G531" s="235" t="s">
        <v>6809</v>
      </c>
      <c r="H531" s="509">
        <v>24137</v>
      </c>
      <c r="I531" s="194">
        <v>0</v>
      </c>
      <c r="J531" s="194">
        <v>9225</v>
      </c>
      <c r="K531" s="185">
        <v>0.1</v>
      </c>
      <c r="L531" s="183" t="s">
        <v>4724</v>
      </c>
      <c r="M531" s="184" t="s">
        <v>4708</v>
      </c>
      <c r="N531" s="184" t="s">
        <v>4708</v>
      </c>
      <c r="O531" s="226" t="s">
        <v>7569</v>
      </c>
    </row>
    <row r="532" spans="1:15" s="182" customFormat="1" ht="21.95" customHeight="1" x14ac:dyDescent="0.15">
      <c r="A532" s="151" t="s">
        <v>7552</v>
      </c>
      <c r="B532" s="20" t="s">
        <v>7553</v>
      </c>
      <c r="C532" s="1117" t="s">
        <v>3376</v>
      </c>
      <c r="D532" s="1117" t="s">
        <v>3682</v>
      </c>
      <c r="E532" s="1117" t="s">
        <v>6810</v>
      </c>
      <c r="F532" s="184" t="s">
        <v>3400</v>
      </c>
      <c r="G532" s="235" t="s">
        <v>6809</v>
      </c>
      <c r="H532" s="509">
        <v>24138</v>
      </c>
      <c r="I532" s="194">
        <v>0</v>
      </c>
      <c r="J532" s="194">
        <v>9225</v>
      </c>
      <c r="K532" s="185">
        <v>0.1</v>
      </c>
      <c r="L532" s="183" t="s">
        <v>4724</v>
      </c>
      <c r="M532" s="184" t="s">
        <v>4708</v>
      </c>
      <c r="N532" s="184" t="s">
        <v>4708</v>
      </c>
      <c r="O532" s="226" t="s">
        <v>7569</v>
      </c>
    </row>
    <row r="533" spans="1:15" s="182" customFormat="1" ht="21.95" customHeight="1" x14ac:dyDescent="0.15">
      <c r="A533" s="151" t="s">
        <v>7552</v>
      </c>
      <c r="B533" s="20" t="s">
        <v>7554</v>
      </c>
      <c r="C533" s="184" t="s">
        <v>5834</v>
      </c>
      <c r="D533" s="184" t="s">
        <v>5541</v>
      </c>
      <c r="E533" s="184" t="s">
        <v>7570</v>
      </c>
      <c r="F533" s="184" t="s">
        <v>5078</v>
      </c>
      <c r="G533" s="235" t="s">
        <v>7571</v>
      </c>
      <c r="H533" s="509">
        <v>24169</v>
      </c>
      <c r="I533" s="194">
        <v>0</v>
      </c>
      <c r="J533" s="194">
        <v>431700</v>
      </c>
      <c r="K533" s="185" t="s">
        <v>7572</v>
      </c>
      <c r="L533" s="183" t="s">
        <v>4707</v>
      </c>
      <c r="M533" s="184" t="s">
        <v>4708</v>
      </c>
      <c r="N533" s="184" t="s">
        <v>4708</v>
      </c>
      <c r="O533" s="233"/>
    </row>
    <row r="534" spans="1:15" s="182" customFormat="1" ht="21.95" customHeight="1" x14ac:dyDescent="0.15">
      <c r="A534" s="151" t="s">
        <v>7552</v>
      </c>
      <c r="B534" s="20" t="s">
        <v>4678</v>
      </c>
      <c r="C534" s="391" t="s">
        <v>3337</v>
      </c>
      <c r="D534" s="992" t="s">
        <v>3702</v>
      </c>
      <c r="E534" s="391" t="s">
        <v>4679</v>
      </c>
      <c r="F534" s="945" t="s">
        <v>3328</v>
      </c>
      <c r="G534" s="460" t="s">
        <v>3566</v>
      </c>
      <c r="H534" s="972">
        <v>21026</v>
      </c>
      <c r="I534" s="194">
        <v>0</v>
      </c>
      <c r="J534" s="194">
        <v>140000</v>
      </c>
      <c r="K534" s="185" t="s">
        <v>7578</v>
      </c>
      <c r="L534" s="183" t="s">
        <v>4706</v>
      </c>
      <c r="M534" s="945" t="s">
        <v>4957</v>
      </c>
      <c r="N534" s="945" t="s">
        <v>3726</v>
      </c>
      <c r="O534" s="233"/>
    </row>
    <row r="535" spans="1:15" s="182" customFormat="1" ht="21.95" customHeight="1" x14ac:dyDescent="0.15">
      <c r="A535" s="151" t="s">
        <v>7552</v>
      </c>
      <c r="B535" s="20" t="s">
        <v>4678</v>
      </c>
      <c r="C535" s="391" t="s">
        <v>3337</v>
      </c>
      <c r="D535" s="393" t="s">
        <v>3702</v>
      </c>
      <c r="E535" s="391" t="s">
        <v>4679</v>
      </c>
      <c r="F535" s="184" t="s">
        <v>5078</v>
      </c>
      <c r="G535" s="235" t="s">
        <v>7258</v>
      </c>
      <c r="H535" s="509">
        <v>23081</v>
      </c>
      <c r="I535" s="194">
        <v>0</v>
      </c>
      <c r="J535" s="194">
        <v>70000</v>
      </c>
      <c r="K535" s="185" t="s">
        <v>6375</v>
      </c>
      <c r="L535" s="183" t="s">
        <v>4706</v>
      </c>
      <c r="M535" s="184" t="s">
        <v>5255</v>
      </c>
      <c r="N535" s="184" t="s">
        <v>5255</v>
      </c>
      <c r="O535" s="233"/>
    </row>
    <row r="536" spans="1:15" s="182" customFormat="1" ht="21.95" customHeight="1" x14ac:dyDescent="0.15">
      <c r="A536" s="151" t="s">
        <v>7552</v>
      </c>
      <c r="B536" s="20" t="s">
        <v>682</v>
      </c>
      <c r="C536" s="1119" t="s">
        <v>3346</v>
      </c>
      <c r="D536" s="1119" t="s">
        <v>3354</v>
      </c>
      <c r="E536" s="1119" t="s">
        <v>846</v>
      </c>
      <c r="F536" s="267" t="s">
        <v>3328</v>
      </c>
      <c r="G536" s="235" t="s">
        <v>6951</v>
      </c>
      <c r="H536" s="509" t="s">
        <v>7024</v>
      </c>
      <c r="I536" s="194">
        <v>0</v>
      </c>
      <c r="J536" s="194">
        <v>68750</v>
      </c>
      <c r="K536" s="185" t="s">
        <v>6898</v>
      </c>
      <c r="L536" s="183" t="s">
        <v>4706</v>
      </c>
      <c r="M536" s="184" t="s">
        <v>6106</v>
      </c>
      <c r="N536" s="184" t="s">
        <v>5255</v>
      </c>
      <c r="O536" s="233"/>
    </row>
    <row r="537" spans="1:15" s="182" customFormat="1" ht="21.95" customHeight="1" x14ac:dyDescent="0.15">
      <c r="A537" s="151" t="s">
        <v>7552</v>
      </c>
      <c r="B537" s="20" t="s">
        <v>7555</v>
      </c>
      <c r="C537" s="1120" t="s">
        <v>3351</v>
      </c>
      <c r="D537" s="1120" t="s">
        <v>3457</v>
      </c>
      <c r="E537" s="1120" t="s">
        <v>7579</v>
      </c>
      <c r="F537" s="184" t="s">
        <v>3328</v>
      </c>
      <c r="G537" s="235" t="s">
        <v>3349</v>
      </c>
      <c r="H537" s="1114">
        <v>25140</v>
      </c>
      <c r="I537" s="194">
        <v>0</v>
      </c>
      <c r="J537" s="194">
        <v>65000</v>
      </c>
      <c r="K537" s="185">
        <v>0.5</v>
      </c>
      <c r="L537" s="183" t="s">
        <v>4706</v>
      </c>
      <c r="M537" s="184" t="s">
        <v>3726</v>
      </c>
      <c r="N537" s="184" t="s">
        <v>3726</v>
      </c>
      <c r="O537" s="233"/>
    </row>
    <row r="538" spans="1:15" s="182" customFormat="1" ht="21.95" customHeight="1" x14ac:dyDescent="0.15">
      <c r="A538" s="151" t="s">
        <v>7556</v>
      </c>
      <c r="B538" s="20" t="s">
        <v>7310</v>
      </c>
      <c r="C538" s="224" t="s">
        <v>3351</v>
      </c>
      <c r="D538" s="224" t="s">
        <v>3352</v>
      </c>
      <c r="E538" s="180" t="s">
        <v>3689</v>
      </c>
      <c r="F538" s="184" t="s">
        <v>5078</v>
      </c>
      <c r="G538" s="235" t="s">
        <v>6504</v>
      </c>
      <c r="H538" s="509">
        <v>24147</v>
      </c>
      <c r="I538" s="194">
        <v>0</v>
      </c>
      <c r="J538" s="194">
        <v>1200</v>
      </c>
      <c r="K538" s="185" t="s">
        <v>7580</v>
      </c>
      <c r="L538" s="183" t="s">
        <v>4707</v>
      </c>
      <c r="M538" s="184" t="s">
        <v>3726</v>
      </c>
      <c r="N538" s="184" t="s">
        <v>3726</v>
      </c>
      <c r="O538" s="233"/>
    </row>
    <row r="539" spans="1:15" s="182" customFormat="1" ht="21.95" customHeight="1" x14ac:dyDescent="0.15">
      <c r="A539" s="151" t="s">
        <v>7556</v>
      </c>
      <c r="B539" s="20" t="s">
        <v>5063</v>
      </c>
      <c r="C539" s="391" t="s">
        <v>3346</v>
      </c>
      <c r="D539" s="391" t="s">
        <v>3352</v>
      </c>
      <c r="E539" s="391" t="s">
        <v>3715</v>
      </c>
      <c r="F539" s="184" t="s">
        <v>3332</v>
      </c>
      <c r="G539" s="235" t="s">
        <v>5030</v>
      </c>
      <c r="H539" s="509">
        <v>23161</v>
      </c>
      <c r="I539" s="194">
        <v>0</v>
      </c>
      <c r="J539" s="194">
        <v>45500</v>
      </c>
      <c r="K539" s="185">
        <v>0.5</v>
      </c>
      <c r="L539" s="183" t="s">
        <v>4706</v>
      </c>
      <c r="M539" s="184" t="s">
        <v>3433</v>
      </c>
      <c r="N539" s="184" t="s">
        <v>3433</v>
      </c>
      <c r="O539" s="233"/>
    </row>
    <row r="540" spans="1:15" s="182" customFormat="1" ht="21.95" customHeight="1" x14ac:dyDescent="0.15">
      <c r="A540" s="151" t="s">
        <v>7556</v>
      </c>
      <c r="B540" s="20" t="s">
        <v>7557</v>
      </c>
      <c r="C540" s="184" t="s">
        <v>5156</v>
      </c>
      <c r="D540" s="184" t="s">
        <v>7562</v>
      </c>
      <c r="E540" s="184" t="s">
        <v>7581</v>
      </c>
      <c r="F540" s="184" t="s">
        <v>5078</v>
      </c>
      <c r="G540" s="235" t="s">
        <v>5658</v>
      </c>
      <c r="H540" s="509">
        <v>25119</v>
      </c>
      <c r="I540" s="194">
        <v>0</v>
      </c>
      <c r="J540" s="194">
        <v>134140</v>
      </c>
      <c r="K540" s="185">
        <v>0.95</v>
      </c>
      <c r="L540" s="183" t="s">
        <v>7563</v>
      </c>
      <c r="M540" s="184" t="s">
        <v>4708</v>
      </c>
      <c r="N540" s="184" t="s">
        <v>4708</v>
      </c>
      <c r="O540" s="233"/>
    </row>
    <row r="541" spans="1:15" s="182" customFormat="1" ht="21.95" customHeight="1" x14ac:dyDescent="0.15">
      <c r="A541" s="151" t="s">
        <v>7556</v>
      </c>
      <c r="B541" s="20" t="s">
        <v>7353</v>
      </c>
      <c r="C541" s="184" t="s">
        <v>5148</v>
      </c>
      <c r="D541" s="184" t="s">
        <v>6334</v>
      </c>
      <c r="E541" s="184" t="s">
        <v>6335</v>
      </c>
      <c r="F541" s="184" t="s">
        <v>5078</v>
      </c>
      <c r="G541" s="235" t="s">
        <v>6711</v>
      </c>
      <c r="H541" s="509">
        <v>24097</v>
      </c>
      <c r="I541" s="194">
        <v>0</v>
      </c>
      <c r="J541" s="194">
        <v>80000</v>
      </c>
      <c r="K541" s="185" t="s">
        <v>6375</v>
      </c>
      <c r="L541" s="183" t="s">
        <v>4706</v>
      </c>
      <c r="M541" s="184" t="s">
        <v>4708</v>
      </c>
      <c r="N541" s="184" t="s">
        <v>4708</v>
      </c>
      <c r="O541" s="233"/>
    </row>
    <row r="542" spans="1:15" s="182" customFormat="1" ht="21.95" customHeight="1" x14ac:dyDescent="0.15">
      <c r="A542" s="151" t="s">
        <v>7558</v>
      </c>
      <c r="B542" s="20" t="s">
        <v>7559</v>
      </c>
      <c r="C542" s="1117" t="s">
        <v>3376</v>
      </c>
      <c r="D542" s="1117" t="s">
        <v>3682</v>
      </c>
      <c r="E542" s="1117" t="s">
        <v>6811</v>
      </c>
      <c r="F542" s="184" t="s">
        <v>3400</v>
      </c>
      <c r="G542" s="235" t="s">
        <v>6809</v>
      </c>
      <c r="H542" s="509">
        <v>24139</v>
      </c>
      <c r="I542" s="194">
        <v>0</v>
      </c>
      <c r="J542" s="194">
        <v>9225</v>
      </c>
      <c r="K542" s="185">
        <v>0.1</v>
      </c>
      <c r="L542" s="183" t="s">
        <v>4724</v>
      </c>
      <c r="M542" s="184" t="s">
        <v>4708</v>
      </c>
      <c r="N542" s="184" t="s">
        <v>4708</v>
      </c>
      <c r="O542" s="226" t="s">
        <v>7569</v>
      </c>
    </row>
    <row r="543" spans="1:15" s="182" customFormat="1" ht="21.95" customHeight="1" x14ac:dyDescent="0.15">
      <c r="A543" s="151" t="s">
        <v>7558</v>
      </c>
      <c r="B543" s="20" t="s">
        <v>6770</v>
      </c>
      <c r="C543" s="1121" t="s">
        <v>5567</v>
      </c>
      <c r="D543" s="1121" t="s">
        <v>5018</v>
      </c>
      <c r="E543" s="1121" t="s">
        <v>7582</v>
      </c>
      <c r="F543" s="184" t="s">
        <v>5078</v>
      </c>
      <c r="G543" s="235" t="s">
        <v>5090</v>
      </c>
      <c r="H543" s="509">
        <v>24081</v>
      </c>
      <c r="I543" s="194">
        <v>400000</v>
      </c>
      <c r="J543" s="194">
        <v>0</v>
      </c>
      <c r="K543" s="185" t="s">
        <v>7583</v>
      </c>
      <c r="L543" s="183" t="s">
        <v>4711</v>
      </c>
      <c r="M543" s="184" t="s">
        <v>3433</v>
      </c>
      <c r="N543" s="184" t="s">
        <v>3433</v>
      </c>
      <c r="O543" s="233"/>
    </row>
    <row r="544" spans="1:15" s="182" customFormat="1" ht="21.95" customHeight="1" x14ac:dyDescent="0.15">
      <c r="A544" s="151" t="s">
        <v>7558</v>
      </c>
      <c r="B544" s="20" t="s">
        <v>5126</v>
      </c>
      <c r="C544" s="1122" t="s">
        <v>5148</v>
      </c>
      <c r="D544" s="1122" t="s">
        <v>5853</v>
      </c>
      <c r="E544" s="1122" t="s">
        <v>5854</v>
      </c>
      <c r="F544" s="184" t="s">
        <v>5078</v>
      </c>
      <c r="G544" s="235" t="s">
        <v>3863</v>
      </c>
      <c r="H544" s="509">
        <v>24167</v>
      </c>
      <c r="I544" s="194">
        <v>0</v>
      </c>
      <c r="J544" s="194">
        <v>13790</v>
      </c>
      <c r="K544" s="185">
        <v>0.1</v>
      </c>
      <c r="L544" s="183" t="s">
        <v>4724</v>
      </c>
      <c r="M544" s="184" t="s">
        <v>4708</v>
      </c>
      <c r="N544" s="184" t="s">
        <v>4708</v>
      </c>
      <c r="O544" s="233"/>
    </row>
    <row r="545" spans="1:15" s="182" customFormat="1" ht="21.95" customHeight="1" x14ac:dyDescent="0.15">
      <c r="A545" s="151" t="s">
        <v>7558</v>
      </c>
      <c r="B545" s="20" t="s">
        <v>4721</v>
      </c>
      <c r="C545" s="581" t="s">
        <v>3346</v>
      </c>
      <c r="D545" s="581" t="s">
        <v>3354</v>
      </c>
      <c r="E545" s="285" t="s">
        <v>4723</v>
      </c>
      <c r="F545" s="224" t="s">
        <v>3328</v>
      </c>
      <c r="G545" s="235" t="s">
        <v>6951</v>
      </c>
      <c r="H545" s="509" t="s">
        <v>6987</v>
      </c>
      <c r="I545" s="194">
        <v>0</v>
      </c>
      <c r="J545" s="194">
        <v>68750</v>
      </c>
      <c r="K545" s="185" t="s">
        <v>6898</v>
      </c>
      <c r="L545" s="183" t="s">
        <v>4706</v>
      </c>
      <c r="M545" s="184" t="s">
        <v>6106</v>
      </c>
      <c r="N545" s="184" t="s">
        <v>5255</v>
      </c>
      <c r="O545" s="233"/>
    </row>
    <row r="546" spans="1:15" s="182" customFormat="1" ht="21.95" customHeight="1" x14ac:dyDescent="0.15">
      <c r="A546" s="151" t="s">
        <v>7558</v>
      </c>
      <c r="B546" s="20" t="s">
        <v>7560</v>
      </c>
      <c r="C546" s="184" t="s">
        <v>4963</v>
      </c>
      <c r="D546" s="184" t="s">
        <v>5153</v>
      </c>
      <c r="E546" s="184" t="s">
        <v>6980</v>
      </c>
      <c r="F546" s="184" t="s">
        <v>5078</v>
      </c>
      <c r="G546" s="235" t="s">
        <v>6975</v>
      </c>
      <c r="H546" s="509">
        <v>25034</v>
      </c>
      <c r="I546" s="194">
        <v>0</v>
      </c>
      <c r="J546" s="194">
        <v>61588</v>
      </c>
      <c r="K546" s="185">
        <v>0.2</v>
      </c>
      <c r="L546" s="183" t="s">
        <v>4711</v>
      </c>
      <c r="M546" s="184" t="s">
        <v>3957</v>
      </c>
      <c r="N546" s="184" t="s">
        <v>3957</v>
      </c>
      <c r="O546" s="233"/>
    </row>
    <row r="547" spans="1:15" s="182" customFormat="1" ht="21.95" customHeight="1" x14ac:dyDescent="0.15">
      <c r="A547" s="151" t="s">
        <v>7558</v>
      </c>
      <c r="B547" s="20" t="s">
        <v>5726</v>
      </c>
      <c r="C547" s="184" t="s">
        <v>4963</v>
      </c>
      <c r="D547" s="184" t="s">
        <v>5153</v>
      </c>
      <c r="E547" s="184" t="s">
        <v>5179</v>
      </c>
      <c r="F547" s="184" t="s">
        <v>5078</v>
      </c>
      <c r="G547" s="235" t="s">
        <v>6975</v>
      </c>
      <c r="H547" s="509">
        <v>25029</v>
      </c>
      <c r="I547" s="194">
        <v>0</v>
      </c>
      <c r="J547" s="194">
        <v>50770</v>
      </c>
      <c r="K547" s="185">
        <v>0.2</v>
      </c>
      <c r="L547" s="183" t="s">
        <v>4711</v>
      </c>
      <c r="M547" s="184" t="s">
        <v>3957</v>
      </c>
      <c r="N547" s="184" t="s">
        <v>3957</v>
      </c>
      <c r="O547" s="233"/>
    </row>
    <row r="548" spans="1:15" s="182" customFormat="1" ht="21.95" customHeight="1" x14ac:dyDescent="0.15">
      <c r="A548" s="151" t="s">
        <v>7558</v>
      </c>
      <c r="B548" s="20" t="s">
        <v>7561</v>
      </c>
      <c r="C548" s="184" t="s">
        <v>4963</v>
      </c>
      <c r="D548" s="184" t="s">
        <v>5153</v>
      </c>
      <c r="E548" s="184" t="s">
        <v>5179</v>
      </c>
      <c r="F548" s="184" t="s">
        <v>5078</v>
      </c>
      <c r="G548" s="235" t="s">
        <v>6975</v>
      </c>
      <c r="H548" s="509">
        <v>25027</v>
      </c>
      <c r="I548" s="194">
        <v>0</v>
      </c>
      <c r="J548" s="194">
        <v>29270</v>
      </c>
      <c r="K548" s="185">
        <v>0.2</v>
      </c>
      <c r="L548" s="183" t="s">
        <v>4711</v>
      </c>
      <c r="M548" s="184" t="s">
        <v>3957</v>
      </c>
      <c r="N548" s="184" t="s">
        <v>3957</v>
      </c>
      <c r="O548" s="233"/>
    </row>
    <row r="549" spans="1:15" s="182" customFormat="1" ht="21.95" customHeight="1" x14ac:dyDescent="0.15">
      <c r="A549" s="151" t="s">
        <v>7558</v>
      </c>
      <c r="B549" s="20" t="s">
        <v>5140</v>
      </c>
      <c r="C549" s="184" t="s">
        <v>4963</v>
      </c>
      <c r="D549" s="184" t="s">
        <v>5153</v>
      </c>
      <c r="E549" s="184" t="s">
        <v>5179</v>
      </c>
      <c r="F549" s="184" t="s">
        <v>5078</v>
      </c>
      <c r="G549" s="235" t="s">
        <v>6975</v>
      </c>
      <c r="H549" s="509">
        <v>25028</v>
      </c>
      <c r="I549" s="194">
        <v>0</v>
      </c>
      <c r="J549" s="194">
        <v>29270</v>
      </c>
      <c r="K549" s="185">
        <v>0.2</v>
      </c>
      <c r="L549" s="183" t="s">
        <v>4711</v>
      </c>
      <c r="M549" s="184" t="s">
        <v>3957</v>
      </c>
      <c r="N549" s="184" t="s">
        <v>3957</v>
      </c>
      <c r="O549" s="233"/>
    </row>
    <row r="550" spans="1:15" s="182" customFormat="1" ht="21.95" customHeight="1" x14ac:dyDescent="0.15">
      <c r="A550" s="151" t="s">
        <v>7573</v>
      </c>
      <c r="B550" s="20" t="s">
        <v>7497</v>
      </c>
      <c r="C550" s="224" t="s">
        <v>3325</v>
      </c>
      <c r="D550" s="224" t="s">
        <v>3439</v>
      </c>
      <c r="E550" s="394" t="s">
        <v>4102</v>
      </c>
      <c r="F550" s="224" t="s">
        <v>3340</v>
      </c>
      <c r="G550" s="235" t="s">
        <v>5827</v>
      </c>
      <c r="H550" s="509" t="s">
        <v>6524</v>
      </c>
      <c r="I550" s="194">
        <v>0</v>
      </c>
      <c r="J550" s="194">
        <v>65800</v>
      </c>
      <c r="K550" s="185">
        <v>0.7</v>
      </c>
      <c r="L550" s="183" t="s">
        <v>4706</v>
      </c>
      <c r="M550" s="184" t="s">
        <v>3433</v>
      </c>
      <c r="N550" s="184" t="s">
        <v>3433</v>
      </c>
      <c r="O550" s="233"/>
    </row>
    <row r="551" spans="1:15" s="182" customFormat="1" ht="21.95" customHeight="1" x14ac:dyDescent="0.15">
      <c r="A551" s="151" t="s">
        <v>7573</v>
      </c>
      <c r="B551" s="20" t="s">
        <v>7497</v>
      </c>
      <c r="C551" s="1123" t="s">
        <v>4982</v>
      </c>
      <c r="D551" s="184" t="s">
        <v>5422</v>
      </c>
      <c r="E551" s="1123" t="s">
        <v>5569</v>
      </c>
      <c r="F551" s="184" t="s">
        <v>4944</v>
      </c>
      <c r="G551" s="235" t="s">
        <v>7058</v>
      </c>
      <c r="H551" s="509" t="s">
        <v>7584</v>
      </c>
      <c r="I551" s="194">
        <v>0</v>
      </c>
      <c r="J551" s="194">
        <v>15667</v>
      </c>
      <c r="K551" s="185">
        <v>1</v>
      </c>
      <c r="L551" s="183" t="s">
        <v>4706</v>
      </c>
      <c r="M551" s="184" t="s">
        <v>3433</v>
      </c>
      <c r="N551" s="184" t="s">
        <v>3433</v>
      </c>
      <c r="O551" s="233"/>
    </row>
    <row r="552" spans="1:15" s="182" customFormat="1" ht="21.95" customHeight="1" x14ac:dyDescent="0.15">
      <c r="A552" s="151" t="s">
        <v>7573</v>
      </c>
      <c r="B552" s="20" t="s">
        <v>7497</v>
      </c>
      <c r="C552" s="184" t="s">
        <v>4982</v>
      </c>
      <c r="D552" s="184" t="s">
        <v>5422</v>
      </c>
      <c r="E552" s="184" t="s">
        <v>879</v>
      </c>
      <c r="F552" s="184" t="s">
        <v>4944</v>
      </c>
      <c r="G552" s="235" t="s">
        <v>7058</v>
      </c>
      <c r="H552" s="509" t="s">
        <v>7585</v>
      </c>
      <c r="I552" s="194">
        <v>0</v>
      </c>
      <c r="J552" s="194">
        <v>15667</v>
      </c>
      <c r="K552" s="185">
        <v>1</v>
      </c>
      <c r="L552" s="183" t="s">
        <v>4706</v>
      </c>
      <c r="M552" s="184" t="s">
        <v>3433</v>
      </c>
      <c r="N552" s="184" t="s">
        <v>3433</v>
      </c>
      <c r="O552" s="233"/>
    </row>
    <row r="553" spans="1:15" s="182" customFormat="1" ht="21.95" customHeight="1" x14ac:dyDescent="0.15">
      <c r="A553" s="151" t="s">
        <v>7573</v>
      </c>
      <c r="B553" s="20" t="s">
        <v>4690</v>
      </c>
      <c r="C553" s="399" t="s">
        <v>4982</v>
      </c>
      <c r="D553" s="399" t="s">
        <v>6220</v>
      </c>
      <c r="E553" s="399" t="s">
        <v>7128</v>
      </c>
      <c r="F553" s="184" t="s">
        <v>4944</v>
      </c>
      <c r="G553" s="235" t="s">
        <v>3370</v>
      </c>
      <c r="H553" s="509">
        <v>23069</v>
      </c>
      <c r="I553" s="194">
        <v>0</v>
      </c>
      <c r="J553" s="194">
        <v>45000</v>
      </c>
      <c r="K553" s="185">
        <v>0.5</v>
      </c>
      <c r="L553" s="183" t="s">
        <v>4706</v>
      </c>
      <c r="M553" s="184" t="s">
        <v>3434</v>
      </c>
      <c r="N553" s="184" t="s">
        <v>3434</v>
      </c>
      <c r="O553" s="233"/>
    </row>
    <row r="554" spans="1:15" s="182" customFormat="1" ht="21.95" customHeight="1" x14ac:dyDescent="0.15">
      <c r="A554" s="151" t="s">
        <v>7573</v>
      </c>
      <c r="B554" s="20" t="s">
        <v>7574</v>
      </c>
      <c r="C554" s="945" t="s">
        <v>3346</v>
      </c>
      <c r="D554" s="945" t="s">
        <v>3354</v>
      </c>
      <c r="E554" s="945" t="s">
        <v>6853</v>
      </c>
      <c r="F554" s="392" t="s">
        <v>3328</v>
      </c>
      <c r="G554" s="460" t="s">
        <v>3611</v>
      </c>
      <c r="H554" s="1118">
        <v>20081</v>
      </c>
      <c r="I554" s="194">
        <v>0</v>
      </c>
      <c r="J554" s="194">
        <v>26500</v>
      </c>
      <c r="K554" s="185">
        <v>0.1</v>
      </c>
      <c r="L554" s="183" t="s">
        <v>4724</v>
      </c>
      <c r="M554" s="945" t="s">
        <v>3433</v>
      </c>
      <c r="N554" s="945" t="s">
        <v>3726</v>
      </c>
      <c r="O554" s="233"/>
    </row>
    <row r="555" spans="1:15" s="182" customFormat="1" ht="21.95" customHeight="1" x14ac:dyDescent="0.15">
      <c r="A555" s="151" t="s">
        <v>7573</v>
      </c>
      <c r="B555" s="20" t="s">
        <v>5147</v>
      </c>
      <c r="C555" s="184" t="s">
        <v>4982</v>
      </c>
      <c r="D555" s="184" t="s">
        <v>5018</v>
      </c>
      <c r="E555" s="184" t="s">
        <v>6172</v>
      </c>
      <c r="F555" s="184" t="s">
        <v>5078</v>
      </c>
      <c r="G555" s="235" t="s">
        <v>5090</v>
      </c>
      <c r="H555" s="509">
        <v>23088</v>
      </c>
      <c r="I555" s="194">
        <v>0</v>
      </c>
      <c r="J555" s="194">
        <v>479850.01</v>
      </c>
      <c r="K555" s="185" t="s">
        <v>7586</v>
      </c>
      <c r="L555" s="183" t="s">
        <v>7425</v>
      </c>
      <c r="M555" s="945" t="s">
        <v>7587</v>
      </c>
      <c r="N555" s="945" t="s">
        <v>7587</v>
      </c>
      <c r="O555" s="233"/>
    </row>
    <row r="556" spans="1:15" s="182" customFormat="1" ht="21.95" customHeight="1" x14ac:dyDescent="0.15">
      <c r="A556" s="151" t="s">
        <v>7573</v>
      </c>
      <c r="B556" s="20" t="s">
        <v>7575</v>
      </c>
      <c r="C556" s="1123" t="s">
        <v>4982</v>
      </c>
      <c r="D556" s="1123" t="s">
        <v>5018</v>
      </c>
      <c r="E556" s="1123" t="s">
        <v>664</v>
      </c>
      <c r="F556" s="224" t="s">
        <v>3328</v>
      </c>
      <c r="G556" s="235" t="s">
        <v>6951</v>
      </c>
      <c r="H556" s="509" t="s">
        <v>6949</v>
      </c>
      <c r="I556" s="194">
        <v>0</v>
      </c>
      <c r="J556" s="194">
        <v>68750</v>
      </c>
      <c r="K556" s="185" t="s">
        <v>6898</v>
      </c>
      <c r="L556" s="183" t="s">
        <v>4706</v>
      </c>
      <c r="M556" s="184" t="s">
        <v>6106</v>
      </c>
      <c r="N556" s="184" t="s">
        <v>5255</v>
      </c>
      <c r="O556" s="233"/>
    </row>
    <row r="557" spans="1:15" s="182" customFormat="1" ht="21.95" customHeight="1" x14ac:dyDescent="0.15">
      <c r="A557" s="151" t="s">
        <v>7576</v>
      </c>
      <c r="B557" s="20" t="s">
        <v>6046</v>
      </c>
      <c r="C557" s="224" t="s">
        <v>3351</v>
      </c>
      <c r="D557" s="224" t="s">
        <v>3352</v>
      </c>
      <c r="E557" s="180" t="s">
        <v>3688</v>
      </c>
      <c r="F557" s="184" t="s">
        <v>5078</v>
      </c>
      <c r="G557" s="235" t="s">
        <v>6504</v>
      </c>
      <c r="H557" s="509">
        <v>24146</v>
      </c>
      <c r="I557" s="194">
        <v>0</v>
      </c>
      <c r="J557" s="194">
        <v>1200</v>
      </c>
      <c r="K557" s="185" t="s">
        <v>7580</v>
      </c>
      <c r="L557" s="183" t="s">
        <v>4707</v>
      </c>
      <c r="M557" s="184" t="s">
        <v>3726</v>
      </c>
      <c r="N557" s="184" t="s">
        <v>3726</v>
      </c>
      <c r="O557" s="233"/>
    </row>
    <row r="558" spans="1:15" s="182" customFormat="1" ht="21.95" customHeight="1" x14ac:dyDescent="0.15">
      <c r="A558" s="151" t="s">
        <v>7576</v>
      </c>
      <c r="B558" s="20" t="s">
        <v>5458</v>
      </c>
      <c r="C558" s="184" t="s">
        <v>4982</v>
      </c>
      <c r="D558" s="184" t="s">
        <v>5018</v>
      </c>
      <c r="E558" s="184" t="s">
        <v>6952</v>
      </c>
      <c r="F558" s="184" t="s">
        <v>5078</v>
      </c>
      <c r="G558" s="235" t="s">
        <v>6951</v>
      </c>
      <c r="H558" s="509" t="s">
        <v>7184</v>
      </c>
      <c r="I558" s="194">
        <v>0</v>
      </c>
      <c r="J558" s="194">
        <v>68750</v>
      </c>
      <c r="K558" s="185" t="s">
        <v>6898</v>
      </c>
      <c r="L558" s="183" t="s">
        <v>4706</v>
      </c>
      <c r="M558" s="184" t="s">
        <v>6106</v>
      </c>
      <c r="N558" s="184" t="s">
        <v>5255</v>
      </c>
      <c r="O558" s="233"/>
    </row>
    <row r="559" spans="1:15" s="182" customFormat="1" ht="21.95" customHeight="1" x14ac:dyDescent="0.15">
      <c r="A559" s="151" t="s">
        <v>7577</v>
      </c>
      <c r="B559" s="20" t="s">
        <v>7313</v>
      </c>
      <c r="C559" s="184" t="s">
        <v>4941</v>
      </c>
      <c r="D559" s="184" t="s">
        <v>4942</v>
      </c>
      <c r="E559" s="184" t="s">
        <v>7078</v>
      </c>
      <c r="F559" s="184" t="s">
        <v>4944</v>
      </c>
      <c r="G559" s="235" t="s">
        <v>3345</v>
      </c>
      <c r="H559" s="509">
        <v>24060</v>
      </c>
      <c r="I559" s="194">
        <v>0</v>
      </c>
      <c r="J559" s="194">
        <v>46400</v>
      </c>
      <c r="K559" s="185">
        <v>0.1</v>
      </c>
      <c r="L559" s="183" t="s">
        <v>4724</v>
      </c>
      <c r="M559" s="184" t="s">
        <v>5255</v>
      </c>
      <c r="N559" s="184" t="s">
        <v>5255</v>
      </c>
      <c r="O559" s="233"/>
    </row>
    <row r="560" spans="1:15" s="182" customFormat="1" ht="34.5" customHeight="1" x14ac:dyDescent="0.15">
      <c r="A560" s="151" t="s">
        <v>7577</v>
      </c>
      <c r="B560" s="20" t="s">
        <v>7313</v>
      </c>
      <c r="C560" s="184" t="s">
        <v>4941</v>
      </c>
      <c r="D560" s="184" t="s">
        <v>4942</v>
      </c>
      <c r="E560" s="184" t="s">
        <v>7075</v>
      </c>
      <c r="F560" s="184" t="s">
        <v>4944</v>
      </c>
      <c r="G560" s="235" t="s">
        <v>4985</v>
      </c>
      <c r="H560" s="1124">
        <v>24043</v>
      </c>
      <c r="I560" s="194">
        <v>0</v>
      </c>
      <c r="J560" s="194">
        <v>38600</v>
      </c>
      <c r="K560" s="185">
        <v>0.1</v>
      </c>
      <c r="L560" s="183" t="s">
        <v>4724</v>
      </c>
      <c r="M560" s="184" t="s">
        <v>5255</v>
      </c>
      <c r="N560" s="184" t="s">
        <v>5255</v>
      </c>
      <c r="O560" s="1124" t="s">
        <v>7588</v>
      </c>
    </row>
    <row r="561" spans="1:15" s="182" customFormat="1" ht="45.75" customHeight="1" x14ac:dyDescent="0.15">
      <c r="A561" s="151" t="s">
        <v>7577</v>
      </c>
      <c r="B561" s="20" t="s">
        <v>7313</v>
      </c>
      <c r="C561" s="184" t="s">
        <v>4941</v>
      </c>
      <c r="D561" s="184" t="s">
        <v>4942</v>
      </c>
      <c r="E561" s="184" t="s">
        <v>7331</v>
      </c>
      <c r="F561" s="184" t="s">
        <v>4944</v>
      </c>
      <c r="G561" s="235" t="s">
        <v>7332</v>
      </c>
      <c r="H561" s="509" t="s">
        <v>7323</v>
      </c>
      <c r="I561" s="194">
        <v>0</v>
      </c>
      <c r="J561" s="194">
        <v>127114.47</v>
      </c>
      <c r="K561" s="185" t="s">
        <v>7590</v>
      </c>
      <c r="L561" s="183" t="s">
        <v>4817</v>
      </c>
      <c r="M561" s="184" t="s">
        <v>5255</v>
      </c>
      <c r="N561" s="184" t="s">
        <v>5255</v>
      </c>
      <c r="O561" s="1124" t="s">
        <v>7589</v>
      </c>
    </row>
    <row r="562" spans="1:15" s="182" customFormat="1" ht="45.75" customHeight="1" x14ac:dyDescent="0.15">
      <c r="A562" s="151" t="s">
        <v>7577</v>
      </c>
      <c r="B562" s="20" t="s">
        <v>7313</v>
      </c>
      <c r="C562" s="184" t="s">
        <v>4941</v>
      </c>
      <c r="D562" s="184" t="s">
        <v>4942</v>
      </c>
      <c r="E562" s="184" t="s">
        <v>7333</v>
      </c>
      <c r="F562" s="184" t="s">
        <v>5078</v>
      </c>
      <c r="G562" s="235" t="s">
        <v>7334</v>
      </c>
      <c r="H562" s="509" t="s">
        <v>7324</v>
      </c>
      <c r="I562" s="194">
        <v>0</v>
      </c>
      <c r="J562" s="194">
        <v>464399.7</v>
      </c>
      <c r="K562" s="185" t="s">
        <v>7591</v>
      </c>
      <c r="L562" s="183" t="s">
        <v>4817</v>
      </c>
      <c r="M562" s="184" t="s">
        <v>5255</v>
      </c>
      <c r="N562" s="184" t="s">
        <v>5255</v>
      </c>
      <c r="O562" s="1124" t="s">
        <v>7589</v>
      </c>
    </row>
    <row r="563" spans="1:15" s="182" customFormat="1" ht="45.75" customHeight="1" x14ac:dyDescent="0.15">
      <c r="A563" s="151" t="s">
        <v>7577</v>
      </c>
      <c r="B563" s="20" t="s">
        <v>7313</v>
      </c>
      <c r="C563" s="184" t="s">
        <v>4941</v>
      </c>
      <c r="D563" s="184" t="s">
        <v>4942</v>
      </c>
      <c r="E563" s="184" t="s">
        <v>7335</v>
      </c>
      <c r="F563" s="184" t="s">
        <v>4944</v>
      </c>
      <c r="G563" s="235" t="s">
        <v>7332</v>
      </c>
      <c r="H563" s="509" t="s">
        <v>7325</v>
      </c>
      <c r="I563" s="194">
        <v>0</v>
      </c>
      <c r="J563" s="194">
        <v>144189.9</v>
      </c>
      <c r="K563" s="185" t="s">
        <v>7591</v>
      </c>
      <c r="L563" s="183" t="s">
        <v>4817</v>
      </c>
      <c r="M563" s="184" t="s">
        <v>5255</v>
      </c>
      <c r="N563" s="184" t="s">
        <v>5255</v>
      </c>
      <c r="O563" s="1124" t="s">
        <v>7589</v>
      </c>
    </row>
    <row r="564" spans="1:15" s="182" customFormat="1" ht="45.75" customHeight="1" x14ac:dyDescent="0.15">
      <c r="A564" s="151" t="s">
        <v>7577</v>
      </c>
      <c r="B564" s="20" t="s">
        <v>7313</v>
      </c>
      <c r="C564" s="184" t="s">
        <v>4941</v>
      </c>
      <c r="D564" s="184" t="s">
        <v>4942</v>
      </c>
      <c r="E564" s="184" t="s">
        <v>7336</v>
      </c>
      <c r="F564" s="184" t="s">
        <v>5078</v>
      </c>
      <c r="G564" s="235" t="s">
        <v>7337</v>
      </c>
      <c r="H564" s="509" t="s">
        <v>7326</v>
      </c>
      <c r="I564" s="194">
        <v>0</v>
      </c>
      <c r="J564" s="194">
        <v>320050.65000000002</v>
      </c>
      <c r="K564" s="185" t="s">
        <v>7591</v>
      </c>
      <c r="L564" s="183" t="s">
        <v>4817</v>
      </c>
      <c r="M564" s="184" t="s">
        <v>5255</v>
      </c>
      <c r="N564" s="184" t="s">
        <v>5255</v>
      </c>
      <c r="O564" s="1124" t="s">
        <v>7589</v>
      </c>
    </row>
    <row r="565" spans="1:15" s="182" customFormat="1" ht="45.75" customHeight="1" x14ac:dyDescent="0.15">
      <c r="A565" s="151" t="s">
        <v>7577</v>
      </c>
      <c r="B565" s="20" t="s">
        <v>7313</v>
      </c>
      <c r="C565" s="184" t="s">
        <v>4941</v>
      </c>
      <c r="D565" s="184" t="s">
        <v>4942</v>
      </c>
      <c r="E565" s="184" t="s">
        <v>7338</v>
      </c>
      <c r="F565" s="184" t="s">
        <v>5078</v>
      </c>
      <c r="G565" s="235" t="s">
        <v>7334</v>
      </c>
      <c r="H565" s="509" t="s">
        <v>7327</v>
      </c>
      <c r="I565" s="194">
        <v>0</v>
      </c>
      <c r="J565" s="194">
        <v>571182.98400000005</v>
      </c>
      <c r="K565" s="185" t="s">
        <v>7591</v>
      </c>
      <c r="L565" s="183" t="s">
        <v>4817</v>
      </c>
      <c r="M565" s="184" t="s">
        <v>5255</v>
      </c>
      <c r="N565" s="184" t="s">
        <v>5255</v>
      </c>
      <c r="O565" s="1124" t="s">
        <v>7589</v>
      </c>
    </row>
    <row r="566" spans="1:15" s="182" customFormat="1" ht="45.75" customHeight="1" x14ac:dyDescent="0.15">
      <c r="A566" s="151" t="s">
        <v>7577</v>
      </c>
      <c r="B566" s="20" t="s">
        <v>7313</v>
      </c>
      <c r="C566" s="184" t="s">
        <v>4941</v>
      </c>
      <c r="D566" s="184" t="s">
        <v>4942</v>
      </c>
      <c r="E566" s="184" t="s">
        <v>7339</v>
      </c>
      <c r="F566" s="184" t="s">
        <v>4944</v>
      </c>
      <c r="G566" s="235" t="s">
        <v>3345</v>
      </c>
      <c r="H566" s="509" t="s">
        <v>7328</v>
      </c>
      <c r="I566" s="194">
        <v>0</v>
      </c>
      <c r="J566" s="194">
        <v>126861.648</v>
      </c>
      <c r="K566" s="185" t="s">
        <v>7591</v>
      </c>
      <c r="L566" s="183" t="s">
        <v>4817</v>
      </c>
      <c r="M566" s="184" t="s">
        <v>5255</v>
      </c>
      <c r="N566" s="184" t="s">
        <v>5255</v>
      </c>
      <c r="O566" s="1124" t="s">
        <v>7589</v>
      </c>
    </row>
    <row r="567" spans="1:15" s="182" customFormat="1" ht="45.75" customHeight="1" x14ac:dyDescent="0.15">
      <c r="A567" s="151" t="s">
        <v>7577</v>
      </c>
      <c r="B567" s="20" t="s">
        <v>7313</v>
      </c>
      <c r="C567" s="184" t="s">
        <v>4941</v>
      </c>
      <c r="D567" s="184" t="s">
        <v>4942</v>
      </c>
      <c r="E567" s="184" t="s">
        <v>7340</v>
      </c>
      <c r="F567" s="184" t="s">
        <v>4944</v>
      </c>
      <c r="G567" s="235" t="s">
        <v>3345</v>
      </c>
      <c r="H567" s="509" t="s">
        <v>7329</v>
      </c>
      <c r="I567" s="194">
        <v>0</v>
      </c>
      <c r="J567" s="194">
        <v>126861.648</v>
      </c>
      <c r="K567" s="185" t="s">
        <v>7591</v>
      </c>
      <c r="L567" s="183" t="s">
        <v>4817</v>
      </c>
      <c r="M567" s="184" t="s">
        <v>5255</v>
      </c>
      <c r="N567" s="184" t="s">
        <v>5255</v>
      </c>
      <c r="O567" s="1124" t="s">
        <v>7589</v>
      </c>
    </row>
    <row r="568" spans="1:15" s="182" customFormat="1" ht="45.75" customHeight="1" x14ac:dyDescent="0.15">
      <c r="A568" s="151" t="s">
        <v>7577</v>
      </c>
      <c r="B568" s="20" t="s">
        <v>7313</v>
      </c>
      <c r="C568" s="184" t="s">
        <v>4941</v>
      </c>
      <c r="D568" s="184" t="s">
        <v>4942</v>
      </c>
      <c r="E568" s="184" t="s">
        <v>7341</v>
      </c>
      <c r="F568" s="184" t="s">
        <v>4944</v>
      </c>
      <c r="G568" s="235" t="s">
        <v>7332</v>
      </c>
      <c r="H568" s="509" t="s">
        <v>7330</v>
      </c>
      <c r="I568" s="194">
        <v>0</v>
      </c>
      <c r="J568" s="194">
        <v>136869</v>
      </c>
      <c r="K568" s="185" t="s">
        <v>7591</v>
      </c>
      <c r="L568" s="183" t="s">
        <v>4817</v>
      </c>
      <c r="M568" s="184" t="s">
        <v>5255</v>
      </c>
      <c r="N568" s="184" t="s">
        <v>5255</v>
      </c>
      <c r="O568" s="1124" t="s">
        <v>7589</v>
      </c>
    </row>
    <row r="569" spans="1:15" s="182" customFormat="1" ht="21.95" customHeight="1" x14ac:dyDescent="0.15">
      <c r="A569" s="151"/>
      <c r="B569" s="20"/>
      <c r="C569" s="20"/>
      <c r="D569" s="20"/>
      <c r="E569" s="30"/>
      <c r="F569" s="30"/>
      <c r="G569" s="30"/>
      <c r="H569" s="1091"/>
      <c r="I569" s="194"/>
      <c r="J569" s="194"/>
      <c r="K569" s="185"/>
      <c r="L569" s="183"/>
      <c r="M569" s="184"/>
      <c r="N569" s="184"/>
      <c r="O569" s="233"/>
    </row>
    <row r="570" spans="1:15" s="182" customFormat="1" ht="21.95" customHeight="1" x14ac:dyDescent="0.15">
      <c r="A570" s="151"/>
      <c r="B570" s="20"/>
      <c r="C570" s="20"/>
      <c r="D570" s="20"/>
      <c r="E570" s="30"/>
      <c r="F570" s="30"/>
      <c r="G570" s="30"/>
      <c r="H570" s="1027"/>
      <c r="I570" s="194"/>
      <c r="J570" s="194"/>
      <c r="K570" s="185"/>
      <c r="L570" s="183"/>
      <c r="M570" s="184"/>
      <c r="N570" s="184"/>
      <c r="O570" s="233"/>
    </row>
    <row r="571" spans="1:15" s="182" customFormat="1" ht="21.75" customHeight="1" x14ac:dyDescent="0.15">
      <c r="A571" s="151"/>
      <c r="B571" s="20"/>
      <c r="C571" s="20"/>
      <c r="D571" s="20"/>
      <c r="E571" s="30"/>
      <c r="F571" s="30"/>
      <c r="G571" s="30"/>
      <c r="H571" s="1027"/>
      <c r="I571" s="194"/>
      <c r="J571" s="194"/>
      <c r="K571" s="185"/>
      <c r="L571" s="183"/>
      <c r="M571" s="184"/>
      <c r="N571" s="184"/>
      <c r="O571" s="233"/>
    </row>
    <row r="572" spans="1:15" x14ac:dyDescent="0.15">
      <c r="A572" s="1165" t="s">
        <v>6884</v>
      </c>
      <c r="B572" s="1166"/>
      <c r="C572" s="1166"/>
      <c r="D572" s="1166"/>
      <c r="E572" s="1166"/>
      <c r="F572" s="1166"/>
      <c r="G572" s="1166"/>
      <c r="H572" s="1167"/>
      <c r="I572" s="230">
        <f>SUM(I3:I571)</f>
        <v>4428264</v>
      </c>
      <c r="J572" s="230">
        <f>SUM(J3:J571)</f>
        <v>41638310.279999986</v>
      </c>
    </row>
    <row r="583" spans="9:9" x14ac:dyDescent="0.15">
      <c r="I583" s="1100"/>
    </row>
    <row r="584" spans="9:9" x14ac:dyDescent="0.15">
      <c r="I584" s="1100"/>
    </row>
  </sheetData>
  <autoFilter ref="A2:O568" xr:uid="{942BD51C-DD4D-41F8-8B6A-3CAFDCE8D5C7}"/>
  <mergeCells count="2">
    <mergeCell ref="A1:O1"/>
    <mergeCell ref="A572:H572"/>
  </mergeCells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3303B-2545-4C3E-BBC6-DDFD57BC3F12}">
  <dimension ref="A1:O476"/>
  <sheetViews>
    <sheetView topLeftCell="A65" zoomScaleNormal="100" workbookViewId="0">
      <selection activeCell="B89" sqref="B89"/>
    </sheetView>
  </sheetViews>
  <sheetFormatPr defaultRowHeight="13.5" x14ac:dyDescent="0.15"/>
  <cols>
    <col min="1" max="1" width="10.75" customWidth="1"/>
    <col min="2" max="2" width="24.625" customWidth="1"/>
    <col min="3" max="4" width="10.625" customWidth="1"/>
    <col min="5" max="5" width="17.5" customWidth="1"/>
    <col min="6" max="6" width="15" customWidth="1"/>
    <col min="7" max="7" width="24.875" customWidth="1"/>
    <col min="8" max="11" width="15.375" customWidth="1"/>
    <col min="12" max="12" width="18" customWidth="1"/>
    <col min="13" max="13" width="10.75" customWidth="1"/>
    <col min="14" max="14" width="10.875" customWidth="1"/>
    <col min="15" max="15" width="45.625" customWidth="1"/>
  </cols>
  <sheetData>
    <row r="1" spans="1:15" s="176" customFormat="1" ht="40.5" customHeight="1" x14ac:dyDescent="0.15">
      <c r="A1" s="1164" t="s">
        <v>6350</v>
      </c>
      <c r="B1" s="1164"/>
      <c r="C1" s="1164"/>
      <c r="D1" s="1164"/>
      <c r="E1" s="1164"/>
      <c r="F1" s="1164"/>
      <c r="G1" s="1164"/>
      <c r="H1" s="1164"/>
      <c r="I1" s="1164"/>
      <c r="J1" s="1164"/>
      <c r="K1" s="1164"/>
      <c r="L1" s="1164"/>
      <c r="M1" s="1164"/>
      <c r="N1" s="1164"/>
      <c r="O1" s="1164"/>
    </row>
    <row r="2" spans="1:15" s="176" customFormat="1" ht="21.75" customHeight="1" x14ac:dyDescent="0.15">
      <c r="A2" s="16" t="s">
        <v>1755</v>
      </c>
      <c r="B2" s="16" t="s">
        <v>128</v>
      </c>
      <c r="C2" s="245" t="s">
        <v>3322</v>
      </c>
      <c r="D2" s="245" t="s">
        <v>3321</v>
      </c>
      <c r="E2" s="245" t="s">
        <v>1756</v>
      </c>
      <c r="F2" s="245" t="s">
        <v>3323</v>
      </c>
      <c r="G2" s="245" t="s">
        <v>3324</v>
      </c>
      <c r="H2" s="16" t="s">
        <v>130</v>
      </c>
      <c r="I2" s="193" t="s">
        <v>1757</v>
      </c>
      <c r="J2" s="193" t="s">
        <v>1758</v>
      </c>
      <c r="K2" s="16" t="s">
        <v>1759</v>
      </c>
      <c r="L2" s="16" t="s">
        <v>1760</v>
      </c>
      <c r="M2" s="16" t="s">
        <v>3243</v>
      </c>
      <c r="N2" s="16" t="s">
        <v>3244</v>
      </c>
      <c r="O2" s="16" t="s">
        <v>509</v>
      </c>
    </row>
    <row r="3" spans="1:15" s="182" customFormat="1" ht="21.75" customHeight="1" x14ac:dyDescent="0.15">
      <c r="A3" s="151" t="s">
        <v>6351</v>
      </c>
      <c r="B3" s="20" t="s">
        <v>3931</v>
      </c>
      <c r="C3" s="224" t="s">
        <v>4941</v>
      </c>
      <c r="D3" s="224" t="s">
        <v>5410</v>
      </c>
      <c r="E3" s="30" t="s">
        <v>5411</v>
      </c>
      <c r="F3" s="184" t="s">
        <v>3400</v>
      </c>
      <c r="G3" s="235" t="s">
        <v>6360</v>
      </c>
      <c r="H3" s="913">
        <v>23023</v>
      </c>
      <c r="I3" s="194">
        <v>149000</v>
      </c>
      <c r="J3" s="194">
        <v>0</v>
      </c>
      <c r="K3" s="185">
        <v>1</v>
      </c>
      <c r="L3" s="183" t="s">
        <v>1948</v>
      </c>
      <c r="M3" s="183" t="s">
        <v>1784</v>
      </c>
      <c r="N3" s="183" t="s">
        <v>1784</v>
      </c>
      <c r="O3" s="913" t="s">
        <v>6361</v>
      </c>
    </row>
    <row r="4" spans="1:15" s="182" customFormat="1" ht="21.75" customHeight="1" x14ac:dyDescent="0.15">
      <c r="A4" s="151" t="s">
        <v>6352</v>
      </c>
      <c r="B4" s="20" t="s">
        <v>6353</v>
      </c>
      <c r="C4" s="916" t="s">
        <v>4982</v>
      </c>
      <c r="D4" s="916" t="s">
        <v>5098</v>
      </c>
      <c r="E4" s="916" t="s">
        <v>6319</v>
      </c>
      <c r="F4" s="184" t="s">
        <v>6254</v>
      </c>
      <c r="G4" s="235" t="s">
        <v>5300</v>
      </c>
      <c r="H4" s="913">
        <v>23156</v>
      </c>
      <c r="I4" s="194">
        <v>0</v>
      </c>
      <c r="J4" s="194">
        <v>289140</v>
      </c>
      <c r="K4" s="185">
        <v>0.3</v>
      </c>
      <c r="L4" s="183" t="s">
        <v>6362</v>
      </c>
      <c r="M4" s="183" t="s">
        <v>162</v>
      </c>
      <c r="N4" s="183" t="s">
        <v>162</v>
      </c>
      <c r="O4" s="913"/>
    </row>
    <row r="5" spans="1:15" s="182" customFormat="1" ht="21.75" customHeight="1" x14ac:dyDescent="0.15">
      <c r="A5" s="151" t="s">
        <v>6354</v>
      </c>
      <c r="B5" s="20" t="s">
        <v>1431</v>
      </c>
      <c r="C5" s="224" t="s">
        <v>3351</v>
      </c>
      <c r="D5" s="224" t="s">
        <v>3352</v>
      </c>
      <c r="E5" s="45" t="s">
        <v>2796</v>
      </c>
      <c r="F5" s="207" t="s">
        <v>3328</v>
      </c>
      <c r="G5" s="235" t="s">
        <v>3381</v>
      </c>
      <c r="H5" s="638">
        <v>21098</v>
      </c>
      <c r="I5" s="194">
        <v>0</v>
      </c>
      <c r="J5" s="194">
        <v>35000</v>
      </c>
      <c r="K5" s="185">
        <v>0.5</v>
      </c>
      <c r="L5" s="183" t="s">
        <v>285</v>
      </c>
      <c r="M5" s="184" t="s">
        <v>5255</v>
      </c>
      <c r="N5" s="184" t="s">
        <v>5255</v>
      </c>
      <c r="O5" s="913"/>
    </row>
    <row r="6" spans="1:15" s="182" customFormat="1" ht="21.75" customHeight="1" x14ac:dyDescent="0.15">
      <c r="A6" s="151" t="s">
        <v>6354</v>
      </c>
      <c r="B6" s="20" t="s">
        <v>1431</v>
      </c>
      <c r="C6" s="224" t="s">
        <v>3351</v>
      </c>
      <c r="D6" s="224" t="s">
        <v>3352</v>
      </c>
      <c r="E6" s="45" t="s">
        <v>2796</v>
      </c>
      <c r="F6" s="207" t="s">
        <v>3328</v>
      </c>
      <c r="G6" s="239" t="s">
        <v>3349</v>
      </c>
      <c r="H6" s="638">
        <v>22091</v>
      </c>
      <c r="I6" s="194">
        <v>0</v>
      </c>
      <c r="J6" s="194">
        <v>35000</v>
      </c>
      <c r="K6" s="185">
        <v>0.5</v>
      </c>
      <c r="L6" s="183" t="s">
        <v>285</v>
      </c>
      <c r="M6" s="184" t="s">
        <v>5255</v>
      </c>
      <c r="N6" s="184" t="s">
        <v>5255</v>
      </c>
      <c r="O6" s="913"/>
    </row>
    <row r="7" spans="1:15" s="182" customFormat="1" ht="21.75" customHeight="1" x14ac:dyDescent="0.15">
      <c r="A7" s="151" t="s">
        <v>6354</v>
      </c>
      <c r="B7" s="20" t="s">
        <v>1431</v>
      </c>
      <c r="C7" s="224" t="s">
        <v>3351</v>
      </c>
      <c r="D7" s="224" t="s">
        <v>3352</v>
      </c>
      <c r="E7" s="45" t="s">
        <v>2796</v>
      </c>
      <c r="F7" s="207" t="s">
        <v>3328</v>
      </c>
      <c r="G7" s="239" t="s">
        <v>3349</v>
      </c>
      <c r="H7" s="638">
        <v>23102</v>
      </c>
      <c r="I7" s="194">
        <v>0</v>
      </c>
      <c r="J7" s="194">
        <v>35000</v>
      </c>
      <c r="K7" s="185">
        <v>0.5</v>
      </c>
      <c r="L7" s="183" t="s">
        <v>285</v>
      </c>
      <c r="M7" s="184" t="s">
        <v>5255</v>
      </c>
      <c r="N7" s="184" t="s">
        <v>5255</v>
      </c>
      <c r="O7" s="913"/>
    </row>
    <row r="8" spans="1:15" s="182" customFormat="1" ht="54.75" customHeight="1" x14ac:dyDescent="0.15">
      <c r="A8" s="151" t="s">
        <v>6354</v>
      </c>
      <c r="B8" s="849" t="s">
        <v>6363</v>
      </c>
      <c r="C8" s="224" t="s">
        <v>3351</v>
      </c>
      <c r="D8" s="224" t="s">
        <v>3352</v>
      </c>
      <c r="E8" s="180" t="s">
        <v>2794</v>
      </c>
      <c r="F8" s="207" t="s">
        <v>3340</v>
      </c>
      <c r="G8" s="235" t="s">
        <v>3381</v>
      </c>
      <c r="H8" s="638">
        <v>21096</v>
      </c>
      <c r="I8" s="194">
        <v>0</v>
      </c>
      <c r="J8" s="194">
        <v>35000</v>
      </c>
      <c r="K8" s="185">
        <v>0.5</v>
      </c>
      <c r="L8" s="183" t="s">
        <v>285</v>
      </c>
      <c r="M8" s="184" t="s">
        <v>5255</v>
      </c>
      <c r="N8" s="184" t="s">
        <v>5255</v>
      </c>
      <c r="O8" s="913"/>
    </row>
    <row r="9" spans="1:15" s="182" customFormat="1" ht="54.75" customHeight="1" x14ac:dyDescent="0.15">
      <c r="A9" s="151" t="s">
        <v>6354</v>
      </c>
      <c r="B9" s="849" t="s">
        <v>6363</v>
      </c>
      <c r="C9" s="224" t="s">
        <v>3351</v>
      </c>
      <c r="D9" s="224" t="s">
        <v>3352</v>
      </c>
      <c r="E9" s="180" t="s">
        <v>2794</v>
      </c>
      <c r="F9" s="207" t="s">
        <v>3340</v>
      </c>
      <c r="G9" s="239" t="s">
        <v>3349</v>
      </c>
      <c r="H9" s="638">
        <v>22089</v>
      </c>
      <c r="I9" s="194">
        <v>0</v>
      </c>
      <c r="J9" s="194">
        <v>35000</v>
      </c>
      <c r="K9" s="185">
        <v>0.5</v>
      </c>
      <c r="L9" s="183" t="s">
        <v>285</v>
      </c>
      <c r="M9" s="184" t="s">
        <v>5255</v>
      </c>
      <c r="N9" s="184" t="s">
        <v>5255</v>
      </c>
      <c r="O9" s="913"/>
    </row>
    <row r="10" spans="1:15" s="182" customFormat="1" ht="69.75" customHeight="1" x14ac:dyDescent="0.15">
      <c r="A10" s="151" t="s">
        <v>6354</v>
      </c>
      <c r="B10" s="849" t="s">
        <v>6125</v>
      </c>
      <c r="C10" s="224" t="s">
        <v>3351</v>
      </c>
      <c r="D10" s="224" t="s">
        <v>3352</v>
      </c>
      <c r="E10" s="180" t="s">
        <v>3643</v>
      </c>
      <c r="F10" s="207" t="s">
        <v>3340</v>
      </c>
      <c r="G10" s="239" t="s">
        <v>3349</v>
      </c>
      <c r="H10" s="913">
        <v>22093</v>
      </c>
      <c r="I10" s="194">
        <v>0</v>
      </c>
      <c r="J10" s="194">
        <v>35000</v>
      </c>
      <c r="K10" s="185">
        <v>0.5</v>
      </c>
      <c r="L10" s="183" t="s">
        <v>285</v>
      </c>
      <c r="M10" s="184" t="s">
        <v>5255</v>
      </c>
      <c r="N10" s="184" t="s">
        <v>5255</v>
      </c>
      <c r="O10" s="913"/>
    </row>
    <row r="11" spans="1:15" s="182" customFormat="1" ht="21.75" customHeight="1" x14ac:dyDescent="0.15">
      <c r="A11" s="151" t="s">
        <v>6354</v>
      </c>
      <c r="B11" s="20" t="s">
        <v>6355</v>
      </c>
      <c r="C11" s="224" t="s">
        <v>3351</v>
      </c>
      <c r="D11" s="224" t="s">
        <v>3352</v>
      </c>
      <c r="E11" s="184" t="s">
        <v>2795</v>
      </c>
      <c r="F11" s="207" t="s">
        <v>3328</v>
      </c>
      <c r="G11" s="239" t="s">
        <v>3349</v>
      </c>
      <c r="H11" s="913">
        <v>23098</v>
      </c>
      <c r="I11" s="194">
        <v>0</v>
      </c>
      <c r="J11" s="194">
        <v>35000</v>
      </c>
      <c r="K11" s="185">
        <v>0.5</v>
      </c>
      <c r="L11" s="183" t="s">
        <v>285</v>
      </c>
      <c r="M11" s="184" t="s">
        <v>5255</v>
      </c>
      <c r="N11" s="184" t="s">
        <v>5255</v>
      </c>
      <c r="O11" s="913"/>
    </row>
    <row r="12" spans="1:15" s="182" customFormat="1" ht="21.75" customHeight="1" x14ac:dyDescent="0.15">
      <c r="A12" s="151" t="s">
        <v>6356</v>
      </c>
      <c r="B12" s="20" t="s">
        <v>6353</v>
      </c>
      <c r="C12" s="916" t="s">
        <v>4982</v>
      </c>
      <c r="D12" s="916" t="s">
        <v>5098</v>
      </c>
      <c r="E12" s="916" t="s">
        <v>6318</v>
      </c>
      <c r="F12" s="184" t="s">
        <v>6254</v>
      </c>
      <c r="G12" s="235" t="s">
        <v>5300</v>
      </c>
      <c r="H12" s="913">
        <v>23155</v>
      </c>
      <c r="I12" s="194">
        <v>0</v>
      </c>
      <c r="J12" s="194">
        <v>31650</v>
      </c>
      <c r="K12" s="185">
        <v>0.3</v>
      </c>
      <c r="L12" s="183" t="s">
        <v>6362</v>
      </c>
      <c r="M12" s="183" t="s">
        <v>162</v>
      </c>
      <c r="N12" s="183" t="s">
        <v>162</v>
      </c>
      <c r="O12" s="913"/>
    </row>
    <row r="13" spans="1:15" s="182" customFormat="1" ht="60" customHeight="1" x14ac:dyDescent="0.15">
      <c r="A13" s="151" t="s">
        <v>6358</v>
      </c>
      <c r="B13" s="849" t="s">
        <v>6363</v>
      </c>
      <c r="C13" s="224" t="s">
        <v>3351</v>
      </c>
      <c r="D13" s="224" t="s">
        <v>3352</v>
      </c>
      <c r="E13" s="180" t="s">
        <v>2794</v>
      </c>
      <c r="F13" s="207" t="s">
        <v>3340</v>
      </c>
      <c r="G13" s="239" t="s">
        <v>5240</v>
      </c>
      <c r="H13" s="915">
        <v>22056</v>
      </c>
      <c r="I13" s="194">
        <v>0</v>
      </c>
      <c r="J13" s="194">
        <v>25000</v>
      </c>
      <c r="K13" s="185">
        <v>1</v>
      </c>
      <c r="L13" s="183" t="s">
        <v>1948</v>
      </c>
      <c r="M13" s="184" t="s">
        <v>5255</v>
      </c>
      <c r="N13" s="184" t="s">
        <v>5255</v>
      </c>
      <c r="O13" s="915"/>
    </row>
    <row r="14" spans="1:15" s="182" customFormat="1" ht="44.25" customHeight="1" x14ac:dyDescent="0.15">
      <c r="A14" s="151" t="s">
        <v>6358</v>
      </c>
      <c r="B14" s="849" t="s">
        <v>6125</v>
      </c>
      <c r="C14" s="224" t="s">
        <v>3351</v>
      </c>
      <c r="D14" s="224" t="s">
        <v>3352</v>
      </c>
      <c r="E14" s="180" t="s">
        <v>3643</v>
      </c>
      <c r="F14" s="207" t="s">
        <v>3340</v>
      </c>
      <c r="G14" s="239" t="s">
        <v>5240</v>
      </c>
      <c r="H14" s="915">
        <v>22060</v>
      </c>
      <c r="I14" s="194">
        <v>0</v>
      </c>
      <c r="J14" s="194">
        <v>25000</v>
      </c>
      <c r="K14" s="185">
        <v>1</v>
      </c>
      <c r="L14" s="183" t="s">
        <v>1948</v>
      </c>
      <c r="M14" s="184" t="s">
        <v>5255</v>
      </c>
      <c r="N14" s="184" t="s">
        <v>5255</v>
      </c>
      <c r="O14" s="915"/>
    </row>
    <row r="15" spans="1:15" s="182" customFormat="1" ht="21.75" customHeight="1" x14ac:dyDescent="0.15">
      <c r="A15" s="151" t="s">
        <v>6359</v>
      </c>
      <c r="B15" s="20" t="s">
        <v>184</v>
      </c>
      <c r="C15" s="916" t="s">
        <v>5567</v>
      </c>
      <c r="D15" s="184" t="s">
        <v>5422</v>
      </c>
      <c r="E15" s="916" t="s">
        <v>5572</v>
      </c>
      <c r="F15" s="184" t="s">
        <v>5078</v>
      </c>
      <c r="G15" s="235" t="s">
        <v>5030</v>
      </c>
      <c r="H15" s="915">
        <v>22140</v>
      </c>
      <c r="I15" s="194">
        <v>0</v>
      </c>
      <c r="J15" s="194">
        <v>46000</v>
      </c>
      <c r="K15" s="185">
        <v>0.5</v>
      </c>
      <c r="L15" s="183" t="s">
        <v>285</v>
      </c>
      <c r="M15" s="183" t="s">
        <v>155</v>
      </c>
      <c r="N15" s="183" t="s">
        <v>155</v>
      </c>
      <c r="O15" s="915"/>
    </row>
    <row r="16" spans="1:15" s="182" customFormat="1" ht="21.75" customHeight="1" x14ac:dyDescent="0.15">
      <c r="A16" s="151" t="s">
        <v>6359</v>
      </c>
      <c r="B16" s="20" t="s">
        <v>226</v>
      </c>
      <c r="C16" s="916" t="s">
        <v>5567</v>
      </c>
      <c r="D16" s="916" t="s">
        <v>5422</v>
      </c>
      <c r="E16" s="916" t="s">
        <v>5774</v>
      </c>
      <c r="F16" s="184" t="s">
        <v>3328</v>
      </c>
      <c r="G16" s="235" t="s">
        <v>5030</v>
      </c>
      <c r="H16" s="181">
        <v>22136</v>
      </c>
      <c r="I16" s="194">
        <v>0</v>
      </c>
      <c r="J16" s="194">
        <v>46000</v>
      </c>
      <c r="K16" s="185">
        <v>0.5</v>
      </c>
      <c r="L16" s="183" t="s">
        <v>285</v>
      </c>
      <c r="M16" s="183" t="s">
        <v>155</v>
      </c>
      <c r="N16" s="183" t="s">
        <v>155</v>
      </c>
      <c r="O16" s="915"/>
    </row>
    <row r="17" spans="1:15" s="182" customFormat="1" ht="21.75" customHeight="1" x14ac:dyDescent="0.15">
      <c r="A17" s="151" t="s">
        <v>6359</v>
      </c>
      <c r="B17" s="20" t="s">
        <v>226</v>
      </c>
      <c r="C17" s="916" t="s">
        <v>5567</v>
      </c>
      <c r="D17" s="916" t="s">
        <v>5422</v>
      </c>
      <c r="E17" s="916" t="s">
        <v>5774</v>
      </c>
      <c r="F17" s="184" t="s">
        <v>3328</v>
      </c>
      <c r="G17" s="239" t="s">
        <v>5240</v>
      </c>
      <c r="H17" s="638">
        <v>23112</v>
      </c>
      <c r="I17" s="194">
        <v>0</v>
      </c>
      <c r="J17" s="194">
        <v>27160</v>
      </c>
      <c r="K17" s="185">
        <v>0.97</v>
      </c>
      <c r="L17" s="183" t="s">
        <v>1147</v>
      </c>
      <c r="M17" s="183" t="s">
        <v>155</v>
      </c>
      <c r="N17" s="183" t="s">
        <v>155</v>
      </c>
      <c r="O17" s="915"/>
    </row>
    <row r="18" spans="1:15" s="182" customFormat="1" ht="21.75" customHeight="1" x14ac:dyDescent="0.15">
      <c r="A18" s="151" t="s">
        <v>6395</v>
      </c>
      <c r="B18" s="20" t="s">
        <v>331</v>
      </c>
      <c r="C18" s="921" t="s">
        <v>3346</v>
      </c>
      <c r="D18" s="921" t="s">
        <v>3354</v>
      </c>
      <c r="E18" s="921" t="s">
        <v>846</v>
      </c>
      <c r="F18" s="267" t="s">
        <v>3328</v>
      </c>
      <c r="G18" s="235" t="s">
        <v>6368</v>
      </c>
      <c r="H18" s="638" t="s">
        <v>6367</v>
      </c>
      <c r="I18" s="194">
        <v>0</v>
      </c>
      <c r="J18" s="194">
        <v>74000</v>
      </c>
      <c r="K18" s="185">
        <v>0.5</v>
      </c>
      <c r="L18" s="183" t="s">
        <v>285</v>
      </c>
      <c r="M18" s="184" t="s">
        <v>5161</v>
      </c>
      <c r="N18" s="184" t="s">
        <v>5255</v>
      </c>
      <c r="O18" s="917"/>
    </row>
    <row r="19" spans="1:15" s="182" customFormat="1" ht="21.75" customHeight="1" x14ac:dyDescent="0.15">
      <c r="A19" s="151" t="s">
        <v>6396</v>
      </c>
      <c r="B19" s="20" t="s">
        <v>195</v>
      </c>
      <c r="C19" s="620" t="s">
        <v>3985</v>
      </c>
      <c r="D19" s="620" t="s">
        <v>3405</v>
      </c>
      <c r="E19" s="620" t="s">
        <v>6041</v>
      </c>
      <c r="F19" s="241" t="s">
        <v>3328</v>
      </c>
      <c r="G19" s="242" t="s">
        <v>3566</v>
      </c>
      <c r="H19" s="638">
        <v>20179</v>
      </c>
      <c r="I19" s="194">
        <v>0</v>
      </c>
      <c r="J19" s="194">
        <v>50000</v>
      </c>
      <c r="K19" s="185" t="s">
        <v>6369</v>
      </c>
      <c r="L19" s="183" t="s">
        <v>285</v>
      </c>
      <c r="M19" s="241" t="s">
        <v>3434</v>
      </c>
      <c r="N19" s="241" t="s">
        <v>3434</v>
      </c>
      <c r="O19" s="917"/>
    </row>
    <row r="20" spans="1:15" s="182" customFormat="1" ht="21.75" customHeight="1" x14ac:dyDescent="0.15">
      <c r="A20" s="151" t="s">
        <v>6396</v>
      </c>
      <c r="B20" s="20" t="s">
        <v>6364</v>
      </c>
      <c r="C20" s="922" t="s">
        <v>5148</v>
      </c>
      <c r="D20" s="922" t="s">
        <v>5098</v>
      </c>
      <c r="E20" s="922" t="s">
        <v>5149</v>
      </c>
      <c r="F20" s="184" t="s">
        <v>5078</v>
      </c>
      <c r="G20" s="235" t="s">
        <v>5030</v>
      </c>
      <c r="H20" s="638">
        <v>23018</v>
      </c>
      <c r="I20" s="194">
        <v>0</v>
      </c>
      <c r="J20" s="194">
        <v>80000</v>
      </c>
      <c r="K20" s="185">
        <v>1</v>
      </c>
      <c r="L20" s="183" t="s">
        <v>285</v>
      </c>
      <c r="M20" s="183" t="s">
        <v>170</v>
      </c>
      <c r="N20" s="183" t="s">
        <v>170</v>
      </c>
      <c r="O20" s="917"/>
    </row>
    <row r="21" spans="1:15" s="182" customFormat="1" ht="21.75" customHeight="1" x14ac:dyDescent="0.15">
      <c r="A21" s="151" t="s">
        <v>6397</v>
      </c>
      <c r="B21" s="20" t="s">
        <v>3897</v>
      </c>
      <c r="C21" s="241" t="s">
        <v>3325</v>
      </c>
      <c r="D21" s="241" t="s">
        <v>3439</v>
      </c>
      <c r="E21" s="241" t="s">
        <v>3898</v>
      </c>
      <c r="F21" s="241" t="s">
        <v>3328</v>
      </c>
      <c r="G21" s="242" t="s">
        <v>3378</v>
      </c>
      <c r="H21" s="638" t="s">
        <v>6370</v>
      </c>
      <c r="I21" s="194">
        <v>0</v>
      </c>
      <c r="J21" s="194">
        <v>25950</v>
      </c>
      <c r="K21" s="185">
        <v>0.05</v>
      </c>
      <c r="L21" s="183" t="s">
        <v>1143</v>
      </c>
      <c r="M21" s="241" t="s">
        <v>3433</v>
      </c>
      <c r="N21" s="241" t="s">
        <v>3433</v>
      </c>
      <c r="O21" s="917"/>
    </row>
    <row r="22" spans="1:15" s="182" customFormat="1" ht="21.75" customHeight="1" x14ac:dyDescent="0.15">
      <c r="A22" s="151" t="s">
        <v>6397</v>
      </c>
      <c r="B22" s="20" t="s">
        <v>3897</v>
      </c>
      <c r="C22" s="241" t="s">
        <v>3325</v>
      </c>
      <c r="D22" s="241" t="s">
        <v>3439</v>
      </c>
      <c r="E22" s="241" t="s">
        <v>3898</v>
      </c>
      <c r="F22" s="241" t="s">
        <v>3355</v>
      </c>
      <c r="G22" s="242" t="s">
        <v>3899</v>
      </c>
      <c r="H22" s="638" t="s">
        <v>6371</v>
      </c>
      <c r="I22" s="194">
        <v>0</v>
      </c>
      <c r="J22" s="194">
        <v>2550</v>
      </c>
      <c r="K22" s="185">
        <v>0.05</v>
      </c>
      <c r="L22" s="183" t="s">
        <v>1143</v>
      </c>
      <c r="M22" s="241" t="s">
        <v>3433</v>
      </c>
      <c r="N22" s="241" t="s">
        <v>3433</v>
      </c>
      <c r="O22" s="922"/>
    </row>
    <row r="23" spans="1:15" s="182" customFormat="1" ht="21.75" customHeight="1" x14ac:dyDescent="0.15">
      <c r="A23" s="151" t="s">
        <v>6398</v>
      </c>
      <c r="B23" s="20" t="s">
        <v>6365</v>
      </c>
      <c r="C23" s="184" t="s">
        <v>4982</v>
      </c>
      <c r="D23" s="184" t="s">
        <v>6294</v>
      </c>
      <c r="E23" s="184" t="s">
        <v>5984</v>
      </c>
      <c r="F23" s="184" t="s">
        <v>4944</v>
      </c>
      <c r="G23" s="235" t="s">
        <v>5030</v>
      </c>
      <c r="H23" s="638">
        <v>23169</v>
      </c>
      <c r="I23" s="194">
        <v>0</v>
      </c>
      <c r="J23" s="194">
        <v>70000</v>
      </c>
      <c r="K23" s="185">
        <v>1</v>
      </c>
      <c r="L23" s="183" t="s">
        <v>285</v>
      </c>
      <c r="M23" s="184" t="s">
        <v>6038</v>
      </c>
      <c r="N23" s="184" t="s">
        <v>6038</v>
      </c>
      <c r="O23" s="918"/>
    </row>
    <row r="24" spans="1:15" s="182" customFormat="1" ht="21.75" customHeight="1" x14ac:dyDescent="0.15">
      <c r="A24" s="151" t="s">
        <v>6399</v>
      </c>
      <c r="B24" s="20" t="s">
        <v>6366</v>
      </c>
      <c r="C24" s="184" t="s">
        <v>4982</v>
      </c>
      <c r="D24" s="184" t="s">
        <v>5018</v>
      </c>
      <c r="E24" s="184" t="s">
        <v>5934</v>
      </c>
      <c r="F24" s="184" t="s">
        <v>5078</v>
      </c>
      <c r="G24" s="235" t="s">
        <v>6368</v>
      </c>
      <c r="H24" s="638" t="s">
        <v>6372</v>
      </c>
      <c r="I24" s="194">
        <v>0</v>
      </c>
      <c r="J24" s="194">
        <v>74000</v>
      </c>
      <c r="K24" s="185">
        <v>0.5</v>
      </c>
      <c r="L24" s="183" t="s">
        <v>285</v>
      </c>
      <c r="M24" s="184" t="s">
        <v>5161</v>
      </c>
      <c r="N24" s="184" t="s">
        <v>5255</v>
      </c>
      <c r="O24" s="919"/>
    </row>
    <row r="25" spans="1:15" s="182" customFormat="1" ht="21.75" customHeight="1" x14ac:dyDescent="0.15">
      <c r="A25" s="151" t="s">
        <v>6400</v>
      </c>
      <c r="B25" s="20" t="s">
        <v>176</v>
      </c>
      <c r="C25" s="241" t="s">
        <v>3414</v>
      </c>
      <c r="D25" s="241" t="s">
        <v>3347</v>
      </c>
      <c r="E25" s="241" t="s">
        <v>3950</v>
      </c>
      <c r="F25" s="267" t="s">
        <v>3328</v>
      </c>
      <c r="G25" s="242" t="s">
        <v>3349</v>
      </c>
      <c r="H25" s="638">
        <v>20044</v>
      </c>
      <c r="I25" s="194">
        <v>0</v>
      </c>
      <c r="J25" s="194">
        <v>75000</v>
      </c>
      <c r="K25" s="185">
        <v>1</v>
      </c>
      <c r="L25" s="183" t="s">
        <v>285</v>
      </c>
      <c r="M25" s="183" t="s">
        <v>170</v>
      </c>
      <c r="N25" s="183" t="s">
        <v>170</v>
      </c>
      <c r="O25" s="920"/>
    </row>
    <row r="26" spans="1:15" s="182" customFormat="1" ht="21.75" customHeight="1" x14ac:dyDescent="0.15">
      <c r="A26" s="151" t="s">
        <v>6400</v>
      </c>
      <c r="B26" s="20" t="s">
        <v>176</v>
      </c>
      <c r="C26" s="241" t="s">
        <v>3414</v>
      </c>
      <c r="D26" s="241" t="s">
        <v>3347</v>
      </c>
      <c r="E26" s="241" t="s">
        <v>3984</v>
      </c>
      <c r="F26" s="267" t="s">
        <v>3328</v>
      </c>
      <c r="G26" s="242" t="s">
        <v>3349</v>
      </c>
      <c r="H26" s="638">
        <v>20053</v>
      </c>
      <c r="I26" s="194">
        <v>0</v>
      </c>
      <c r="J26" s="194">
        <v>80000</v>
      </c>
      <c r="K26" s="185">
        <v>1</v>
      </c>
      <c r="L26" s="183" t="s">
        <v>285</v>
      </c>
      <c r="M26" s="183" t="s">
        <v>170</v>
      </c>
      <c r="N26" s="183" t="s">
        <v>170</v>
      </c>
      <c r="O26" s="920"/>
    </row>
    <row r="27" spans="1:15" s="182" customFormat="1" ht="21.75" customHeight="1" x14ac:dyDescent="0.15">
      <c r="A27" s="151" t="s">
        <v>6400</v>
      </c>
      <c r="B27" s="20" t="s">
        <v>176</v>
      </c>
      <c r="C27" s="241" t="s">
        <v>3414</v>
      </c>
      <c r="D27" s="368" t="s">
        <v>3347</v>
      </c>
      <c r="E27" s="596" t="s">
        <v>4095</v>
      </c>
      <c r="F27" s="241" t="s">
        <v>3328</v>
      </c>
      <c r="G27" s="242" t="s">
        <v>3349</v>
      </c>
      <c r="H27" s="638">
        <v>21007</v>
      </c>
      <c r="I27" s="194">
        <v>0</v>
      </c>
      <c r="J27" s="194">
        <v>80000</v>
      </c>
      <c r="K27" s="185">
        <v>1</v>
      </c>
      <c r="L27" s="183" t="s">
        <v>285</v>
      </c>
      <c r="M27" s="183" t="s">
        <v>170</v>
      </c>
      <c r="N27" s="183" t="s">
        <v>170</v>
      </c>
      <c r="O27" s="920"/>
    </row>
    <row r="28" spans="1:15" s="182" customFormat="1" ht="21.75" customHeight="1" x14ac:dyDescent="0.15">
      <c r="A28" s="151" t="s">
        <v>6400</v>
      </c>
      <c r="B28" s="20" t="s">
        <v>176</v>
      </c>
      <c r="C28" s="923" t="s">
        <v>3414</v>
      </c>
      <c r="D28" s="923" t="s">
        <v>3347</v>
      </c>
      <c r="E28" s="923" t="s">
        <v>3950</v>
      </c>
      <c r="F28" s="267" t="s">
        <v>3328</v>
      </c>
      <c r="G28" s="239" t="s">
        <v>5240</v>
      </c>
      <c r="H28" s="638">
        <v>22004</v>
      </c>
      <c r="I28" s="194">
        <v>0</v>
      </c>
      <c r="J28" s="194">
        <v>30000</v>
      </c>
      <c r="K28" s="185">
        <v>1</v>
      </c>
      <c r="L28" s="183" t="s">
        <v>1948</v>
      </c>
      <c r="M28" s="183" t="s">
        <v>170</v>
      </c>
      <c r="N28" s="183" t="s">
        <v>170</v>
      </c>
      <c r="O28" s="920"/>
    </row>
    <row r="29" spans="1:15" s="182" customFormat="1" ht="21.75" customHeight="1" x14ac:dyDescent="0.15">
      <c r="A29" s="151" t="s">
        <v>6400</v>
      </c>
      <c r="B29" s="20" t="s">
        <v>176</v>
      </c>
      <c r="C29" s="923" t="s">
        <v>3414</v>
      </c>
      <c r="D29" s="923" t="s">
        <v>3347</v>
      </c>
      <c r="E29" s="923" t="s">
        <v>3950</v>
      </c>
      <c r="F29" s="267" t="s">
        <v>3328</v>
      </c>
      <c r="G29" s="235" t="s">
        <v>3349</v>
      </c>
      <c r="H29" s="638">
        <v>22005</v>
      </c>
      <c r="I29" s="194">
        <v>0</v>
      </c>
      <c r="J29" s="194">
        <v>45000</v>
      </c>
      <c r="K29" s="185">
        <v>0.6</v>
      </c>
      <c r="L29" s="183" t="s">
        <v>285</v>
      </c>
      <c r="M29" s="183" t="s">
        <v>170</v>
      </c>
      <c r="N29" s="183" t="s">
        <v>170</v>
      </c>
      <c r="O29" s="920"/>
    </row>
    <row r="30" spans="1:15" s="182" customFormat="1" ht="21.75" customHeight="1" x14ac:dyDescent="0.15">
      <c r="A30" s="151" t="s">
        <v>6400</v>
      </c>
      <c r="B30" s="20" t="s">
        <v>176</v>
      </c>
      <c r="C30" s="923" t="s">
        <v>3414</v>
      </c>
      <c r="D30" s="368" t="s">
        <v>3347</v>
      </c>
      <c r="E30" s="30" t="s">
        <v>4095</v>
      </c>
      <c r="F30" s="184" t="s">
        <v>3328</v>
      </c>
      <c r="G30" s="235" t="s">
        <v>5030</v>
      </c>
      <c r="H30" s="638">
        <v>22006</v>
      </c>
      <c r="I30" s="194">
        <v>0</v>
      </c>
      <c r="J30" s="194">
        <v>50000</v>
      </c>
      <c r="K30" s="222">
        <v>0.625</v>
      </c>
      <c r="L30" s="183" t="s">
        <v>285</v>
      </c>
      <c r="M30" s="183" t="s">
        <v>170</v>
      </c>
      <c r="N30" s="183" t="s">
        <v>170</v>
      </c>
      <c r="O30" s="920"/>
    </row>
    <row r="31" spans="1:15" s="182" customFormat="1" ht="21.75" customHeight="1" x14ac:dyDescent="0.15">
      <c r="A31" s="151" t="s">
        <v>6400</v>
      </c>
      <c r="B31" s="20" t="s">
        <v>176</v>
      </c>
      <c r="C31" s="923" t="s">
        <v>3414</v>
      </c>
      <c r="D31" s="368" t="s">
        <v>3347</v>
      </c>
      <c r="E31" s="30" t="s">
        <v>4095</v>
      </c>
      <c r="F31" s="267" t="s">
        <v>3328</v>
      </c>
      <c r="G31" s="239" t="s">
        <v>5240</v>
      </c>
      <c r="H31" s="638">
        <v>22007</v>
      </c>
      <c r="I31" s="194">
        <v>0</v>
      </c>
      <c r="J31" s="194">
        <v>30000</v>
      </c>
      <c r="K31" s="185">
        <v>1</v>
      </c>
      <c r="L31" s="183" t="s">
        <v>1948</v>
      </c>
      <c r="M31" s="183" t="s">
        <v>170</v>
      </c>
      <c r="N31" s="183" t="s">
        <v>170</v>
      </c>
      <c r="O31" s="920"/>
    </row>
    <row r="32" spans="1:15" s="182" customFormat="1" ht="21.75" customHeight="1" x14ac:dyDescent="0.15">
      <c r="A32" s="151" t="s">
        <v>6400</v>
      </c>
      <c r="B32" s="20" t="s">
        <v>176</v>
      </c>
      <c r="C32" s="923" t="s">
        <v>3414</v>
      </c>
      <c r="D32" s="923" t="s">
        <v>3347</v>
      </c>
      <c r="E32" s="923" t="s">
        <v>3984</v>
      </c>
      <c r="F32" s="267" t="s">
        <v>3328</v>
      </c>
      <c r="G32" s="235" t="s">
        <v>3349</v>
      </c>
      <c r="H32" s="638">
        <v>22008</v>
      </c>
      <c r="I32" s="194">
        <v>0</v>
      </c>
      <c r="J32" s="194">
        <v>50000</v>
      </c>
      <c r="K32" s="222">
        <v>0.625</v>
      </c>
      <c r="L32" s="183" t="s">
        <v>285</v>
      </c>
      <c r="M32" s="183" t="s">
        <v>170</v>
      </c>
      <c r="N32" s="183" t="s">
        <v>170</v>
      </c>
      <c r="O32" s="920"/>
    </row>
    <row r="33" spans="1:15" s="182" customFormat="1" ht="21.75" customHeight="1" x14ac:dyDescent="0.15">
      <c r="A33" s="151" t="s">
        <v>6400</v>
      </c>
      <c r="B33" s="20" t="s">
        <v>176</v>
      </c>
      <c r="C33" s="923" t="s">
        <v>3414</v>
      </c>
      <c r="D33" s="923" t="s">
        <v>3347</v>
      </c>
      <c r="E33" s="923" t="s">
        <v>3984</v>
      </c>
      <c r="F33" s="267" t="s">
        <v>3328</v>
      </c>
      <c r="G33" s="239" t="s">
        <v>5240</v>
      </c>
      <c r="H33" s="638">
        <v>22009</v>
      </c>
      <c r="I33" s="194">
        <v>0</v>
      </c>
      <c r="J33" s="194">
        <v>30000</v>
      </c>
      <c r="K33" s="185">
        <v>1</v>
      </c>
      <c r="L33" s="183" t="s">
        <v>1948</v>
      </c>
      <c r="M33" s="183" t="s">
        <v>170</v>
      </c>
      <c r="N33" s="183" t="s">
        <v>170</v>
      </c>
      <c r="O33" s="920"/>
    </row>
    <row r="34" spans="1:15" s="182" customFormat="1" ht="21.75" customHeight="1" x14ac:dyDescent="0.15">
      <c r="A34" s="151" t="s">
        <v>6400</v>
      </c>
      <c r="B34" s="20" t="s">
        <v>2074</v>
      </c>
      <c r="C34" s="922" t="s">
        <v>4982</v>
      </c>
      <c r="D34" s="922" t="s">
        <v>5018</v>
      </c>
      <c r="E34" s="922" t="s">
        <v>5335</v>
      </c>
      <c r="F34" s="184" t="s">
        <v>3328</v>
      </c>
      <c r="G34" s="235" t="s">
        <v>6368</v>
      </c>
      <c r="H34" s="638" t="s">
        <v>6373</v>
      </c>
      <c r="I34" s="194">
        <v>0</v>
      </c>
      <c r="J34" s="194">
        <v>74000</v>
      </c>
      <c r="K34" s="185">
        <v>0.5</v>
      </c>
      <c r="L34" s="183" t="s">
        <v>285</v>
      </c>
      <c r="M34" s="184" t="s">
        <v>5161</v>
      </c>
      <c r="N34" s="184" t="s">
        <v>5255</v>
      </c>
      <c r="O34" s="922"/>
    </row>
    <row r="35" spans="1:15" s="182" customFormat="1" ht="50.25" customHeight="1" x14ac:dyDescent="0.15">
      <c r="A35" s="151" t="s">
        <v>6401</v>
      </c>
      <c r="B35" s="849" t="s">
        <v>5970</v>
      </c>
      <c r="C35" s="926" t="s">
        <v>4982</v>
      </c>
      <c r="D35" s="926" t="s">
        <v>5018</v>
      </c>
      <c r="E35" s="926" t="s">
        <v>664</v>
      </c>
      <c r="F35" s="224" t="s">
        <v>3328</v>
      </c>
      <c r="G35" s="235" t="s">
        <v>6368</v>
      </c>
      <c r="H35" s="638" t="s">
        <v>6374</v>
      </c>
      <c r="I35" s="194">
        <v>0</v>
      </c>
      <c r="J35" s="194">
        <v>74000</v>
      </c>
      <c r="K35" s="185">
        <v>0.5</v>
      </c>
      <c r="L35" s="183" t="s">
        <v>285</v>
      </c>
      <c r="M35" s="184" t="s">
        <v>5161</v>
      </c>
      <c r="N35" s="184" t="s">
        <v>5255</v>
      </c>
      <c r="O35" s="924"/>
    </row>
    <row r="36" spans="1:15" s="182" customFormat="1" ht="21.75" customHeight="1" x14ac:dyDescent="0.15">
      <c r="A36" s="151" t="s">
        <v>6401</v>
      </c>
      <c r="B36" s="20" t="s">
        <v>1973</v>
      </c>
      <c r="C36" s="241" t="s">
        <v>3337</v>
      </c>
      <c r="D36" s="241" t="s">
        <v>3347</v>
      </c>
      <c r="E36" s="241" t="s">
        <v>3297</v>
      </c>
      <c r="F36" s="267" t="s">
        <v>3328</v>
      </c>
      <c r="G36" s="170" t="s">
        <v>3349</v>
      </c>
      <c r="H36" s="638">
        <v>20040</v>
      </c>
      <c r="I36" s="194">
        <v>0</v>
      </c>
      <c r="J36" s="194">
        <v>100000</v>
      </c>
      <c r="K36" s="185">
        <v>1</v>
      </c>
      <c r="L36" s="183" t="s">
        <v>285</v>
      </c>
      <c r="M36" s="241" t="s">
        <v>4957</v>
      </c>
      <c r="N36" s="596" t="s">
        <v>3726</v>
      </c>
      <c r="O36" s="924"/>
    </row>
    <row r="37" spans="1:15" s="182" customFormat="1" ht="21.75" customHeight="1" x14ac:dyDescent="0.15">
      <c r="A37" s="151" t="s">
        <v>6401</v>
      </c>
      <c r="B37" s="20" t="s">
        <v>1973</v>
      </c>
      <c r="C37" s="241" t="s">
        <v>3337</v>
      </c>
      <c r="D37" s="241" t="s">
        <v>3347</v>
      </c>
      <c r="E37" s="241" t="s">
        <v>3297</v>
      </c>
      <c r="F37" s="267" t="s">
        <v>3328</v>
      </c>
      <c r="G37" s="170" t="s">
        <v>3566</v>
      </c>
      <c r="H37" s="610">
        <v>21031</v>
      </c>
      <c r="I37" s="194">
        <v>0</v>
      </c>
      <c r="J37" s="194">
        <v>85000</v>
      </c>
      <c r="K37" s="185" t="s">
        <v>6375</v>
      </c>
      <c r="L37" s="183" t="s">
        <v>285</v>
      </c>
      <c r="M37" s="241" t="s">
        <v>4957</v>
      </c>
      <c r="N37" s="596" t="s">
        <v>3726</v>
      </c>
      <c r="O37" s="924"/>
    </row>
    <row r="38" spans="1:15" s="182" customFormat="1" ht="21.75" customHeight="1" x14ac:dyDescent="0.15">
      <c r="A38" s="151" t="s">
        <v>6387</v>
      </c>
      <c r="B38" s="20" t="s">
        <v>4474</v>
      </c>
      <c r="C38" s="241" t="s">
        <v>3351</v>
      </c>
      <c r="D38" s="241" t="s">
        <v>3352</v>
      </c>
      <c r="E38" s="241" t="s">
        <v>4475</v>
      </c>
      <c r="F38" s="241" t="s">
        <v>3328</v>
      </c>
      <c r="G38" s="242" t="s">
        <v>4476</v>
      </c>
      <c r="H38" s="638">
        <v>20141</v>
      </c>
      <c r="I38" s="194">
        <v>0</v>
      </c>
      <c r="J38" s="194">
        <v>17300</v>
      </c>
      <c r="K38" s="185">
        <v>0.1</v>
      </c>
      <c r="L38" s="183" t="s">
        <v>5744</v>
      </c>
      <c r="M38" s="241" t="s">
        <v>4699</v>
      </c>
      <c r="N38" s="241" t="s">
        <v>3726</v>
      </c>
      <c r="O38" s="925"/>
    </row>
    <row r="39" spans="1:15" s="182" customFormat="1" ht="21.75" customHeight="1" x14ac:dyDescent="0.15">
      <c r="A39" s="151" t="s">
        <v>6388</v>
      </c>
      <c r="B39" s="20" t="s">
        <v>3012</v>
      </c>
      <c r="C39" s="932" t="s">
        <v>5567</v>
      </c>
      <c r="D39" s="932" t="s">
        <v>5760</v>
      </c>
      <c r="E39" s="932" t="s">
        <v>6405</v>
      </c>
      <c r="F39" s="184" t="s">
        <v>5762</v>
      </c>
      <c r="G39" s="235" t="s">
        <v>5249</v>
      </c>
      <c r="H39" s="638" t="s">
        <v>6402</v>
      </c>
      <c r="I39" s="194">
        <v>0</v>
      </c>
      <c r="J39" s="194">
        <v>9900</v>
      </c>
      <c r="K39" s="185">
        <v>0.9</v>
      </c>
      <c r="L39" s="183" t="s">
        <v>806</v>
      </c>
      <c r="M39" s="184" t="s">
        <v>5765</v>
      </c>
      <c r="N39" s="184" t="s">
        <v>5765</v>
      </c>
      <c r="O39" s="925"/>
    </row>
    <row r="40" spans="1:15" s="182" customFormat="1" ht="21.75" customHeight="1" x14ac:dyDescent="0.15">
      <c r="A40" s="151" t="s">
        <v>6388</v>
      </c>
      <c r="B40" s="20" t="s">
        <v>3012</v>
      </c>
      <c r="C40" s="932" t="s">
        <v>5567</v>
      </c>
      <c r="D40" s="932" t="s">
        <v>5760</v>
      </c>
      <c r="E40" s="932" t="s">
        <v>5761</v>
      </c>
      <c r="F40" s="184" t="s">
        <v>5078</v>
      </c>
      <c r="G40" s="235" t="s">
        <v>5249</v>
      </c>
      <c r="H40" s="638" t="s">
        <v>6403</v>
      </c>
      <c r="I40" s="194">
        <v>0</v>
      </c>
      <c r="J40" s="194">
        <v>162900</v>
      </c>
      <c r="K40" s="185">
        <v>0.9</v>
      </c>
      <c r="L40" s="183" t="s">
        <v>806</v>
      </c>
      <c r="M40" s="184" t="s">
        <v>5765</v>
      </c>
      <c r="N40" s="184" t="s">
        <v>5765</v>
      </c>
      <c r="O40" s="932"/>
    </row>
    <row r="41" spans="1:15" s="182" customFormat="1" ht="21.75" customHeight="1" x14ac:dyDescent="0.15">
      <c r="A41" s="151" t="s">
        <v>6388</v>
      </c>
      <c r="B41" s="20" t="s">
        <v>3012</v>
      </c>
      <c r="C41" s="932" t="s">
        <v>5567</v>
      </c>
      <c r="D41" s="932" t="s">
        <v>5760</v>
      </c>
      <c r="E41" s="932" t="s">
        <v>5761</v>
      </c>
      <c r="F41" s="184" t="s">
        <v>3400</v>
      </c>
      <c r="G41" s="235" t="s">
        <v>5249</v>
      </c>
      <c r="H41" s="638" t="s">
        <v>6404</v>
      </c>
      <c r="I41" s="194">
        <v>0</v>
      </c>
      <c r="J41" s="194">
        <v>6300</v>
      </c>
      <c r="K41" s="185">
        <v>0.9</v>
      </c>
      <c r="L41" s="183" t="s">
        <v>806</v>
      </c>
      <c r="M41" s="184" t="s">
        <v>5765</v>
      </c>
      <c r="N41" s="184" t="s">
        <v>5765</v>
      </c>
      <c r="O41" s="932"/>
    </row>
    <row r="42" spans="1:15" s="182" customFormat="1" ht="21.75" customHeight="1" x14ac:dyDescent="0.15">
      <c r="A42" s="151" t="s">
        <v>6389</v>
      </c>
      <c r="B42" s="20" t="s">
        <v>3002</v>
      </c>
      <c r="C42" s="932" t="s">
        <v>5213</v>
      </c>
      <c r="D42" s="932" t="s">
        <v>5214</v>
      </c>
      <c r="E42" s="932" t="s">
        <v>5215</v>
      </c>
      <c r="F42" s="184" t="s">
        <v>3340</v>
      </c>
      <c r="G42" s="235" t="s">
        <v>5030</v>
      </c>
      <c r="H42" s="638">
        <v>23054</v>
      </c>
      <c r="I42" s="194">
        <v>0</v>
      </c>
      <c r="J42" s="194">
        <v>75000</v>
      </c>
      <c r="K42" s="185">
        <v>1</v>
      </c>
      <c r="L42" s="183" t="s">
        <v>5743</v>
      </c>
      <c r="M42" s="184" t="s">
        <v>5255</v>
      </c>
      <c r="N42" s="184" t="s">
        <v>5255</v>
      </c>
      <c r="O42" s="927"/>
    </row>
    <row r="43" spans="1:15" s="182" customFormat="1" ht="21.75" customHeight="1" x14ac:dyDescent="0.15">
      <c r="A43" s="151" t="s">
        <v>6389</v>
      </c>
      <c r="B43" s="20" t="s">
        <v>6376</v>
      </c>
      <c r="C43" s="184" t="s">
        <v>4941</v>
      </c>
      <c r="D43" s="184" t="s">
        <v>4942</v>
      </c>
      <c r="E43" s="184" t="s">
        <v>6415</v>
      </c>
      <c r="F43" s="184" t="s">
        <v>3328</v>
      </c>
      <c r="G43" s="235" t="s">
        <v>6416</v>
      </c>
      <c r="H43" s="638" t="s">
        <v>6406</v>
      </c>
      <c r="I43" s="194">
        <v>0</v>
      </c>
      <c r="J43" s="194">
        <v>70388.800000000003</v>
      </c>
      <c r="K43" s="185" t="s">
        <v>6428</v>
      </c>
      <c r="L43" s="183" t="s">
        <v>806</v>
      </c>
      <c r="M43" s="184" t="s">
        <v>5255</v>
      </c>
      <c r="N43" s="184" t="s">
        <v>5255</v>
      </c>
      <c r="O43" s="927"/>
    </row>
    <row r="44" spans="1:15" s="182" customFormat="1" ht="21.75" customHeight="1" x14ac:dyDescent="0.15">
      <c r="A44" s="151" t="s">
        <v>6389</v>
      </c>
      <c r="B44" s="20" t="s">
        <v>6376</v>
      </c>
      <c r="C44" s="184" t="s">
        <v>4941</v>
      </c>
      <c r="D44" s="184" t="s">
        <v>4942</v>
      </c>
      <c r="E44" s="184" t="s">
        <v>6417</v>
      </c>
      <c r="F44" s="184" t="s">
        <v>5078</v>
      </c>
      <c r="G44" s="235" t="s">
        <v>6416</v>
      </c>
      <c r="H44" s="638" t="s">
        <v>6407</v>
      </c>
      <c r="I44" s="194">
        <v>0</v>
      </c>
      <c r="J44" s="194">
        <v>77059.199999999997</v>
      </c>
      <c r="K44" s="185" t="s">
        <v>6427</v>
      </c>
      <c r="L44" s="183" t="s">
        <v>806</v>
      </c>
      <c r="M44" s="184" t="s">
        <v>5255</v>
      </c>
      <c r="N44" s="184" t="s">
        <v>5255</v>
      </c>
      <c r="O44" s="932"/>
    </row>
    <row r="45" spans="1:15" s="182" customFormat="1" ht="21.75" customHeight="1" x14ac:dyDescent="0.15">
      <c r="A45" s="151" t="s">
        <v>6389</v>
      </c>
      <c r="B45" s="20" t="s">
        <v>6376</v>
      </c>
      <c r="C45" s="184" t="s">
        <v>4941</v>
      </c>
      <c r="D45" s="184" t="s">
        <v>4942</v>
      </c>
      <c r="E45" s="184" t="s">
        <v>6418</v>
      </c>
      <c r="F45" s="184" t="s">
        <v>5078</v>
      </c>
      <c r="G45" s="235" t="s">
        <v>6419</v>
      </c>
      <c r="H45" s="638" t="s">
        <v>6408</v>
      </c>
      <c r="I45" s="194">
        <v>0</v>
      </c>
      <c r="J45" s="194">
        <v>79046.399999999994</v>
      </c>
      <c r="K45" s="185" t="s">
        <v>6427</v>
      </c>
      <c r="L45" s="183" t="s">
        <v>806</v>
      </c>
      <c r="M45" s="184" t="s">
        <v>5255</v>
      </c>
      <c r="N45" s="184" t="s">
        <v>5255</v>
      </c>
      <c r="O45" s="932"/>
    </row>
    <row r="46" spans="1:15" s="182" customFormat="1" ht="21.75" customHeight="1" x14ac:dyDescent="0.15">
      <c r="A46" s="151" t="s">
        <v>6389</v>
      </c>
      <c r="B46" s="20" t="s">
        <v>6376</v>
      </c>
      <c r="C46" s="184" t="s">
        <v>4941</v>
      </c>
      <c r="D46" s="184" t="s">
        <v>4942</v>
      </c>
      <c r="E46" s="184" t="s">
        <v>6420</v>
      </c>
      <c r="F46" s="184" t="s">
        <v>5078</v>
      </c>
      <c r="G46" s="235" t="s">
        <v>6419</v>
      </c>
      <c r="H46" s="638" t="s">
        <v>6409</v>
      </c>
      <c r="I46" s="194">
        <v>0</v>
      </c>
      <c r="J46" s="194">
        <v>79046.399999999994</v>
      </c>
      <c r="K46" s="185" t="s">
        <v>6427</v>
      </c>
      <c r="L46" s="183" t="s">
        <v>806</v>
      </c>
      <c r="M46" s="184" t="s">
        <v>5255</v>
      </c>
      <c r="N46" s="184" t="s">
        <v>5255</v>
      </c>
      <c r="O46" s="932"/>
    </row>
    <row r="47" spans="1:15" s="182" customFormat="1" ht="21.75" customHeight="1" x14ac:dyDescent="0.15">
      <c r="A47" s="151" t="s">
        <v>6389</v>
      </c>
      <c r="B47" s="20" t="s">
        <v>6376</v>
      </c>
      <c r="C47" s="184" t="s">
        <v>4941</v>
      </c>
      <c r="D47" s="184" t="s">
        <v>4942</v>
      </c>
      <c r="E47" s="184" t="s">
        <v>6421</v>
      </c>
      <c r="F47" s="184" t="s">
        <v>5078</v>
      </c>
      <c r="G47" s="235" t="s">
        <v>6422</v>
      </c>
      <c r="H47" s="638" t="s">
        <v>6410</v>
      </c>
      <c r="I47" s="194">
        <v>0</v>
      </c>
      <c r="J47" s="194">
        <v>99912</v>
      </c>
      <c r="K47" s="185" t="s">
        <v>6427</v>
      </c>
      <c r="L47" s="183" t="s">
        <v>806</v>
      </c>
      <c r="M47" s="184" t="s">
        <v>5255</v>
      </c>
      <c r="N47" s="184" t="s">
        <v>5255</v>
      </c>
      <c r="O47" s="932"/>
    </row>
    <row r="48" spans="1:15" s="182" customFormat="1" ht="21.75" customHeight="1" x14ac:dyDescent="0.15">
      <c r="A48" s="151" t="s">
        <v>6389</v>
      </c>
      <c r="B48" s="20" t="s">
        <v>6376</v>
      </c>
      <c r="C48" s="184" t="s">
        <v>4941</v>
      </c>
      <c r="D48" s="184" t="s">
        <v>4942</v>
      </c>
      <c r="E48" s="184" t="s">
        <v>6423</v>
      </c>
      <c r="F48" s="184" t="s">
        <v>5078</v>
      </c>
      <c r="G48" s="235" t="s">
        <v>6416</v>
      </c>
      <c r="H48" s="638" t="s">
        <v>6411</v>
      </c>
      <c r="I48" s="194">
        <v>0</v>
      </c>
      <c r="J48" s="194">
        <v>76948.800000000003</v>
      </c>
      <c r="K48" s="185" t="s">
        <v>6427</v>
      </c>
      <c r="L48" s="183" t="s">
        <v>806</v>
      </c>
      <c r="M48" s="184" t="s">
        <v>5255</v>
      </c>
      <c r="N48" s="184" t="s">
        <v>5255</v>
      </c>
      <c r="O48" s="932"/>
    </row>
    <row r="49" spans="1:15" s="182" customFormat="1" ht="21.75" customHeight="1" x14ac:dyDescent="0.15">
      <c r="A49" s="151" t="s">
        <v>6389</v>
      </c>
      <c r="B49" s="20" t="s">
        <v>6376</v>
      </c>
      <c r="C49" s="184" t="s">
        <v>4941</v>
      </c>
      <c r="D49" s="184" t="s">
        <v>4942</v>
      </c>
      <c r="E49" s="184" t="s">
        <v>6424</v>
      </c>
      <c r="F49" s="184" t="s">
        <v>5078</v>
      </c>
      <c r="G49" s="235" t="s">
        <v>6416</v>
      </c>
      <c r="H49" s="638" t="s">
        <v>6412</v>
      </c>
      <c r="I49" s="194">
        <v>0</v>
      </c>
      <c r="J49" s="194">
        <v>63700.800000000003</v>
      </c>
      <c r="K49" s="185" t="s">
        <v>6427</v>
      </c>
      <c r="L49" s="183" t="s">
        <v>806</v>
      </c>
      <c r="M49" s="184" t="s">
        <v>5255</v>
      </c>
      <c r="N49" s="184" t="s">
        <v>5255</v>
      </c>
      <c r="O49" s="932"/>
    </row>
    <row r="50" spans="1:15" s="182" customFormat="1" ht="21.75" customHeight="1" x14ac:dyDescent="0.15">
      <c r="A50" s="151" t="s">
        <v>6389</v>
      </c>
      <c r="B50" s="20" t="s">
        <v>6376</v>
      </c>
      <c r="C50" s="184" t="s">
        <v>4941</v>
      </c>
      <c r="D50" s="184" t="s">
        <v>4942</v>
      </c>
      <c r="E50" s="184" t="s">
        <v>6425</v>
      </c>
      <c r="F50" s="184" t="s">
        <v>5078</v>
      </c>
      <c r="G50" s="235" t="s">
        <v>6416</v>
      </c>
      <c r="H50" s="638" t="s">
        <v>6413</v>
      </c>
      <c r="I50" s="194">
        <v>0</v>
      </c>
      <c r="J50" s="194">
        <v>74740.800000000003</v>
      </c>
      <c r="K50" s="185" t="s">
        <v>6427</v>
      </c>
      <c r="L50" s="183" t="s">
        <v>806</v>
      </c>
      <c r="M50" s="184" t="s">
        <v>5255</v>
      </c>
      <c r="N50" s="184" t="s">
        <v>5255</v>
      </c>
      <c r="O50" s="932"/>
    </row>
    <row r="51" spans="1:15" s="182" customFormat="1" ht="21.75" customHeight="1" x14ac:dyDescent="0.15">
      <c r="A51" s="151" t="s">
        <v>6389</v>
      </c>
      <c r="B51" s="20" t="s">
        <v>6376</v>
      </c>
      <c r="C51" s="184" t="s">
        <v>4941</v>
      </c>
      <c r="D51" s="184" t="s">
        <v>4942</v>
      </c>
      <c r="E51" s="184" t="s">
        <v>6426</v>
      </c>
      <c r="F51" s="184" t="s">
        <v>5078</v>
      </c>
      <c r="G51" s="235" t="s">
        <v>6416</v>
      </c>
      <c r="H51" s="638" t="s">
        <v>6414</v>
      </c>
      <c r="I51" s="194">
        <v>0</v>
      </c>
      <c r="J51" s="194">
        <v>79156.800000000003</v>
      </c>
      <c r="K51" s="185" t="s">
        <v>6427</v>
      </c>
      <c r="L51" s="183" t="s">
        <v>806</v>
      </c>
      <c r="M51" s="184" t="s">
        <v>5255</v>
      </c>
      <c r="N51" s="184" t="s">
        <v>5255</v>
      </c>
      <c r="O51" s="932"/>
    </row>
    <row r="52" spans="1:15" s="182" customFormat="1" ht="21.75" customHeight="1" x14ac:dyDescent="0.15">
      <c r="A52" s="151" t="s">
        <v>6389</v>
      </c>
      <c r="B52" s="20" t="s">
        <v>6377</v>
      </c>
      <c r="C52" s="932" t="s">
        <v>4963</v>
      </c>
      <c r="D52" s="932" t="s">
        <v>5028</v>
      </c>
      <c r="E52" s="932" t="s">
        <v>6286</v>
      </c>
      <c r="F52" s="184" t="s">
        <v>5036</v>
      </c>
      <c r="G52" s="235" t="s">
        <v>5036</v>
      </c>
      <c r="H52" s="638" t="s">
        <v>6384</v>
      </c>
      <c r="I52" s="194">
        <v>0</v>
      </c>
      <c r="J52" s="194">
        <v>5000</v>
      </c>
      <c r="K52" s="185">
        <v>1</v>
      </c>
      <c r="L52" s="183" t="s">
        <v>806</v>
      </c>
      <c r="M52" s="184" t="s">
        <v>5765</v>
      </c>
      <c r="N52" s="184" t="s">
        <v>5765</v>
      </c>
      <c r="O52" s="928"/>
    </row>
    <row r="53" spans="1:15" s="182" customFormat="1" ht="21.75" customHeight="1" x14ac:dyDescent="0.15">
      <c r="A53" s="151" t="s">
        <v>6389</v>
      </c>
      <c r="B53" s="20" t="s">
        <v>2065</v>
      </c>
      <c r="C53" s="581" t="s">
        <v>3346</v>
      </c>
      <c r="D53" s="581" t="s">
        <v>3354</v>
      </c>
      <c r="E53" s="285" t="s">
        <v>4723</v>
      </c>
      <c r="F53" s="224" t="s">
        <v>3328</v>
      </c>
      <c r="G53" s="235" t="s">
        <v>6368</v>
      </c>
      <c r="H53" s="638" t="s">
        <v>6378</v>
      </c>
      <c r="I53" s="194">
        <v>0</v>
      </c>
      <c r="J53" s="194">
        <v>74000</v>
      </c>
      <c r="K53" s="185">
        <v>0.5</v>
      </c>
      <c r="L53" s="183" t="s">
        <v>5743</v>
      </c>
      <c r="M53" s="184" t="s">
        <v>5161</v>
      </c>
      <c r="N53" s="184" t="s">
        <v>5255</v>
      </c>
      <c r="O53" s="928"/>
    </row>
    <row r="54" spans="1:15" s="182" customFormat="1" ht="21.75" customHeight="1" x14ac:dyDescent="0.15">
      <c r="A54" s="151" t="s">
        <v>6389</v>
      </c>
      <c r="B54" s="20" t="s">
        <v>3556</v>
      </c>
      <c r="C54" s="932" t="s">
        <v>3346</v>
      </c>
      <c r="D54" s="932" t="s">
        <v>3354</v>
      </c>
      <c r="E54" s="932" t="s">
        <v>845</v>
      </c>
      <c r="F54" s="267" t="s">
        <v>3328</v>
      </c>
      <c r="G54" s="235" t="s">
        <v>6368</v>
      </c>
      <c r="H54" s="638" t="s">
        <v>6379</v>
      </c>
      <c r="I54" s="194">
        <v>0</v>
      </c>
      <c r="J54" s="194">
        <v>74000</v>
      </c>
      <c r="K54" s="185">
        <v>0.5</v>
      </c>
      <c r="L54" s="183" t="s">
        <v>5743</v>
      </c>
      <c r="M54" s="184" t="s">
        <v>5161</v>
      </c>
      <c r="N54" s="184" t="s">
        <v>5255</v>
      </c>
      <c r="O54" s="928"/>
    </row>
    <row r="55" spans="1:15" s="182" customFormat="1" ht="21.75" customHeight="1" x14ac:dyDescent="0.15">
      <c r="A55" s="151" t="s">
        <v>6389</v>
      </c>
      <c r="B55" s="20" t="s">
        <v>3555</v>
      </c>
      <c r="C55" s="932" t="s">
        <v>3346</v>
      </c>
      <c r="D55" s="932" t="s">
        <v>3354</v>
      </c>
      <c r="E55" s="932" t="s">
        <v>844</v>
      </c>
      <c r="F55" s="267" t="s">
        <v>3328</v>
      </c>
      <c r="G55" s="235" t="s">
        <v>6368</v>
      </c>
      <c r="H55" s="638" t="s">
        <v>6380</v>
      </c>
      <c r="I55" s="194">
        <v>0</v>
      </c>
      <c r="J55" s="194">
        <v>74000</v>
      </c>
      <c r="K55" s="185">
        <v>0.5</v>
      </c>
      <c r="L55" s="183" t="s">
        <v>5743</v>
      </c>
      <c r="M55" s="184" t="s">
        <v>5161</v>
      </c>
      <c r="N55" s="184" t="s">
        <v>5255</v>
      </c>
      <c r="O55" s="928"/>
    </row>
    <row r="56" spans="1:15" s="182" customFormat="1" ht="21.75" customHeight="1" x14ac:dyDescent="0.15">
      <c r="A56" s="151" t="s">
        <v>6390</v>
      </c>
      <c r="B56" s="20" t="s">
        <v>254</v>
      </c>
      <c r="C56" s="932" t="s">
        <v>3346</v>
      </c>
      <c r="D56" s="236" t="s">
        <v>3354</v>
      </c>
      <c r="E56" s="30" t="s">
        <v>921</v>
      </c>
      <c r="F56" s="184" t="s">
        <v>3328</v>
      </c>
      <c r="G56" s="235" t="s">
        <v>6368</v>
      </c>
      <c r="H56" s="638" t="s">
        <v>6381</v>
      </c>
      <c r="I56" s="194">
        <v>0</v>
      </c>
      <c r="J56" s="194">
        <v>74000</v>
      </c>
      <c r="K56" s="185">
        <v>0.5</v>
      </c>
      <c r="L56" s="183" t="s">
        <v>5743</v>
      </c>
      <c r="M56" s="184" t="s">
        <v>5161</v>
      </c>
      <c r="N56" s="184" t="s">
        <v>5255</v>
      </c>
      <c r="O56" s="928"/>
    </row>
    <row r="57" spans="1:15" s="182" customFormat="1" ht="21.75" customHeight="1" x14ac:dyDescent="0.15">
      <c r="A57" s="151" t="s">
        <v>6390</v>
      </c>
      <c r="B57" s="20" t="s">
        <v>254</v>
      </c>
      <c r="C57" s="932" t="s">
        <v>3346</v>
      </c>
      <c r="D57" s="236" t="s">
        <v>3354</v>
      </c>
      <c r="E57" s="30" t="s">
        <v>925</v>
      </c>
      <c r="F57" s="184" t="s">
        <v>3328</v>
      </c>
      <c r="G57" s="235" t="s">
        <v>6368</v>
      </c>
      <c r="H57" s="638" t="s">
        <v>6382</v>
      </c>
      <c r="I57" s="194">
        <v>0</v>
      </c>
      <c r="J57" s="194">
        <v>74000</v>
      </c>
      <c r="K57" s="185">
        <v>0.5</v>
      </c>
      <c r="L57" s="183" t="s">
        <v>5743</v>
      </c>
      <c r="M57" s="184" t="s">
        <v>5161</v>
      </c>
      <c r="N57" s="184" t="s">
        <v>5255</v>
      </c>
      <c r="O57" s="928"/>
    </row>
    <row r="58" spans="1:15" s="182" customFormat="1" ht="21.75" customHeight="1" x14ac:dyDescent="0.15">
      <c r="A58" s="151" t="s">
        <v>6390</v>
      </c>
      <c r="B58" s="20" t="s">
        <v>1313</v>
      </c>
      <c r="C58" s="932" t="s">
        <v>3346</v>
      </c>
      <c r="D58" s="236" t="s">
        <v>3354</v>
      </c>
      <c r="E58" s="30" t="s">
        <v>3562</v>
      </c>
      <c r="F58" s="184" t="s">
        <v>3328</v>
      </c>
      <c r="G58" s="235" t="s">
        <v>6368</v>
      </c>
      <c r="H58" s="638" t="s">
        <v>6383</v>
      </c>
      <c r="I58" s="194">
        <v>0</v>
      </c>
      <c r="J58" s="194">
        <v>74000</v>
      </c>
      <c r="K58" s="185">
        <v>0.5</v>
      </c>
      <c r="L58" s="183" t="s">
        <v>5743</v>
      </c>
      <c r="M58" s="184" t="s">
        <v>5161</v>
      </c>
      <c r="N58" s="184" t="s">
        <v>5255</v>
      </c>
      <c r="O58" s="928"/>
    </row>
    <row r="59" spans="1:15" s="182" customFormat="1" ht="48" customHeight="1" x14ac:dyDescent="0.15">
      <c r="A59" s="151" t="s">
        <v>6390</v>
      </c>
      <c r="B59" s="849" t="s">
        <v>5979</v>
      </c>
      <c r="C59" s="932" t="s">
        <v>3346</v>
      </c>
      <c r="D59" s="932" t="s">
        <v>3354</v>
      </c>
      <c r="E59" s="932" t="s">
        <v>3675</v>
      </c>
      <c r="F59" s="224" t="s">
        <v>3328</v>
      </c>
      <c r="G59" s="235" t="s">
        <v>6368</v>
      </c>
      <c r="H59" s="638" t="s">
        <v>6429</v>
      </c>
      <c r="I59" s="194">
        <v>0</v>
      </c>
      <c r="J59" s="194">
        <v>74000</v>
      </c>
      <c r="K59" s="185">
        <v>0.5</v>
      </c>
      <c r="L59" s="183" t="s">
        <v>5743</v>
      </c>
      <c r="M59" s="184" t="s">
        <v>5161</v>
      </c>
      <c r="N59" s="184" t="s">
        <v>5255</v>
      </c>
      <c r="O59" s="929"/>
    </row>
    <row r="60" spans="1:15" s="182" customFormat="1" ht="21.75" customHeight="1" x14ac:dyDescent="0.15">
      <c r="A60" s="151" t="s">
        <v>6390</v>
      </c>
      <c r="B60" s="20" t="s">
        <v>6385</v>
      </c>
      <c r="C60" s="184" t="s">
        <v>4963</v>
      </c>
      <c r="D60" s="184" t="s">
        <v>6434</v>
      </c>
      <c r="E60" s="184" t="s">
        <v>6435</v>
      </c>
      <c r="F60" s="184" t="s">
        <v>4944</v>
      </c>
      <c r="G60" s="235" t="s">
        <v>3345</v>
      </c>
      <c r="H60" s="638" t="s">
        <v>6430</v>
      </c>
      <c r="I60" s="194">
        <v>0</v>
      </c>
      <c r="J60" s="194">
        <v>28000</v>
      </c>
      <c r="K60" s="185">
        <v>0.2</v>
      </c>
      <c r="L60" s="183" t="s">
        <v>6144</v>
      </c>
      <c r="M60" s="184" t="s">
        <v>5765</v>
      </c>
      <c r="N60" s="184" t="s">
        <v>5765</v>
      </c>
      <c r="O60" s="929"/>
    </row>
    <row r="61" spans="1:15" s="182" customFormat="1" ht="21.75" customHeight="1" x14ac:dyDescent="0.15">
      <c r="A61" s="151" t="s">
        <v>6390</v>
      </c>
      <c r="B61" s="20" t="s">
        <v>6385</v>
      </c>
      <c r="C61" s="184" t="s">
        <v>4963</v>
      </c>
      <c r="D61" s="184" t="s">
        <v>6434</v>
      </c>
      <c r="E61" s="184" t="s">
        <v>6436</v>
      </c>
      <c r="F61" s="184" t="s">
        <v>4944</v>
      </c>
      <c r="G61" s="235" t="s">
        <v>3345</v>
      </c>
      <c r="H61" s="638" t="s">
        <v>6431</v>
      </c>
      <c r="I61" s="194">
        <v>0</v>
      </c>
      <c r="J61" s="194">
        <v>28000</v>
      </c>
      <c r="K61" s="185">
        <v>0.2</v>
      </c>
      <c r="L61" s="183" t="s">
        <v>6144</v>
      </c>
      <c r="M61" s="184" t="s">
        <v>5765</v>
      </c>
      <c r="N61" s="184" t="s">
        <v>5765</v>
      </c>
      <c r="O61" s="932"/>
    </row>
    <row r="62" spans="1:15" s="182" customFormat="1" ht="21.75" customHeight="1" x14ac:dyDescent="0.15">
      <c r="A62" s="151" t="s">
        <v>6390</v>
      </c>
      <c r="B62" s="20" t="s">
        <v>6385</v>
      </c>
      <c r="C62" s="184" t="s">
        <v>4963</v>
      </c>
      <c r="D62" s="184" t="s">
        <v>6434</v>
      </c>
      <c r="E62" s="184" t="s">
        <v>6437</v>
      </c>
      <c r="F62" s="184" t="s">
        <v>4944</v>
      </c>
      <c r="G62" s="235" t="s">
        <v>3345</v>
      </c>
      <c r="H62" s="638" t="s">
        <v>6432</v>
      </c>
      <c r="I62" s="194">
        <v>0</v>
      </c>
      <c r="J62" s="194">
        <v>32000</v>
      </c>
      <c r="K62" s="185">
        <v>0.2</v>
      </c>
      <c r="L62" s="183" t="s">
        <v>6144</v>
      </c>
      <c r="M62" s="184" t="s">
        <v>5765</v>
      </c>
      <c r="N62" s="184" t="s">
        <v>5765</v>
      </c>
      <c r="O62" s="932"/>
    </row>
    <row r="63" spans="1:15" s="182" customFormat="1" ht="21.75" customHeight="1" x14ac:dyDescent="0.15">
      <c r="A63" s="151" t="s">
        <v>6390</v>
      </c>
      <c r="B63" s="20" t="s">
        <v>6385</v>
      </c>
      <c r="C63" s="184" t="s">
        <v>4963</v>
      </c>
      <c r="D63" s="184" t="s">
        <v>6434</v>
      </c>
      <c r="E63" s="184" t="s">
        <v>6438</v>
      </c>
      <c r="F63" s="184" t="s">
        <v>4944</v>
      </c>
      <c r="G63" s="235" t="s">
        <v>3345</v>
      </c>
      <c r="H63" s="638" t="s">
        <v>6433</v>
      </c>
      <c r="I63" s="194">
        <v>0</v>
      </c>
      <c r="J63" s="194">
        <v>32000</v>
      </c>
      <c r="K63" s="185">
        <v>0.2</v>
      </c>
      <c r="L63" s="183" t="s">
        <v>6144</v>
      </c>
      <c r="M63" s="184" t="s">
        <v>5765</v>
      </c>
      <c r="N63" s="184" t="s">
        <v>5765</v>
      </c>
      <c r="O63" s="932"/>
    </row>
    <row r="64" spans="1:15" s="182" customFormat="1" ht="21.75" customHeight="1" x14ac:dyDescent="0.15">
      <c r="A64" s="151" t="s">
        <v>6391</v>
      </c>
      <c r="B64" s="20" t="s">
        <v>4578</v>
      </c>
      <c r="C64" s="614" t="s">
        <v>3337</v>
      </c>
      <c r="D64" s="241" t="s">
        <v>3702</v>
      </c>
      <c r="E64" s="614" t="s">
        <v>4581</v>
      </c>
      <c r="F64" s="238" t="s">
        <v>3328</v>
      </c>
      <c r="G64" s="240" t="s">
        <v>3378</v>
      </c>
      <c r="H64" s="638">
        <v>15037</v>
      </c>
      <c r="I64" s="194">
        <v>0</v>
      </c>
      <c r="J64" s="194">
        <v>71250</v>
      </c>
      <c r="K64" s="185">
        <v>0.1</v>
      </c>
      <c r="L64" s="183" t="s">
        <v>5744</v>
      </c>
      <c r="M64" s="933" t="s">
        <v>4957</v>
      </c>
      <c r="N64" s="596" t="s">
        <v>3726</v>
      </c>
      <c r="O64" s="930"/>
    </row>
    <row r="65" spans="1:15" s="182" customFormat="1" ht="21.75" customHeight="1" x14ac:dyDescent="0.15">
      <c r="A65" s="151" t="s">
        <v>6392</v>
      </c>
      <c r="B65" s="20" t="s">
        <v>176</v>
      </c>
      <c r="C65" s="241" t="s">
        <v>3414</v>
      </c>
      <c r="D65" s="241" t="s">
        <v>3347</v>
      </c>
      <c r="E65" s="241" t="s">
        <v>3950</v>
      </c>
      <c r="F65" s="267" t="s">
        <v>3328</v>
      </c>
      <c r="G65" s="242" t="s">
        <v>3349</v>
      </c>
      <c r="H65" s="610">
        <v>21006</v>
      </c>
      <c r="I65" s="194">
        <v>0</v>
      </c>
      <c r="J65" s="194">
        <v>75000</v>
      </c>
      <c r="K65" s="185">
        <v>1</v>
      </c>
      <c r="L65" s="183" t="s">
        <v>5743</v>
      </c>
      <c r="M65" s="184" t="s">
        <v>5771</v>
      </c>
      <c r="N65" s="184" t="s">
        <v>5771</v>
      </c>
      <c r="O65" s="930"/>
    </row>
    <row r="66" spans="1:15" s="182" customFormat="1" ht="21.75" customHeight="1" x14ac:dyDescent="0.15">
      <c r="A66" s="151" t="s">
        <v>6392</v>
      </c>
      <c r="B66" s="20" t="s">
        <v>176</v>
      </c>
      <c r="C66" s="241" t="s">
        <v>3414</v>
      </c>
      <c r="D66" s="241" t="s">
        <v>3347</v>
      </c>
      <c r="E66" s="241" t="s">
        <v>3984</v>
      </c>
      <c r="F66" s="267" t="s">
        <v>3328</v>
      </c>
      <c r="G66" s="242" t="s">
        <v>3349</v>
      </c>
      <c r="H66" s="610">
        <v>21009</v>
      </c>
      <c r="I66" s="194">
        <v>0</v>
      </c>
      <c r="J66" s="194">
        <v>80000</v>
      </c>
      <c r="K66" s="185">
        <v>1</v>
      </c>
      <c r="L66" s="183" t="s">
        <v>5743</v>
      </c>
      <c r="M66" s="184" t="s">
        <v>5771</v>
      </c>
      <c r="N66" s="184" t="s">
        <v>5771</v>
      </c>
      <c r="O66" s="930"/>
    </row>
    <row r="67" spans="1:15" s="182" customFormat="1" ht="21.75" customHeight="1" x14ac:dyDescent="0.15">
      <c r="A67" s="151" t="s">
        <v>6393</v>
      </c>
      <c r="B67" s="20" t="s">
        <v>6386</v>
      </c>
      <c r="C67" s="184" t="s">
        <v>4963</v>
      </c>
      <c r="D67" s="184" t="s">
        <v>5028</v>
      </c>
      <c r="E67" s="184" t="s">
        <v>6439</v>
      </c>
      <c r="F67" s="184" t="s">
        <v>5078</v>
      </c>
      <c r="G67" s="239" t="s">
        <v>3349</v>
      </c>
      <c r="H67" s="638">
        <v>22156</v>
      </c>
      <c r="I67" s="194">
        <v>0</v>
      </c>
      <c r="J67" s="194">
        <v>100000</v>
      </c>
      <c r="K67" s="185">
        <v>1</v>
      </c>
      <c r="L67" s="183" t="s">
        <v>5743</v>
      </c>
      <c r="M67" s="184" t="s">
        <v>5765</v>
      </c>
      <c r="N67" s="184" t="s">
        <v>5765</v>
      </c>
      <c r="O67" s="930"/>
    </row>
    <row r="68" spans="1:15" s="182" customFormat="1" ht="21.75" customHeight="1" x14ac:dyDescent="0.15">
      <c r="A68" s="151" t="s">
        <v>6394</v>
      </c>
      <c r="B68" s="20" t="s">
        <v>4578</v>
      </c>
      <c r="C68" s="236" t="s">
        <v>3337</v>
      </c>
      <c r="D68" s="602" t="s">
        <v>3702</v>
      </c>
      <c r="E68" s="236" t="s">
        <v>4587</v>
      </c>
      <c r="F68" s="241" t="s">
        <v>3328</v>
      </c>
      <c r="G68" s="242" t="s">
        <v>3566</v>
      </c>
      <c r="H68" s="610">
        <v>21025</v>
      </c>
      <c r="I68" s="194">
        <v>0</v>
      </c>
      <c r="J68" s="194">
        <v>70000</v>
      </c>
      <c r="K68" s="185" t="s">
        <v>6375</v>
      </c>
      <c r="L68" s="183" t="s">
        <v>5743</v>
      </c>
      <c r="M68" s="241" t="s">
        <v>4957</v>
      </c>
      <c r="N68" s="241" t="s">
        <v>3726</v>
      </c>
      <c r="O68" s="931"/>
    </row>
    <row r="69" spans="1:15" s="182" customFormat="1" ht="21.75" customHeight="1" x14ac:dyDescent="0.15">
      <c r="A69" s="151" t="s">
        <v>6440</v>
      </c>
      <c r="B69" s="20" t="s">
        <v>1489</v>
      </c>
      <c r="C69" s="184" t="s">
        <v>3346</v>
      </c>
      <c r="D69" s="399" t="s">
        <v>3352</v>
      </c>
      <c r="E69" s="184" t="s">
        <v>6442</v>
      </c>
      <c r="F69" s="184" t="s">
        <v>5020</v>
      </c>
      <c r="G69" s="235" t="s">
        <v>5036</v>
      </c>
      <c r="H69" s="509">
        <v>22172</v>
      </c>
      <c r="I69" s="194">
        <v>0</v>
      </c>
      <c r="J69" s="194">
        <v>6000</v>
      </c>
      <c r="K69" s="185">
        <v>1</v>
      </c>
      <c r="L69" s="183" t="s">
        <v>4707</v>
      </c>
      <c r="M69" s="241" t="s">
        <v>3433</v>
      </c>
      <c r="N69" s="241" t="s">
        <v>3433</v>
      </c>
      <c r="O69" s="934"/>
    </row>
    <row r="70" spans="1:15" s="182" customFormat="1" ht="21.75" customHeight="1" x14ac:dyDescent="0.15">
      <c r="A70" s="151" t="s">
        <v>6440</v>
      </c>
      <c r="B70" s="20" t="s">
        <v>6441</v>
      </c>
      <c r="C70" s="391" t="s">
        <v>3346</v>
      </c>
      <c r="D70" s="393" t="s">
        <v>3354</v>
      </c>
      <c r="E70" s="394" t="s">
        <v>4130</v>
      </c>
      <c r="F70" s="224" t="s">
        <v>3328</v>
      </c>
      <c r="G70" s="235" t="s">
        <v>6368</v>
      </c>
      <c r="H70" s="509" t="s">
        <v>6443</v>
      </c>
      <c r="I70" s="194">
        <v>0</v>
      </c>
      <c r="J70" s="194">
        <v>74000</v>
      </c>
      <c r="K70" s="185">
        <v>0.5</v>
      </c>
      <c r="L70" s="183" t="s">
        <v>4706</v>
      </c>
      <c r="M70" s="184" t="s">
        <v>5161</v>
      </c>
      <c r="N70" s="184" t="s">
        <v>5255</v>
      </c>
      <c r="O70" s="934"/>
    </row>
    <row r="71" spans="1:15" s="182" customFormat="1" ht="21.75" customHeight="1" x14ac:dyDescent="0.15">
      <c r="A71" s="151" t="s">
        <v>6446</v>
      </c>
      <c r="B71" s="20" t="s">
        <v>6444</v>
      </c>
      <c r="C71" s="391" t="s">
        <v>3346</v>
      </c>
      <c r="D71" s="393" t="s">
        <v>3457</v>
      </c>
      <c r="E71" s="394" t="s">
        <v>4080</v>
      </c>
      <c r="F71" s="184" t="s">
        <v>4944</v>
      </c>
      <c r="G71" s="235" t="s">
        <v>3349</v>
      </c>
      <c r="H71" s="509">
        <v>24012</v>
      </c>
      <c r="I71" s="194">
        <v>0</v>
      </c>
      <c r="J71" s="194">
        <v>80000</v>
      </c>
      <c r="K71" s="185">
        <v>1</v>
      </c>
      <c r="L71" s="183" t="s">
        <v>5743</v>
      </c>
      <c r="M71" s="184" t="s">
        <v>6038</v>
      </c>
      <c r="N71" s="184" t="s">
        <v>6038</v>
      </c>
      <c r="O71" s="935"/>
    </row>
    <row r="72" spans="1:15" s="182" customFormat="1" ht="21.75" customHeight="1" x14ac:dyDescent="0.15">
      <c r="A72" s="151" t="s">
        <v>6447</v>
      </c>
      <c r="B72" s="20" t="s">
        <v>3958</v>
      </c>
      <c r="C72" s="224" t="s">
        <v>3376</v>
      </c>
      <c r="D72" s="224" t="s">
        <v>4948</v>
      </c>
      <c r="E72" s="224" t="s">
        <v>3960</v>
      </c>
      <c r="F72" s="403" t="s">
        <v>3328</v>
      </c>
      <c r="G72" s="235" t="s">
        <v>6454</v>
      </c>
      <c r="H72" s="509">
        <v>22184</v>
      </c>
      <c r="I72" s="194">
        <v>0</v>
      </c>
      <c r="J72" s="194">
        <v>100000</v>
      </c>
      <c r="K72" s="185">
        <v>0.5</v>
      </c>
      <c r="L72" s="183" t="s">
        <v>5743</v>
      </c>
      <c r="M72" s="184" t="s">
        <v>5771</v>
      </c>
      <c r="N72" s="184" t="s">
        <v>5771</v>
      </c>
      <c r="O72" s="935"/>
    </row>
    <row r="73" spans="1:15" s="182" customFormat="1" ht="21.75" customHeight="1" x14ac:dyDescent="0.15">
      <c r="A73" s="151" t="s">
        <v>6448</v>
      </c>
      <c r="B73" s="20" t="s">
        <v>6376</v>
      </c>
      <c r="C73" s="184" t="s">
        <v>4941</v>
      </c>
      <c r="D73" s="184" t="s">
        <v>4942</v>
      </c>
      <c r="E73" s="184" t="s">
        <v>6415</v>
      </c>
      <c r="F73" s="184" t="s">
        <v>3328</v>
      </c>
      <c r="G73" s="235" t="s">
        <v>3329</v>
      </c>
      <c r="H73" s="509" t="s">
        <v>6460</v>
      </c>
      <c r="I73" s="194">
        <v>0</v>
      </c>
      <c r="J73" s="194">
        <v>65442.5</v>
      </c>
      <c r="K73" s="185" t="s">
        <v>6470</v>
      </c>
      <c r="L73" s="183" t="s">
        <v>806</v>
      </c>
      <c r="M73" s="184" t="s">
        <v>5255</v>
      </c>
      <c r="N73" s="184" t="s">
        <v>5255</v>
      </c>
      <c r="O73" s="936"/>
    </row>
    <row r="74" spans="1:15" s="182" customFormat="1" ht="21.75" customHeight="1" x14ac:dyDescent="0.15">
      <c r="A74" s="151" t="s">
        <v>6448</v>
      </c>
      <c r="B74" s="20" t="s">
        <v>6376</v>
      </c>
      <c r="C74" s="184" t="s">
        <v>4941</v>
      </c>
      <c r="D74" s="184" t="s">
        <v>4942</v>
      </c>
      <c r="E74" s="184" t="s">
        <v>6417</v>
      </c>
      <c r="F74" s="184" t="s">
        <v>5078</v>
      </c>
      <c r="G74" s="235" t="s">
        <v>3329</v>
      </c>
      <c r="H74" s="509" t="s">
        <v>6461</v>
      </c>
      <c r="I74" s="194">
        <v>0</v>
      </c>
      <c r="J74" s="194">
        <v>71545</v>
      </c>
      <c r="K74" s="185" t="s">
        <v>6469</v>
      </c>
      <c r="L74" s="183" t="s">
        <v>806</v>
      </c>
      <c r="M74" s="184" t="s">
        <v>5255</v>
      </c>
      <c r="N74" s="184" t="s">
        <v>5255</v>
      </c>
      <c r="O74" s="943"/>
    </row>
    <row r="75" spans="1:15" s="182" customFormat="1" ht="21.75" customHeight="1" x14ac:dyDescent="0.15">
      <c r="A75" s="151" t="s">
        <v>6448</v>
      </c>
      <c r="B75" s="20" t="s">
        <v>6376</v>
      </c>
      <c r="C75" s="184" t="s">
        <v>4941</v>
      </c>
      <c r="D75" s="184" t="s">
        <v>4942</v>
      </c>
      <c r="E75" s="184" t="s">
        <v>6418</v>
      </c>
      <c r="F75" s="184" t="s">
        <v>5078</v>
      </c>
      <c r="G75" s="235" t="s">
        <v>5090</v>
      </c>
      <c r="H75" s="509" t="s">
        <v>6462</v>
      </c>
      <c r="I75" s="194">
        <v>0</v>
      </c>
      <c r="J75" s="194">
        <v>73390</v>
      </c>
      <c r="K75" s="185" t="s">
        <v>6469</v>
      </c>
      <c r="L75" s="183" t="s">
        <v>806</v>
      </c>
      <c r="M75" s="184" t="s">
        <v>5255</v>
      </c>
      <c r="N75" s="184" t="s">
        <v>5255</v>
      </c>
      <c r="O75" s="943"/>
    </row>
    <row r="76" spans="1:15" s="182" customFormat="1" ht="21.75" customHeight="1" x14ac:dyDescent="0.15">
      <c r="A76" s="151" t="s">
        <v>6448</v>
      </c>
      <c r="B76" s="20" t="s">
        <v>6376</v>
      </c>
      <c r="C76" s="184" t="s">
        <v>4941</v>
      </c>
      <c r="D76" s="184" t="s">
        <v>4942</v>
      </c>
      <c r="E76" s="184" t="s">
        <v>6420</v>
      </c>
      <c r="F76" s="184" t="s">
        <v>5078</v>
      </c>
      <c r="G76" s="235" t="s">
        <v>5090</v>
      </c>
      <c r="H76" s="509" t="s">
        <v>6463</v>
      </c>
      <c r="I76" s="194">
        <v>0</v>
      </c>
      <c r="J76" s="194">
        <v>73390</v>
      </c>
      <c r="K76" s="185" t="s">
        <v>6469</v>
      </c>
      <c r="L76" s="183" t="s">
        <v>806</v>
      </c>
      <c r="M76" s="184" t="s">
        <v>5255</v>
      </c>
      <c r="N76" s="184" t="s">
        <v>5255</v>
      </c>
      <c r="O76" s="943"/>
    </row>
    <row r="77" spans="1:15" s="182" customFormat="1" ht="21.75" customHeight="1" x14ac:dyDescent="0.15">
      <c r="A77" s="151" t="s">
        <v>6448</v>
      </c>
      <c r="B77" s="20" t="s">
        <v>6376</v>
      </c>
      <c r="C77" s="184" t="s">
        <v>4941</v>
      </c>
      <c r="D77" s="184" t="s">
        <v>4942</v>
      </c>
      <c r="E77" s="184" t="s">
        <v>6421</v>
      </c>
      <c r="F77" s="184" t="s">
        <v>5078</v>
      </c>
      <c r="G77" s="235" t="s">
        <v>3375</v>
      </c>
      <c r="H77" s="509" t="s">
        <v>6464</v>
      </c>
      <c r="I77" s="194">
        <v>0</v>
      </c>
      <c r="J77" s="194">
        <v>92762.5</v>
      </c>
      <c r="K77" s="185" t="s">
        <v>6469</v>
      </c>
      <c r="L77" s="183" t="s">
        <v>806</v>
      </c>
      <c r="M77" s="184" t="s">
        <v>5255</v>
      </c>
      <c r="N77" s="184" t="s">
        <v>5255</v>
      </c>
      <c r="O77" s="943"/>
    </row>
    <row r="78" spans="1:15" s="182" customFormat="1" ht="21.75" customHeight="1" x14ac:dyDescent="0.15">
      <c r="A78" s="151" t="s">
        <v>6448</v>
      </c>
      <c r="B78" s="20" t="s">
        <v>6376</v>
      </c>
      <c r="C78" s="184" t="s">
        <v>4941</v>
      </c>
      <c r="D78" s="184" t="s">
        <v>4942</v>
      </c>
      <c r="E78" s="184" t="s">
        <v>6423</v>
      </c>
      <c r="F78" s="184" t="s">
        <v>5078</v>
      </c>
      <c r="G78" s="235" t="s">
        <v>3329</v>
      </c>
      <c r="H78" s="509" t="s">
        <v>6465</v>
      </c>
      <c r="I78" s="194">
        <v>0</v>
      </c>
      <c r="J78" s="194">
        <v>71442.5</v>
      </c>
      <c r="K78" s="185" t="s">
        <v>6469</v>
      </c>
      <c r="L78" s="183" t="s">
        <v>806</v>
      </c>
      <c r="M78" s="184" t="s">
        <v>5255</v>
      </c>
      <c r="N78" s="184" t="s">
        <v>5255</v>
      </c>
      <c r="O78" s="943"/>
    </row>
    <row r="79" spans="1:15" s="182" customFormat="1" ht="21.75" customHeight="1" x14ac:dyDescent="0.15">
      <c r="A79" s="151" t="s">
        <v>6448</v>
      </c>
      <c r="B79" s="20" t="s">
        <v>6376</v>
      </c>
      <c r="C79" s="184" t="s">
        <v>4941</v>
      </c>
      <c r="D79" s="184" t="s">
        <v>4942</v>
      </c>
      <c r="E79" s="184" t="s">
        <v>6424</v>
      </c>
      <c r="F79" s="184" t="s">
        <v>5078</v>
      </c>
      <c r="G79" s="235" t="s">
        <v>3329</v>
      </c>
      <c r="H79" s="509" t="s">
        <v>6466</v>
      </c>
      <c r="I79" s="194">
        <v>0</v>
      </c>
      <c r="J79" s="194">
        <v>59142.5</v>
      </c>
      <c r="K79" s="185" t="s">
        <v>6469</v>
      </c>
      <c r="L79" s="183" t="s">
        <v>806</v>
      </c>
      <c r="M79" s="184" t="s">
        <v>5255</v>
      </c>
      <c r="N79" s="184" t="s">
        <v>5255</v>
      </c>
      <c r="O79" s="943"/>
    </row>
    <row r="80" spans="1:15" s="182" customFormat="1" ht="21.75" customHeight="1" x14ac:dyDescent="0.15">
      <c r="A80" s="151" t="s">
        <v>6448</v>
      </c>
      <c r="B80" s="20" t="s">
        <v>6376</v>
      </c>
      <c r="C80" s="184" t="s">
        <v>4941</v>
      </c>
      <c r="D80" s="184" t="s">
        <v>4942</v>
      </c>
      <c r="E80" s="184" t="s">
        <v>6425</v>
      </c>
      <c r="F80" s="184" t="s">
        <v>5078</v>
      </c>
      <c r="G80" s="235" t="s">
        <v>3329</v>
      </c>
      <c r="H80" s="509" t="s">
        <v>6467</v>
      </c>
      <c r="I80" s="194">
        <v>0</v>
      </c>
      <c r="J80" s="194">
        <v>69392.5</v>
      </c>
      <c r="K80" s="185" t="s">
        <v>6469</v>
      </c>
      <c r="L80" s="183" t="s">
        <v>806</v>
      </c>
      <c r="M80" s="184" t="s">
        <v>5255</v>
      </c>
      <c r="N80" s="184" t="s">
        <v>5255</v>
      </c>
      <c r="O80" s="943"/>
    </row>
    <row r="81" spans="1:15" s="182" customFormat="1" ht="21.75" customHeight="1" x14ac:dyDescent="0.15">
      <c r="A81" s="151" t="s">
        <v>6448</v>
      </c>
      <c r="B81" s="20" t="s">
        <v>6376</v>
      </c>
      <c r="C81" s="184" t="s">
        <v>4941</v>
      </c>
      <c r="D81" s="184" t="s">
        <v>4942</v>
      </c>
      <c r="E81" s="184" t="s">
        <v>6426</v>
      </c>
      <c r="F81" s="184" t="s">
        <v>5078</v>
      </c>
      <c r="G81" s="235" t="s">
        <v>3329</v>
      </c>
      <c r="H81" s="509" t="s">
        <v>6468</v>
      </c>
      <c r="I81" s="194">
        <v>0</v>
      </c>
      <c r="J81" s="194">
        <v>73492.5</v>
      </c>
      <c r="K81" s="185" t="s">
        <v>6469</v>
      </c>
      <c r="L81" s="183" t="s">
        <v>806</v>
      </c>
      <c r="M81" s="184" t="s">
        <v>5255</v>
      </c>
      <c r="N81" s="184" t="s">
        <v>5255</v>
      </c>
      <c r="O81" s="943"/>
    </row>
    <row r="82" spans="1:15" s="182" customFormat="1" ht="21.75" customHeight="1" x14ac:dyDescent="0.15">
      <c r="A82" s="151" t="s">
        <v>6449</v>
      </c>
      <c r="B82" s="20" t="s">
        <v>6353</v>
      </c>
      <c r="C82" s="399" t="s">
        <v>4982</v>
      </c>
      <c r="D82" s="399" t="s">
        <v>5098</v>
      </c>
      <c r="E82" s="399" t="s">
        <v>6320</v>
      </c>
      <c r="F82" s="184" t="s">
        <v>6254</v>
      </c>
      <c r="G82" s="235" t="s">
        <v>5300</v>
      </c>
      <c r="H82" s="509">
        <v>23157</v>
      </c>
      <c r="I82" s="194">
        <v>0</v>
      </c>
      <c r="J82" s="194">
        <v>186750</v>
      </c>
      <c r="K82" s="185">
        <v>0.3</v>
      </c>
      <c r="L82" s="183" t="s">
        <v>6455</v>
      </c>
      <c r="M82" s="184" t="s">
        <v>662</v>
      </c>
      <c r="N82" s="184" t="s">
        <v>662</v>
      </c>
      <c r="O82" s="937"/>
    </row>
    <row r="83" spans="1:15" s="182" customFormat="1" ht="21.75" customHeight="1" x14ac:dyDescent="0.15">
      <c r="A83" s="151" t="s">
        <v>6449</v>
      </c>
      <c r="B83" s="20" t="s">
        <v>219</v>
      </c>
      <c r="C83" s="391" t="s">
        <v>3346</v>
      </c>
      <c r="D83" s="393" t="s">
        <v>3352</v>
      </c>
      <c r="E83" s="391" t="s">
        <v>4241</v>
      </c>
      <c r="F83" s="184" t="s">
        <v>5078</v>
      </c>
      <c r="G83" s="239" t="s">
        <v>5240</v>
      </c>
      <c r="H83" s="509">
        <v>22173</v>
      </c>
      <c r="I83" s="194">
        <v>0</v>
      </c>
      <c r="J83" s="194">
        <v>27500</v>
      </c>
      <c r="K83" s="185">
        <v>1</v>
      </c>
      <c r="L83" s="183" t="s">
        <v>806</v>
      </c>
      <c r="M83" s="184" t="s">
        <v>693</v>
      </c>
      <c r="N83" s="184" t="s">
        <v>693</v>
      </c>
      <c r="O83" s="937"/>
    </row>
    <row r="84" spans="1:15" s="182" customFormat="1" ht="21.75" customHeight="1" x14ac:dyDescent="0.15">
      <c r="A84" s="151" t="s">
        <v>6449</v>
      </c>
      <c r="B84" s="20" t="s">
        <v>2361</v>
      </c>
      <c r="C84" s="944" t="s">
        <v>3371</v>
      </c>
      <c r="D84" s="944" t="s">
        <v>3405</v>
      </c>
      <c r="E84" s="944" t="s">
        <v>4325</v>
      </c>
      <c r="F84" s="945" t="s">
        <v>3328</v>
      </c>
      <c r="G84" s="460" t="s">
        <v>3566</v>
      </c>
      <c r="H84" s="509">
        <v>20178</v>
      </c>
      <c r="I84" s="194">
        <v>0</v>
      </c>
      <c r="J84" s="194">
        <v>50000</v>
      </c>
      <c r="K84" s="185" t="s">
        <v>6456</v>
      </c>
      <c r="L84" s="183" t="s">
        <v>5743</v>
      </c>
      <c r="M84" s="184" t="s">
        <v>5835</v>
      </c>
      <c r="N84" s="184" t="s">
        <v>5835</v>
      </c>
      <c r="O84" s="938"/>
    </row>
    <row r="85" spans="1:15" s="182" customFormat="1" ht="21.75" customHeight="1" x14ac:dyDescent="0.15">
      <c r="A85" s="151" t="s">
        <v>6445</v>
      </c>
      <c r="B85" s="20" t="s">
        <v>1964</v>
      </c>
      <c r="C85" s="184" t="s">
        <v>6216</v>
      </c>
      <c r="D85" s="184" t="s">
        <v>5422</v>
      </c>
      <c r="E85" s="184" t="s">
        <v>6217</v>
      </c>
      <c r="F85" s="419" t="s">
        <v>3328</v>
      </c>
      <c r="G85" s="235" t="s">
        <v>3370</v>
      </c>
      <c r="H85" s="509">
        <v>22106</v>
      </c>
      <c r="I85" s="194">
        <v>0</v>
      </c>
      <c r="J85" s="194">
        <v>31200</v>
      </c>
      <c r="K85" s="185">
        <v>0.2</v>
      </c>
      <c r="L85" s="183" t="s">
        <v>6144</v>
      </c>
      <c r="M85" s="184" t="s">
        <v>6038</v>
      </c>
      <c r="N85" s="184" t="s">
        <v>6038</v>
      </c>
      <c r="O85" s="939"/>
    </row>
    <row r="86" spans="1:15" s="182" customFormat="1" ht="43.5" customHeight="1" x14ac:dyDescent="0.15">
      <c r="A86" s="151" t="s">
        <v>6445</v>
      </c>
      <c r="B86" s="849" t="s">
        <v>6457</v>
      </c>
      <c r="C86" s="947" t="s">
        <v>3337</v>
      </c>
      <c r="D86" s="947" t="s">
        <v>3380</v>
      </c>
      <c r="E86" s="948" t="s">
        <v>3874</v>
      </c>
      <c r="F86" s="945" t="s">
        <v>4361</v>
      </c>
      <c r="G86" s="460" t="s">
        <v>5122</v>
      </c>
      <c r="H86" s="946">
        <v>18038</v>
      </c>
      <c r="I86" s="194">
        <v>0</v>
      </c>
      <c r="J86" s="194">
        <v>9667</v>
      </c>
      <c r="K86" s="185">
        <v>0.05</v>
      </c>
      <c r="L86" s="183" t="s">
        <v>5744</v>
      </c>
      <c r="M86" s="575" t="s">
        <v>4957</v>
      </c>
      <c r="N86" s="575" t="s">
        <v>3726</v>
      </c>
      <c r="O86" s="940"/>
    </row>
    <row r="87" spans="1:15" s="182" customFormat="1" ht="21.75" customHeight="1" x14ac:dyDescent="0.15">
      <c r="A87" s="151" t="s">
        <v>6450</v>
      </c>
      <c r="B87" s="20" t="s">
        <v>6451</v>
      </c>
      <c r="C87" s="399" t="s">
        <v>3346</v>
      </c>
      <c r="D87" s="399" t="s">
        <v>3354</v>
      </c>
      <c r="E87" s="399" t="s">
        <v>6091</v>
      </c>
      <c r="F87" s="184" t="s">
        <v>3328</v>
      </c>
      <c r="G87" s="235" t="s">
        <v>6092</v>
      </c>
      <c r="H87" s="509">
        <v>21077</v>
      </c>
      <c r="I87" s="194">
        <v>0</v>
      </c>
      <c r="J87" s="194">
        <v>139644</v>
      </c>
      <c r="K87" s="185">
        <v>0.1</v>
      </c>
      <c r="L87" s="183" t="s">
        <v>5744</v>
      </c>
      <c r="M87" s="184" t="s">
        <v>5161</v>
      </c>
      <c r="N87" s="184" t="s">
        <v>5161</v>
      </c>
      <c r="O87" s="941"/>
    </row>
    <row r="88" spans="1:15" s="182" customFormat="1" ht="21.75" customHeight="1" x14ac:dyDescent="0.15">
      <c r="A88" s="151" t="s">
        <v>6450</v>
      </c>
      <c r="B88" s="20" t="s">
        <v>6452</v>
      </c>
      <c r="C88" s="184" t="s">
        <v>5148</v>
      </c>
      <c r="D88" s="184" t="s">
        <v>5410</v>
      </c>
      <c r="E88" s="184" t="s">
        <v>6182</v>
      </c>
      <c r="F88" s="418" t="s">
        <v>3328</v>
      </c>
      <c r="G88" s="235" t="s">
        <v>5658</v>
      </c>
      <c r="H88" s="509">
        <v>23008</v>
      </c>
      <c r="I88" s="194">
        <v>0</v>
      </c>
      <c r="J88" s="194">
        <v>60000</v>
      </c>
      <c r="K88" s="185">
        <v>1.2</v>
      </c>
      <c r="L88" s="183" t="s">
        <v>6458</v>
      </c>
      <c r="M88" s="184" t="s">
        <v>5771</v>
      </c>
      <c r="N88" s="184" t="s">
        <v>5771</v>
      </c>
      <c r="O88" s="941"/>
    </row>
    <row r="89" spans="1:15" s="182" customFormat="1" ht="21.75" customHeight="1" x14ac:dyDescent="0.15">
      <c r="A89" s="151" t="s">
        <v>6453</v>
      </c>
      <c r="B89" s="20" t="s">
        <v>3520</v>
      </c>
      <c r="C89" s="945" t="s">
        <v>3351</v>
      </c>
      <c r="D89" s="945" t="s">
        <v>3354</v>
      </c>
      <c r="E89" s="945" t="s">
        <v>3521</v>
      </c>
      <c r="F89" s="418" t="s">
        <v>3328</v>
      </c>
      <c r="G89" s="460" t="s">
        <v>3566</v>
      </c>
      <c r="H89" s="509">
        <v>20055</v>
      </c>
      <c r="I89" s="194">
        <v>0</v>
      </c>
      <c r="J89" s="194">
        <v>91800</v>
      </c>
      <c r="K89" s="185">
        <v>0.34</v>
      </c>
      <c r="L89" s="183" t="s">
        <v>5743</v>
      </c>
      <c r="M89" s="945" t="s">
        <v>4699</v>
      </c>
      <c r="N89" s="945" t="s">
        <v>3726</v>
      </c>
      <c r="O89" s="941"/>
    </row>
    <row r="90" spans="1:15" s="182" customFormat="1" ht="21.75" customHeight="1" x14ac:dyDescent="0.15">
      <c r="A90" s="151" t="s">
        <v>6453</v>
      </c>
      <c r="B90" s="20" t="s">
        <v>3520</v>
      </c>
      <c r="C90" s="399" t="s">
        <v>4941</v>
      </c>
      <c r="D90" s="399" t="s">
        <v>5018</v>
      </c>
      <c r="E90" s="399" t="s">
        <v>6471</v>
      </c>
      <c r="F90" s="418" t="s">
        <v>3328</v>
      </c>
      <c r="G90" s="235" t="s">
        <v>6472</v>
      </c>
      <c r="H90" s="509">
        <v>23053</v>
      </c>
      <c r="I90" s="194">
        <v>0</v>
      </c>
      <c r="J90" s="194">
        <v>128590</v>
      </c>
      <c r="K90" s="222">
        <v>0.33400000000000002</v>
      </c>
      <c r="L90" s="183" t="s">
        <v>5743</v>
      </c>
      <c r="M90" s="184" t="s">
        <v>5255</v>
      </c>
      <c r="N90" s="184" t="s">
        <v>5255</v>
      </c>
      <c r="O90" s="941"/>
    </row>
    <row r="91" spans="1:15" s="182" customFormat="1" ht="21.75" customHeight="1" x14ac:dyDescent="0.15">
      <c r="A91" s="151" t="s">
        <v>6459</v>
      </c>
      <c r="B91" s="20" t="s">
        <v>3520</v>
      </c>
      <c r="C91" s="399" t="s">
        <v>4941</v>
      </c>
      <c r="D91" s="399" t="s">
        <v>5018</v>
      </c>
      <c r="E91" s="399" t="s">
        <v>6471</v>
      </c>
      <c r="F91" s="418" t="s">
        <v>3328</v>
      </c>
      <c r="G91" s="235" t="s">
        <v>3353</v>
      </c>
      <c r="H91" s="509">
        <v>22179</v>
      </c>
      <c r="I91" s="194">
        <v>0</v>
      </c>
      <c r="J91" s="194">
        <v>100800</v>
      </c>
      <c r="K91" s="185">
        <v>0.9</v>
      </c>
      <c r="L91" s="183" t="s">
        <v>5768</v>
      </c>
      <c r="M91" s="184" t="s">
        <v>3726</v>
      </c>
      <c r="N91" s="184" t="s">
        <v>3726</v>
      </c>
      <c r="O91" s="942"/>
    </row>
    <row r="92" spans="1:15" s="182" customFormat="1" ht="21.75" customHeight="1" x14ac:dyDescent="0.15">
      <c r="A92" s="151" t="s">
        <v>6459</v>
      </c>
      <c r="B92" s="20" t="s">
        <v>6657</v>
      </c>
      <c r="C92" s="184" t="s">
        <v>3346</v>
      </c>
      <c r="D92" s="399" t="s">
        <v>3352</v>
      </c>
      <c r="E92" s="184" t="s">
        <v>6658</v>
      </c>
      <c r="F92" s="184" t="s">
        <v>5020</v>
      </c>
      <c r="G92" s="235" t="s">
        <v>5036</v>
      </c>
      <c r="H92" s="509">
        <v>22170</v>
      </c>
      <c r="I92" s="194">
        <v>0</v>
      </c>
      <c r="J92" s="194">
        <v>6000</v>
      </c>
      <c r="K92" s="185">
        <v>1</v>
      </c>
      <c r="L92" s="183" t="s">
        <v>4707</v>
      </c>
      <c r="M92" s="183" t="s">
        <v>3433</v>
      </c>
      <c r="N92" s="183" t="s">
        <v>3433</v>
      </c>
      <c r="O92" s="949"/>
    </row>
    <row r="93" spans="1:15" s="182" customFormat="1" ht="21.75" customHeight="1" x14ac:dyDescent="0.15">
      <c r="A93" s="151" t="s">
        <v>6473</v>
      </c>
      <c r="B93" s="20" t="s">
        <v>2111</v>
      </c>
      <c r="C93" s="391" t="s">
        <v>3346</v>
      </c>
      <c r="D93" s="391" t="s">
        <v>3352</v>
      </c>
      <c r="E93" s="391" t="s">
        <v>3715</v>
      </c>
      <c r="F93" s="184" t="s">
        <v>5078</v>
      </c>
      <c r="G93" s="239" t="s">
        <v>5240</v>
      </c>
      <c r="H93" s="509">
        <v>22175</v>
      </c>
      <c r="I93" s="194">
        <v>0</v>
      </c>
      <c r="J93" s="194">
        <v>27500</v>
      </c>
      <c r="K93" s="185">
        <v>1</v>
      </c>
      <c r="L93" s="183" t="s">
        <v>4707</v>
      </c>
      <c r="M93" s="183" t="s">
        <v>3433</v>
      </c>
      <c r="N93" s="183" t="s">
        <v>3433</v>
      </c>
      <c r="O93" s="949"/>
    </row>
    <row r="94" spans="1:15" s="182" customFormat="1" ht="21.75" customHeight="1" x14ac:dyDescent="0.15">
      <c r="A94" s="151" t="s">
        <v>6473</v>
      </c>
      <c r="B94" s="20" t="s">
        <v>2111</v>
      </c>
      <c r="C94" s="391" t="s">
        <v>3346</v>
      </c>
      <c r="D94" s="391" t="s">
        <v>3352</v>
      </c>
      <c r="E94" s="391" t="s">
        <v>3715</v>
      </c>
      <c r="F94" s="184" t="s">
        <v>5078</v>
      </c>
      <c r="G94" s="235" t="s">
        <v>3349</v>
      </c>
      <c r="H94" s="509">
        <v>22176</v>
      </c>
      <c r="I94" s="194">
        <v>0</v>
      </c>
      <c r="J94" s="194">
        <v>93100</v>
      </c>
      <c r="K94" s="185">
        <v>1</v>
      </c>
      <c r="L94" s="183" t="s">
        <v>4706</v>
      </c>
      <c r="M94" s="183" t="s">
        <v>3433</v>
      </c>
      <c r="N94" s="183" t="s">
        <v>3433</v>
      </c>
      <c r="O94" s="949"/>
    </row>
    <row r="95" spans="1:15" s="182" customFormat="1" ht="21.75" customHeight="1" x14ac:dyDescent="0.15">
      <c r="A95" s="151" t="s">
        <v>6475</v>
      </c>
      <c r="B95" s="951" t="s">
        <v>6485</v>
      </c>
      <c r="C95" s="945" t="s">
        <v>3985</v>
      </c>
      <c r="D95" s="945" t="s">
        <v>6480</v>
      </c>
      <c r="E95" s="952" t="s">
        <v>6481</v>
      </c>
      <c r="F95" s="952" t="s">
        <v>3332</v>
      </c>
      <c r="G95" s="430" t="s">
        <v>4558</v>
      </c>
      <c r="H95" s="509" t="s">
        <v>6478</v>
      </c>
      <c r="I95" s="194">
        <v>64000</v>
      </c>
      <c r="J95" s="194">
        <v>0</v>
      </c>
      <c r="K95" s="185">
        <v>0.2</v>
      </c>
      <c r="L95" s="183" t="s">
        <v>4707</v>
      </c>
      <c r="M95" s="945" t="s">
        <v>6483</v>
      </c>
      <c r="N95" s="945" t="s">
        <v>6483</v>
      </c>
      <c r="O95" s="953" t="s">
        <v>6484</v>
      </c>
    </row>
    <row r="96" spans="1:15" s="182" customFormat="1" ht="21.75" customHeight="1" x14ac:dyDescent="0.15">
      <c r="A96" s="151" t="s">
        <v>6475</v>
      </c>
      <c r="B96" s="951" t="s">
        <v>6477</v>
      </c>
      <c r="C96" s="945" t="s">
        <v>3985</v>
      </c>
      <c r="D96" s="945" t="s">
        <v>6480</v>
      </c>
      <c r="E96" s="952" t="s">
        <v>6482</v>
      </c>
      <c r="F96" s="952" t="s">
        <v>3332</v>
      </c>
      <c r="G96" s="430" t="s">
        <v>4558</v>
      </c>
      <c r="H96" s="509" t="s">
        <v>6479</v>
      </c>
      <c r="I96" s="194">
        <v>64000</v>
      </c>
      <c r="J96" s="194">
        <v>0</v>
      </c>
      <c r="K96" s="185">
        <v>0.2</v>
      </c>
      <c r="L96" s="183" t="s">
        <v>4707</v>
      </c>
      <c r="M96" s="945" t="s">
        <v>6483</v>
      </c>
      <c r="N96" s="945" t="s">
        <v>6483</v>
      </c>
      <c r="O96" s="953" t="s">
        <v>6484</v>
      </c>
    </row>
    <row r="97" spans="1:15" s="182" customFormat="1" ht="21.75" customHeight="1" x14ac:dyDescent="0.15">
      <c r="A97" s="151" t="s">
        <v>6476</v>
      </c>
      <c r="B97" s="20" t="s">
        <v>4265</v>
      </c>
      <c r="C97" s="945" t="s">
        <v>3337</v>
      </c>
      <c r="D97" s="945" t="s">
        <v>3352</v>
      </c>
      <c r="E97" s="945" t="s">
        <v>4270</v>
      </c>
      <c r="F97" s="392" t="s">
        <v>3937</v>
      </c>
      <c r="G97" s="954" t="s">
        <v>3938</v>
      </c>
      <c r="H97" s="509">
        <v>19145</v>
      </c>
      <c r="I97" s="194">
        <v>0</v>
      </c>
      <c r="J97" s="194">
        <v>18500</v>
      </c>
      <c r="K97" s="185">
        <v>0.1</v>
      </c>
      <c r="L97" s="183" t="s">
        <v>4724</v>
      </c>
      <c r="M97" s="945" t="s">
        <v>4957</v>
      </c>
      <c r="N97" s="945" t="s">
        <v>3726</v>
      </c>
      <c r="O97" s="950"/>
    </row>
    <row r="98" spans="1:15" s="182" customFormat="1" ht="21.75" customHeight="1" x14ac:dyDescent="0.15">
      <c r="A98" s="151" t="s">
        <v>6486</v>
      </c>
      <c r="B98" s="20" t="s">
        <v>1964</v>
      </c>
      <c r="C98" s="392" t="s">
        <v>3368</v>
      </c>
      <c r="D98" s="392" t="s">
        <v>3439</v>
      </c>
      <c r="E98" s="391" t="s">
        <v>3730</v>
      </c>
      <c r="F98" s="392" t="s">
        <v>3355</v>
      </c>
      <c r="G98" s="460" t="s">
        <v>3467</v>
      </c>
      <c r="H98" s="509">
        <v>18097</v>
      </c>
      <c r="I98" s="194">
        <v>0</v>
      </c>
      <c r="J98" s="194">
        <v>4900</v>
      </c>
      <c r="K98" s="185">
        <v>0.1</v>
      </c>
      <c r="L98" s="183" t="s">
        <v>4724</v>
      </c>
      <c r="M98" s="957" t="s">
        <v>4699</v>
      </c>
      <c r="N98" s="958" t="s">
        <v>4399</v>
      </c>
      <c r="O98" s="955"/>
    </row>
    <row r="99" spans="1:15" s="182" customFormat="1" ht="21.75" customHeight="1" x14ac:dyDescent="0.15">
      <c r="A99" s="151" t="s">
        <v>6487</v>
      </c>
      <c r="B99" s="20" t="s">
        <v>6488</v>
      </c>
      <c r="C99" s="399" t="s">
        <v>4963</v>
      </c>
      <c r="D99" s="963" t="s">
        <v>6495</v>
      </c>
      <c r="E99" s="399" t="s">
        <v>6496</v>
      </c>
      <c r="F99" s="184" t="s">
        <v>3328</v>
      </c>
      <c r="G99" s="235" t="s">
        <v>4923</v>
      </c>
      <c r="H99" s="509" t="s">
        <v>6494</v>
      </c>
      <c r="I99" s="194">
        <v>0</v>
      </c>
      <c r="J99" s="194">
        <v>10800</v>
      </c>
      <c r="K99" s="185">
        <v>0.9</v>
      </c>
      <c r="L99" s="183" t="s">
        <v>4694</v>
      </c>
      <c r="M99" s="957" t="s">
        <v>3957</v>
      </c>
      <c r="N99" s="957" t="s">
        <v>3957</v>
      </c>
      <c r="O99" s="956"/>
    </row>
    <row r="100" spans="1:15" s="182" customFormat="1" ht="21.75" customHeight="1" x14ac:dyDescent="0.15">
      <c r="A100" s="151" t="s">
        <v>6489</v>
      </c>
      <c r="B100" s="20" t="s">
        <v>215</v>
      </c>
      <c r="C100" s="391" t="s">
        <v>3346</v>
      </c>
      <c r="D100" s="391" t="s">
        <v>3352</v>
      </c>
      <c r="E100" s="391" t="s">
        <v>987</v>
      </c>
      <c r="F100" s="184" t="s">
        <v>5078</v>
      </c>
      <c r="G100" s="239" t="s">
        <v>5240</v>
      </c>
      <c r="H100" s="509">
        <v>22177</v>
      </c>
      <c r="I100" s="194">
        <v>0</v>
      </c>
      <c r="J100" s="194">
        <v>27500</v>
      </c>
      <c r="K100" s="185">
        <v>1</v>
      </c>
      <c r="L100" s="183" t="s">
        <v>4707</v>
      </c>
      <c r="M100" s="957" t="s">
        <v>3433</v>
      </c>
      <c r="N100" s="957" t="s">
        <v>3433</v>
      </c>
      <c r="O100" s="959"/>
    </row>
    <row r="101" spans="1:15" s="182" customFormat="1" ht="21.75" customHeight="1" x14ac:dyDescent="0.15">
      <c r="A101" s="151" t="s">
        <v>6490</v>
      </c>
      <c r="B101" s="20" t="s">
        <v>6488</v>
      </c>
      <c r="C101" s="399" t="s">
        <v>4963</v>
      </c>
      <c r="D101" s="963" t="s">
        <v>6495</v>
      </c>
      <c r="E101" s="399" t="s">
        <v>6496</v>
      </c>
      <c r="F101" s="184" t="s">
        <v>3328</v>
      </c>
      <c r="G101" s="235" t="s">
        <v>3375</v>
      </c>
      <c r="H101" s="509">
        <v>23059</v>
      </c>
      <c r="I101" s="194">
        <v>0</v>
      </c>
      <c r="J101" s="194">
        <v>373697.1</v>
      </c>
      <c r="K101" s="185">
        <v>0.9</v>
      </c>
      <c r="L101" s="183" t="s">
        <v>4694</v>
      </c>
      <c r="M101" s="957" t="s">
        <v>3957</v>
      </c>
      <c r="N101" s="957" t="s">
        <v>3957</v>
      </c>
      <c r="O101" s="960"/>
    </row>
    <row r="102" spans="1:15" s="182" customFormat="1" ht="21.75" customHeight="1" x14ac:dyDescent="0.15">
      <c r="A102" s="151" t="s">
        <v>6490</v>
      </c>
      <c r="B102" s="20" t="s">
        <v>215</v>
      </c>
      <c r="C102" s="391" t="s">
        <v>3346</v>
      </c>
      <c r="D102" s="391" t="s">
        <v>3352</v>
      </c>
      <c r="E102" s="391" t="s">
        <v>987</v>
      </c>
      <c r="F102" s="184" t="s">
        <v>5078</v>
      </c>
      <c r="G102" s="235" t="s">
        <v>3349</v>
      </c>
      <c r="H102" s="509">
        <v>22178</v>
      </c>
      <c r="I102" s="194">
        <v>0</v>
      </c>
      <c r="J102" s="194">
        <v>93100</v>
      </c>
      <c r="K102" s="185">
        <v>1</v>
      </c>
      <c r="L102" s="183" t="s">
        <v>4706</v>
      </c>
      <c r="M102" s="957" t="s">
        <v>3433</v>
      </c>
      <c r="N102" s="957" t="s">
        <v>3433</v>
      </c>
      <c r="O102" s="960"/>
    </row>
    <row r="103" spans="1:15" s="182" customFormat="1" ht="21.75" customHeight="1" x14ac:dyDescent="0.15">
      <c r="A103" s="151" t="s">
        <v>6491</v>
      </c>
      <c r="B103" s="20" t="s">
        <v>6376</v>
      </c>
      <c r="C103" s="184" t="s">
        <v>4941</v>
      </c>
      <c r="D103" s="184" t="s">
        <v>4942</v>
      </c>
      <c r="E103" s="403" t="s">
        <v>6497</v>
      </c>
      <c r="F103" s="184" t="s">
        <v>5078</v>
      </c>
      <c r="G103" s="235" t="s">
        <v>6498</v>
      </c>
      <c r="H103" s="509">
        <v>22044</v>
      </c>
      <c r="I103" s="194">
        <v>0</v>
      </c>
      <c r="J103" s="194">
        <v>233100</v>
      </c>
      <c r="K103" s="185">
        <v>0.7</v>
      </c>
      <c r="L103" s="183" t="s">
        <v>6499</v>
      </c>
      <c r="M103" s="957" t="s">
        <v>3726</v>
      </c>
      <c r="N103" s="957" t="s">
        <v>3726</v>
      </c>
      <c r="O103" s="960"/>
    </row>
    <row r="104" spans="1:15" s="182" customFormat="1" ht="21.75" customHeight="1" x14ac:dyDescent="0.15">
      <c r="A104" s="151" t="s">
        <v>6491</v>
      </c>
      <c r="B104" s="20" t="s">
        <v>6492</v>
      </c>
      <c r="C104" s="184" t="s">
        <v>4941</v>
      </c>
      <c r="D104" s="184" t="s">
        <v>4942</v>
      </c>
      <c r="E104" s="184" t="s">
        <v>6503</v>
      </c>
      <c r="F104" s="419" t="s">
        <v>3328</v>
      </c>
      <c r="G104" s="235" t="s">
        <v>6504</v>
      </c>
      <c r="H104" s="509" t="s">
        <v>6500</v>
      </c>
      <c r="I104" s="194">
        <v>0</v>
      </c>
      <c r="J104" s="194">
        <v>72342.5</v>
      </c>
      <c r="K104" s="185">
        <v>0.95</v>
      </c>
      <c r="L104" s="183" t="s">
        <v>4694</v>
      </c>
      <c r="M104" s="957" t="s">
        <v>3726</v>
      </c>
      <c r="N104" s="957" t="s">
        <v>3726</v>
      </c>
      <c r="O104" s="960"/>
    </row>
    <row r="105" spans="1:15" s="182" customFormat="1" ht="21.75" customHeight="1" x14ac:dyDescent="0.15">
      <c r="A105" s="151" t="s">
        <v>6491</v>
      </c>
      <c r="B105" s="20" t="s">
        <v>6492</v>
      </c>
      <c r="C105" s="184" t="s">
        <v>4941</v>
      </c>
      <c r="D105" s="184" t="s">
        <v>4942</v>
      </c>
      <c r="E105" s="184" t="s">
        <v>6505</v>
      </c>
      <c r="F105" s="419" t="s">
        <v>3328</v>
      </c>
      <c r="G105" s="235" t="s">
        <v>6504</v>
      </c>
      <c r="H105" s="509" t="s">
        <v>6501</v>
      </c>
      <c r="I105" s="194">
        <v>0</v>
      </c>
      <c r="J105" s="194">
        <v>72342.5</v>
      </c>
      <c r="K105" s="185">
        <v>0.95</v>
      </c>
      <c r="L105" s="183" t="s">
        <v>4694</v>
      </c>
      <c r="M105" s="957" t="s">
        <v>3726</v>
      </c>
      <c r="N105" s="957" t="s">
        <v>3726</v>
      </c>
      <c r="O105" s="962"/>
    </row>
    <row r="106" spans="1:15" s="182" customFormat="1" ht="21.75" customHeight="1" x14ac:dyDescent="0.15">
      <c r="A106" s="151" t="s">
        <v>6491</v>
      </c>
      <c r="B106" s="20" t="s">
        <v>6492</v>
      </c>
      <c r="C106" s="184" t="s">
        <v>4941</v>
      </c>
      <c r="D106" s="184" t="s">
        <v>4942</v>
      </c>
      <c r="E106" s="184" t="s">
        <v>6506</v>
      </c>
      <c r="F106" s="419" t="s">
        <v>3328</v>
      </c>
      <c r="G106" s="235" t="s">
        <v>6504</v>
      </c>
      <c r="H106" s="509" t="s">
        <v>6502</v>
      </c>
      <c r="I106" s="194">
        <v>0</v>
      </c>
      <c r="J106" s="194">
        <v>92435</v>
      </c>
      <c r="K106" s="185">
        <v>0.95</v>
      </c>
      <c r="L106" s="183" t="s">
        <v>4694</v>
      </c>
      <c r="M106" s="957" t="s">
        <v>3726</v>
      </c>
      <c r="N106" s="957" t="s">
        <v>3726</v>
      </c>
      <c r="O106" s="962"/>
    </row>
    <row r="107" spans="1:15" s="182" customFormat="1" ht="21.75" customHeight="1" x14ac:dyDescent="0.15">
      <c r="A107" s="151" t="s">
        <v>6491</v>
      </c>
      <c r="B107" s="20" t="s">
        <v>2936</v>
      </c>
      <c r="C107" s="399" t="s">
        <v>4963</v>
      </c>
      <c r="D107" s="399" t="s">
        <v>4942</v>
      </c>
      <c r="E107" s="399" t="s">
        <v>697</v>
      </c>
      <c r="F107" s="184" t="s">
        <v>5078</v>
      </c>
      <c r="G107" s="239" t="s">
        <v>3349</v>
      </c>
      <c r="H107" s="509">
        <v>23085</v>
      </c>
      <c r="I107" s="194">
        <v>0</v>
      </c>
      <c r="J107" s="194">
        <v>113000</v>
      </c>
      <c r="K107" s="185">
        <v>1</v>
      </c>
      <c r="L107" s="183" t="s">
        <v>4706</v>
      </c>
      <c r="M107" s="957" t="s">
        <v>3957</v>
      </c>
      <c r="N107" s="958" t="s">
        <v>3957</v>
      </c>
      <c r="O107" s="961"/>
    </row>
    <row r="108" spans="1:15" s="182" customFormat="1" ht="21.75" customHeight="1" x14ac:dyDescent="0.15">
      <c r="A108" s="151" t="s">
        <v>6491</v>
      </c>
      <c r="B108" s="20" t="s">
        <v>6493</v>
      </c>
      <c r="C108" s="399" t="s">
        <v>3330</v>
      </c>
      <c r="D108" s="399" t="s">
        <v>3837</v>
      </c>
      <c r="E108" s="399" t="s">
        <v>6507</v>
      </c>
      <c r="F108" s="419" t="s">
        <v>3328</v>
      </c>
      <c r="G108" s="235" t="s">
        <v>6504</v>
      </c>
      <c r="H108" s="509">
        <v>23044</v>
      </c>
      <c r="I108" s="194">
        <v>0</v>
      </c>
      <c r="J108" s="194">
        <v>72342.5</v>
      </c>
      <c r="K108" s="185">
        <v>0.95</v>
      </c>
      <c r="L108" s="183" t="s">
        <v>4694</v>
      </c>
      <c r="M108" s="957" t="s">
        <v>3726</v>
      </c>
      <c r="N108" s="957" t="s">
        <v>3726</v>
      </c>
      <c r="O108" s="961"/>
    </row>
    <row r="109" spans="1:15" s="182" customFormat="1" ht="21.75" customHeight="1" x14ac:dyDescent="0.15">
      <c r="A109" s="151" t="s">
        <v>6508</v>
      </c>
      <c r="B109" s="20" t="s">
        <v>1964</v>
      </c>
      <c r="C109" s="184" t="s">
        <v>6216</v>
      </c>
      <c r="D109" s="184" t="s">
        <v>5422</v>
      </c>
      <c r="E109" s="184" t="s">
        <v>6217</v>
      </c>
      <c r="F109" s="419" t="s">
        <v>3328</v>
      </c>
      <c r="G109" s="235" t="s">
        <v>3370</v>
      </c>
      <c r="H109" s="509">
        <v>22106</v>
      </c>
      <c r="I109" s="194">
        <v>0</v>
      </c>
      <c r="J109" s="194">
        <v>78000</v>
      </c>
      <c r="K109" s="185">
        <v>0.5</v>
      </c>
      <c r="L109" s="183" t="s">
        <v>4706</v>
      </c>
      <c r="M109" s="957" t="s">
        <v>6038</v>
      </c>
      <c r="N109" s="957" t="s">
        <v>6038</v>
      </c>
      <c r="O109" s="964"/>
    </row>
    <row r="110" spans="1:15" s="182" customFormat="1" ht="36.75" customHeight="1" x14ac:dyDescent="0.15">
      <c r="A110" s="151" t="s">
        <v>6509</v>
      </c>
      <c r="B110" s="849" t="s">
        <v>6512</v>
      </c>
      <c r="C110" s="399" t="s">
        <v>4982</v>
      </c>
      <c r="D110" s="184" t="s">
        <v>5422</v>
      </c>
      <c r="E110" s="399" t="s">
        <v>5569</v>
      </c>
      <c r="F110" s="184" t="s">
        <v>4944</v>
      </c>
      <c r="G110" s="235" t="s">
        <v>5827</v>
      </c>
      <c r="H110" s="509" t="s">
        <v>6513</v>
      </c>
      <c r="I110" s="194">
        <v>0</v>
      </c>
      <c r="J110" s="194">
        <v>9000</v>
      </c>
      <c r="K110" s="185">
        <v>0.1</v>
      </c>
      <c r="L110" s="183" t="s">
        <v>4706</v>
      </c>
      <c r="M110" s="957" t="s">
        <v>3433</v>
      </c>
      <c r="N110" s="957" t="s">
        <v>3433</v>
      </c>
      <c r="O110" s="964"/>
    </row>
    <row r="111" spans="1:15" s="182" customFormat="1" ht="36.75" customHeight="1" x14ac:dyDescent="0.15">
      <c r="A111" s="151" t="s">
        <v>6509</v>
      </c>
      <c r="B111" s="849" t="s">
        <v>6512</v>
      </c>
      <c r="C111" s="184" t="s">
        <v>4982</v>
      </c>
      <c r="D111" s="184" t="s">
        <v>5422</v>
      </c>
      <c r="E111" s="184" t="s">
        <v>879</v>
      </c>
      <c r="F111" s="184" t="s">
        <v>4944</v>
      </c>
      <c r="G111" s="235" t="s">
        <v>5827</v>
      </c>
      <c r="H111" s="509" t="s">
        <v>6514</v>
      </c>
      <c r="I111" s="194">
        <v>0</v>
      </c>
      <c r="J111" s="194">
        <v>9000</v>
      </c>
      <c r="K111" s="185">
        <v>0.1</v>
      </c>
      <c r="L111" s="183" t="s">
        <v>4706</v>
      </c>
      <c r="M111" s="957" t="s">
        <v>3433</v>
      </c>
      <c r="N111" s="957" t="s">
        <v>3433</v>
      </c>
      <c r="O111" s="965"/>
    </row>
    <row r="112" spans="1:15" s="182" customFormat="1" ht="36.75" customHeight="1" x14ac:dyDescent="0.15">
      <c r="A112" s="151" t="s">
        <v>6509</v>
      </c>
      <c r="B112" s="849" t="s">
        <v>6512</v>
      </c>
      <c r="C112" s="224" t="s">
        <v>3325</v>
      </c>
      <c r="D112" s="224" t="s">
        <v>3439</v>
      </c>
      <c r="E112" s="394" t="s">
        <v>4102</v>
      </c>
      <c r="F112" s="224" t="s">
        <v>3340</v>
      </c>
      <c r="G112" s="235" t="s">
        <v>5827</v>
      </c>
      <c r="H112" s="509" t="s">
        <v>6515</v>
      </c>
      <c r="I112" s="194">
        <v>0</v>
      </c>
      <c r="J112" s="194">
        <v>9000</v>
      </c>
      <c r="K112" s="185">
        <v>0.1</v>
      </c>
      <c r="L112" s="183" t="s">
        <v>4706</v>
      </c>
      <c r="M112" s="957" t="s">
        <v>3433</v>
      </c>
      <c r="N112" s="957" t="s">
        <v>3433</v>
      </c>
      <c r="O112" s="965"/>
    </row>
    <row r="113" spans="1:15" s="182" customFormat="1" ht="21.75" customHeight="1" x14ac:dyDescent="0.15">
      <c r="A113" s="151" t="s">
        <v>6509</v>
      </c>
      <c r="B113" s="20" t="s">
        <v>6376</v>
      </c>
      <c r="C113" s="184" t="s">
        <v>4941</v>
      </c>
      <c r="D113" s="184" t="s">
        <v>4942</v>
      </c>
      <c r="E113" s="184" t="s">
        <v>6415</v>
      </c>
      <c r="F113" s="184" t="s">
        <v>3328</v>
      </c>
      <c r="G113" s="235" t="s">
        <v>3329</v>
      </c>
      <c r="H113" s="509" t="s">
        <v>6460</v>
      </c>
      <c r="I113" s="194">
        <v>0</v>
      </c>
      <c r="J113" s="194">
        <v>30248.1</v>
      </c>
      <c r="K113" s="185" t="s">
        <v>6516</v>
      </c>
      <c r="L113" s="183" t="s">
        <v>4707</v>
      </c>
      <c r="M113" s="957" t="s">
        <v>3726</v>
      </c>
      <c r="N113" s="957" t="s">
        <v>3726</v>
      </c>
      <c r="O113" s="965"/>
    </row>
    <row r="114" spans="1:15" s="182" customFormat="1" ht="21.75" customHeight="1" x14ac:dyDescent="0.15">
      <c r="A114" s="151" t="s">
        <v>6509</v>
      </c>
      <c r="B114" s="20" t="s">
        <v>6376</v>
      </c>
      <c r="C114" s="184" t="s">
        <v>4941</v>
      </c>
      <c r="D114" s="184" t="s">
        <v>4942</v>
      </c>
      <c r="E114" s="184" t="s">
        <v>6417</v>
      </c>
      <c r="F114" s="184" t="s">
        <v>5078</v>
      </c>
      <c r="G114" s="235" t="s">
        <v>3329</v>
      </c>
      <c r="H114" s="509" t="s">
        <v>6461</v>
      </c>
      <c r="I114" s="194">
        <v>0</v>
      </c>
      <c r="J114" s="194">
        <v>33015.4</v>
      </c>
      <c r="K114" s="185" t="s">
        <v>6517</v>
      </c>
      <c r="L114" s="183" t="s">
        <v>4707</v>
      </c>
      <c r="M114" s="957" t="s">
        <v>3726</v>
      </c>
      <c r="N114" s="957" t="s">
        <v>3726</v>
      </c>
      <c r="O114" s="965"/>
    </row>
    <row r="115" spans="1:15" s="182" customFormat="1" ht="21.75" customHeight="1" x14ac:dyDescent="0.15">
      <c r="A115" s="151" t="s">
        <v>6509</v>
      </c>
      <c r="B115" s="20" t="s">
        <v>6376</v>
      </c>
      <c r="C115" s="184" t="s">
        <v>4941</v>
      </c>
      <c r="D115" s="184" t="s">
        <v>4942</v>
      </c>
      <c r="E115" s="184" t="s">
        <v>6418</v>
      </c>
      <c r="F115" s="184" t="s">
        <v>5078</v>
      </c>
      <c r="G115" s="235" t="s">
        <v>5090</v>
      </c>
      <c r="H115" s="509" t="s">
        <v>6462</v>
      </c>
      <c r="I115" s="194">
        <v>0</v>
      </c>
      <c r="J115" s="194">
        <v>33866.800000000003</v>
      </c>
      <c r="K115" s="185" t="s">
        <v>6517</v>
      </c>
      <c r="L115" s="183" t="s">
        <v>4707</v>
      </c>
      <c r="M115" s="957" t="s">
        <v>3726</v>
      </c>
      <c r="N115" s="957" t="s">
        <v>3726</v>
      </c>
      <c r="O115" s="965"/>
    </row>
    <row r="116" spans="1:15" s="182" customFormat="1" ht="21.75" customHeight="1" x14ac:dyDescent="0.15">
      <c r="A116" s="151" t="s">
        <v>6509</v>
      </c>
      <c r="B116" s="20" t="s">
        <v>6376</v>
      </c>
      <c r="C116" s="184" t="s">
        <v>4941</v>
      </c>
      <c r="D116" s="184" t="s">
        <v>4942</v>
      </c>
      <c r="E116" s="184" t="s">
        <v>6420</v>
      </c>
      <c r="F116" s="184" t="s">
        <v>5078</v>
      </c>
      <c r="G116" s="235" t="s">
        <v>5090</v>
      </c>
      <c r="H116" s="509" t="s">
        <v>6463</v>
      </c>
      <c r="I116" s="194">
        <v>0</v>
      </c>
      <c r="J116" s="194">
        <v>33866.800000000003</v>
      </c>
      <c r="K116" s="185" t="s">
        <v>6517</v>
      </c>
      <c r="L116" s="183" t="s">
        <v>4707</v>
      </c>
      <c r="M116" s="957" t="s">
        <v>3726</v>
      </c>
      <c r="N116" s="957" t="s">
        <v>3726</v>
      </c>
      <c r="O116" s="965"/>
    </row>
    <row r="117" spans="1:15" s="182" customFormat="1" ht="21.75" customHeight="1" x14ac:dyDescent="0.15">
      <c r="A117" s="151" t="s">
        <v>6509</v>
      </c>
      <c r="B117" s="20" t="s">
        <v>6376</v>
      </c>
      <c r="C117" s="184" t="s">
        <v>4941</v>
      </c>
      <c r="D117" s="184" t="s">
        <v>4942</v>
      </c>
      <c r="E117" s="184" t="s">
        <v>6421</v>
      </c>
      <c r="F117" s="184" t="s">
        <v>5078</v>
      </c>
      <c r="G117" s="235" t="s">
        <v>3375</v>
      </c>
      <c r="H117" s="509" t="s">
        <v>6464</v>
      </c>
      <c r="I117" s="194">
        <v>0</v>
      </c>
      <c r="J117" s="194">
        <v>42806.5</v>
      </c>
      <c r="K117" s="185" t="s">
        <v>6517</v>
      </c>
      <c r="L117" s="183" t="s">
        <v>4707</v>
      </c>
      <c r="M117" s="957" t="s">
        <v>3726</v>
      </c>
      <c r="N117" s="957" t="s">
        <v>3726</v>
      </c>
      <c r="O117" s="965"/>
    </row>
    <row r="118" spans="1:15" s="182" customFormat="1" ht="21.75" customHeight="1" x14ac:dyDescent="0.15">
      <c r="A118" s="151" t="s">
        <v>6509</v>
      </c>
      <c r="B118" s="20" t="s">
        <v>6376</v>
      </c>
      <c r="C118" s="184" t="s">
        <v>4941</v>
      </c>
      <c r="D118" s="184" t="s">
        <v>4942</v>
      </c>
      <c r="E118" s="184" t="s">
        <v>6423</v>
      </c>
      <c r="F118" s="184" t="s">
        <v>5078</v>
      </c>
      <c r="G118" s="235" t="s">
        <v>3329</v>
      </c>
      <c r="H118" s="509" t="s">
        <v>6465</v>
      </c>
      <c r="I118" s="194">
        <v>0</v>
      </c>
      <c r="J118" s="194">
        <v>32968.1</v>
      </c>
      <c r="K118" s="185" t="s">
        <v>6517</v>
      </c>
      <c r="L118" s="183" t="s">
        <v>4707</v>
      </c>
      <c r="M118" s="957" t="s">
        <v>3726</v>
      </c>
      <c r="N118" s="957" t="s">
        <v>3726</v>
      </c>
      <c r="O118" s="965"/>
    </row>
    <row r="119" spans="1:15" s="182" customFormat="1" ht="21" customHeight="1" x14ac:dyDescent="0.15">
      <c r="A119" s="151" t="s">
        <v>6509</v>
      </c>
      <c r="B119" s="20" t="s">
        <v>6376</v>
      </c>
      <c r="C119" s="184" t="s">
        <v>4941</v>
      </c>
      <c r="D119" s="184" t="s">
        <v>4942</v>
      </c>
      <c r="E119" s="184" t="s">
        <v>6424</v>
      </c>
      <c r="F119" s="184" t="s">
        <v>5078</v>
      </c>
      <c r="G119" s="235" t="s">
        <v>3329</v>
      </c>
      <c r="H119" s="509" t="s">
        <v>6466</v>
      </c>
      <c r="I119" s="194">
        <v>0</v>
      </c>
      <c r="J119" s="194">
        <v>27292.1</v>
      </c>
      <c r="K119" s="185" t="s">
        <v>6517</v>
      </c>
      <c r="L119" s="183" t="s">
        <v>4707</v>
      </c>
      <c r="M119" s="957" t="s">
        <v>3726</v>
      </c>
      <c r="N119" s="957" t="s">
        <v>3726</v>
      </c>
      <c r="O119" s="965"/>
    </row>
    <row r="120" spans="1:15" s="182" customFormat="1" ht="21.75" customHeight="1" x14ac:dyDescent="0.15">
      <c r="A120" s="151" t="s">
        <v>6509</v>
      </c>
      <c r="B120" s="20" t="s">
        <v>6376</v>
      </c>
      <c r="C120" s="184" t="s">
        <v>4941</v>
      </c>
      <c r="D120" s="184" t="s">
        <v>4942</v>
      </c>
      <c r="E120" s="184" t="s">
        <v>6425</v>
      </c>
      <c r="F120" s="184" t="s">
        <v>5078</v>
      </c>
      <c r="G120" s="235" t="s">
        <v>3329</v>
      </c>
      <c r="H120" s="509" t="s">
        <v>6467</v>
      </c>
      <c r="I120" s="194">
        <v>0</v>
      </c>
      <c r="J120" s="194">
        <v>32022.1</v>
      </c>
      <c r="K120" s="185" t="s">
        <v>6517</v>
      </c>
      <c r="L120" s="183" t="s">
        <v>4707</v>
      </c>
      <c r="M120" s="957" t="s">
        <v>3726</v>
      </c>
      <c r="N120" s="957" t="s">
        <v>3726</v>
      </c>
      <c r="O120" s="964"/>
    </row>
    <row r="121" spans="1:15" s="182" customFormat="1" ht="21.75" customHeight="1" x14ac:dyDescent="0.15">
      <c r="A121" s="151" t="s">
        <v>6509</v>
      </c>
      <c r="B121" s="20" t="s">
        <v>6376</v>
      </c>
      <c r="C121" s="184" t="s">
        <v>4941</v>
      </c>
      <c r="D121" s="184" t="s">
        <v>4942</v>
      </c>
      <c r="E121" s="184" t="s">
        <v>6426</v>
      </c>
      <c r="F121" s="184" t="s">
        <v>5078</v>
      </c>
      <c r="G121" s="235" t="s">
        <v>3329</v>
      </c>
      <c r="H121" s="509" t="s">
        <v>6468</v>
      </c>
      <c r="I121" s="194">
        <v>0</v>
      </c>
      <c r="J121" s="194">
        <v>33914.1</v>
      </c>
      <c r="K121" s="185" t="s">
        <v>6517</v>
      </c>
      <c r="L121" s="183" t="s">
        <v>4707</v>
      </c>
      <c r="M121" s="957" t="s">
        <v>3726</v>
      </c>
      <c r="N121" s="957" t="s">
        <v>3726</v>
      </c>
      <c r="O121" s="965"/>
    </row>
    <row r="122" spans="1:15" s="182" customFormat="1" ht="21.75" customHeight="1" x14ac:dyDescent="0.15">
      <c r="A122" s="151" t="s">
        <v>6510</v>
      </c>
      <c r="B122" s="20" t="s">
        <v>6511</v>
      </c>
      <c r="C122" s="184" t="s">
        <v>4963</v>
      </c>
      <c r="D122" s="184" t="s">
        <v>5028</v>
      </c>
      <c r="E122" s="184" t="s">
        <v>5722</v>
      </c>
      <c r="F122" s="224" t="s">
        <v>3328</v>
      </c>
      <c r="G122" s="239" t="s">
        <v>3353</v>
      </c>
      <c r="H122" s="509">
        <v>24025</v>
      </c>
      <c r="I122" s="194">
        <v>0</v>
      </c>
      <c r="J122" s="194">
        <v>9800</v>
      </c>
      <c r="K122" s="185">
        <v>1</v>
      </c>
      <c r="L122" s="183" t="s">
        <v>4707</v>
      </c>
      <c r="M122" s="957" t="s">
        <v>3957</v>
      </c>
      <c r="N122" s="957" t="s">
        <v>3957</v>
      </c>
      <c r="O122" s="965"/>
    </row>
    <row r="123" spans="1:15" s="182" customFormat="1" ht="21.75" customHeight="1" x14ac:dyDescent="0.15">
      <c r="A123" s="151" t="s">
        <v>6510</v>
      </c>
      <c r="B123" s="20" t="s">
        <v>219</v>
      </c>
      <c r="C123" s="391" t="s">
        <v>3346</v>
      </c>
      <c r="D123" s="393" t="s">
        <v>3352</v>
      </c>
      <c r="E123" s="391" t="s">
        <v>4241</v>
      </c>
      <c r="F123" s="184" t="s">
        <v>5078</v>
      </c>
      <c r="G123" s="235" t="s">
        <v>3349</v>
      </c>
      <c r="H123" s="509">
        <v>22174</v>
      </c>
      <c r="I123" s="194">
        <v>0</v>
      </c>
      <c r="J123" s="194">
        <v>93100</v>
      </c>
      <c r="K123" s="185">
        <v>1</v>
      </c>
      <c r="L123" s="183" t="s">
        <v>4706</v>
      </c>
      <c r="M123" s="957" t="s">
        <v>3433</v>
      </c>
      <c r="N123" s="957" t="s">
        <v>3433</v>
      </c>
      <c r="O123" s="965"/>
    </row>
    <row r="124" spans="1:15" s="182" customFormat="1" ht="21.75" customHeight="1" x14ac:dyDescent="0.15">
      <c r="A124" s="151" t="s">
        <v>6518</v>
      </c>
      <c r="B124" s="20" t="s">
        <v>6519</v>
      </c>
      <c r="C124" s="399" t="s">
        <v>4982</v>
      </c>
      <c r="D124" s="184" t="s">
        <v>5422</v>
      </c>
      <c r="E124" s="399" t="s">
        <v>5569</v>
      </c>
      <c r="F124" s="184" t="s">
        <v>4944</v>
      </c>
      <c r="G124" s="235" t="s">
        <v>5827</v>
      </c>
      <c r="H124" s="509" t="s">
        <v>6522</v>
      </c>
      <c r="I124" s="194">
        <v>0</v>
      </c>
      <c r="J124" s="194">
        <v>28200</v>
      </c>
      <c r="K124" s="185">
        <v>0.3</v>
      </c>
      <c r="L124" s="183" t="s">
        <v>4706</v>
      </c>
      <c r="M124" s="184" t="s">
        <v>693</v>
      </c>
      <c r="N124" s="184" t="s">
        <v>693</v>
      </c>
      <c r="O124" s="966"/>
    </row>
    <row r="125" spans="1:15" s="182" customFormat="1" ht="21.75" customHeight="1" x14ac:dyDescent="0.15">
      <c r="A125" s="151" t="s">
        <v>6520</v>
      </c>
      <c r="B125" s="20" t="s">
        <v>6519</v>
      </c>
      <c r="C125" s="184" t="s">
        <v>4982</v>
      </c>
      <c r="D125" s="184" t="s">
        <v>5422</v>
      </c>
      <c r="E125" s="184" t="s">
        <v>879</v>
      </c>
      <c r="F125" s="184" t="s">
        <v>4944</v>
      </c>
      <c r="G125" s="235" t="s">
        <v>5827</v>
      </c>
      <c r="H125" s="509" t="s">
        <v>6523</v>
      </c>
      <c r="I125" s="194">
        <v>0</v>
      </c>
      <c r="J125" s="194">
        <v>28200</v>
      </c>
      <c r="K125" s="185">
        <v>0.3</v>
      </c>
      <c r="L125" s="183" t="s">
        <v>4706</v>
      </c>
      <c r="M125" s="184" t="s">
        <v>693</v>
      </c>
      <c r="N125" s="184" t="s">
        <v>693</v>
      </c>
      <c r="O125" s="966"/>
    </row>
    <row r="126" spans="1:15" s="182" customFormat="1" ht="21.75" customHeight="1" x14ac:dyDescent="0.15">
      <c r="A126" s="151" t="s">
        <v>6520</v>
      </c>
      <c r="B126" s="20" t="s">
        <v>6519</v>
      </c>
      <c r="C126" s="224" t="s">
        <v>3325</v>
      </c>
      <c r="D126" s="224" t="s">
        <v>3439</v>
      </c>
      <c r="E126" s="394" t="s">
        <v>4102</v>
      </c>
      <c r="F126" s="224" t="s">
        <v>3340</v>
      </c>
      <c r="G126" s="235" t="s">
        <v>5827</v>
      </c>
      <c r="H126" s="509" t="s">
        <v>6524</v>
      </c>
      <c r="I126" s="194">
        <v>0</v>
      </c>
      <c r="J126" s="194">
        <v>28200</v>
      </c>
      <c r="K126" s="185">
        <v>0.3</v>
      </c>
      <c r="L126" s="183" t="s">
        <v>4706</v>
      </c>
      <c r="M126" s="224" t="s">
        <v>3433</v>
      </c>
      <c r="N126" s="224" t="s">
        <v>3433</v>
      </c>
      <c r="O126" s="966"/>
    </row>
    <row r="127" spans="1:15" s="182" customFormat="1" ht="21.75" customHeight="1" x14ac:dyDescent="0.15">
      <c r="A127" s="151" t="s">
        <v>6527</v>
      </c>
      <c r="B127" s="20" t="s">
        <v>6521</v>
      </c>
      <c r="C127" s="184" t="s">
        <v>4963</v>
      </c>
      <c r="D127" s="184" t="s">
        <v>5153</v>
      </c>
      <c r="E127" s="184" t="s">
        <v>6525</v>
      </c>
      <c r="F127" s="184" t="s">
        <v>5078</v>
      </c>
      <c r="G127" s="235" t="s">
        <v>5333</v>
      </c>
      <c r="H127" s="509">
        <v>23144</v>
      </c>
      <c r="I127" s="194">
        <v>0</v>
      </c>
      <c r="J127" s="194">
        <v>167366</v>
      </c>
      <c r="K127" s="185" t="s">
        <v>6526</v>
      </c>
      <c r="L127" s="183" t="s">
        <v>4707</v>
      </c>
      <c r="M127" s="183" t="s">
        <v>3957</v>
      </c>
      <c r="N127" s="183" t="s">
        <v>3957</v>
      </c>
      <c r="O127" s="966"/>
    </row>
    <row r="128" spans="1:15" s="182" customFormat="1" ht="21.75" customHeight="1" x14ac:dyDescent="0.15">
      <c r="A128" s="151" t="s">
        <v>6528</v>
      </c>
      <c r="B128" s="20" t="s">
        <v>5562</v>
      </c>
      <c r="C128" s="399" t="s">
        <v>4982</v>
      </c>
      <c r="D128" s="399" t="s">
        <v>5422</v>
      </c>
      <c r="E128" s="399" t="s">
        <v>5506</v>
      </c>
      <c r="F128" s="184" t="s">
        <v>5078</v>
      </c>
      <c r="G128" s="235" t="s">
        <v>6531</v>
      </c>
      <c r="H128" s="509">
        <v>23030</v>
      </c>
      <c r="I128" s="194">
        <v>0</v>
      </c>
      <c r="J128" s="194">
        <v>92000</v>
      </c>
      <c r="K128" s="185">
        <v>0.5</v>
      </c>
      <c r="L128" s="183" t="s">
        <v>4706</v>
      </c>
      <c r="M128" s="184" t="s">
        <v>693</v>
      </c>
      <c r="N128" s="184" t="s">
        <v>693</v>
      </c>
      <c r="O128" s="967"/>
    </row>
    <row r="129" spans="1:15" s="182" customFormat="1" ht="21.75" customHeight="1" x14ac:dyDescent="0.15">
      <c r="A129" s="151" t="s">
        <v>6528</v>
      </c>
      <c r="B129" s="20" t="s">
        <v>4802</v>
      </c>
      <c r="C129" s="399" t="s">
        <v>4982</v>
      </c>
      <c r="D129" s="184" t="s">
        <v>5422</v>
      </c>
      <c r="E129" s="399" t="s">
        <v>5828</v>
      </c>
      <c r="F129" s="419" t="s">
        <v>3328</v>
      </c>
      <c r="G129" s="235" t="s">
        <v>6531</v>
      </c>
      <c r="H129" s="509">
        <v>23016</v>
      </c>
      <c r="I129" s="194">
        <v>0</v>
      </c>
      <c r="J129" s="194">
        <v>92000</v>
      </c>
      <c r="K129" s="185">
        <v>0.5</v>
      </c>
      <c r="L129" s="183" t="s">
        <v>4706</v>
      </c>
      <c r="M129" s="184" t="s">
        <v>693</v>
      </c>
      <c r="N129" s="184" t="s">
        <v>693</v>
      </c>
      <c r="O129" s="967"/>
    </row>
    <row r="130" spans="1:15" s="182" customFormat="1" ht="21.75" customHeight="1" x14ac:dyDescent="0.15">
      <c r="A130" s="151" t="s">
        <v>6528</v>
      </c>
      <c r="B130" s="20" t="s">
        <v>4732</v>
      </c>
      <c r="C130" s="224" t="s">
        <v>4982</v>
      </c>
      <c r="D130" s="224" t="s">
        <v>4942</v>
      </c>
      <c r="E130" s="405" t="s">
        <v>6532</v>
      </c>
      <c r="F130" s="184" t="s">
        <v>5020</v>
      </c>
      <c r="G130" s="235" t="s">
        <v>5036</v>
      </c>
      <c r="H130" s="509">
        <v>22169</v>
      </c>
      <c r="I130" s="194">
        <v>0</v>
      </c>
      <c r="J130" s="194">
        <v>6000</v>
      </c>
      <c r="K130" s="185">
        <v>1</v>
      </c>
      <c r="L130" s="183" t="s">
        <v>4707</v>
      </c>
      <c r="M130" s="184" t="s">
        <v>693</v>
      </c>
      <c r="N130" s="184" t="s">
        <v>693</v>
      </c>
      <c r="O130" s="967"/>
    </row>
    <row r="131" spans="1:15" s="182" customFormat="1" ht="21.75" customHeight="1" x14ac:dyDescent="0.15">
      <c r="A131" s="151" t="s">
        <v>6528</v>
      </c>
      <c r="B131" s="20" t="s">
        <v>767</v>
      </c>
      <c r="C131" s="224" t="s">
        <v>3325</v>
      </c>
      <c r="D131" s="234" t="s">
        <v>3439</v>
      </c>
      <c r="E131" s="224" t="s">
        <v>3440</v>
      </c>
      <c r="F131" s="970" t="s">
        <v>3328</v>
      </c>
      <c r="G131" s="235" t="s">
        <v>3386</v>
      </c>
      <c r="H131" s="509" t="s">
        <v>5571</v>
      </c>
      <c r="I131" s="194">
        <v>0</v>
      </c>
      <c r="J131" s="194">
        <v>4400</v>
      </c>
      <c r="K131" s="185" t="s">
        <v>6533</v>
      </c>
      <c r="L131" s="183" t="s">
        <v>4707</v>
      </c>
      <c r="M131" s="184" t="s">
        <v>693</v>
      </c>
      <c r="N131" s="184" t="s">
        <v>693</v>
      </c>
      <c r="O131" s="967"/>
    </row>
    <row r="132" spans="1:15" s="182" customFormat="1" ht="21.75" customHeight="1" x14ac:dyDescent="0.15">
      <c r="A132" s="151" t="s">
        <v>6529</v>
      </c>
      <c r="B132" s="20" t="s">
        <v>5404</v>
      </c>
      <c r="C132" s="224" t="s">
        <v>3325</v>
      </c>
      <c r="D132" s="224" t="s">
        <v>3439</v>
      </c>
      <c r="E132" s="394" t="s">
        <v>4102</v>
      </c>
      <c r="F132" s="224" t="s">
        <v>3340</v>
      </c>
      <c r="G132" s="239" t="s">
        <v>3336</v>
      </c>
      <c r="H132" s="509">
        <v>21198</v>
      </c>
      <c r="I132" s="194">
        <v>0</v>
      </c>
      <c r="J132" s="194">
        <v>4400</v>
      </c>
      <c r="K132" s="185">
        <v>0.08</v>
      </c>
      <c r="L132" s="183" t="s">
        <v>4724</v>
      </c>
      <c r="M132" s="184" t="s">
        <v>693</v>
      </c>
      <c r="N132" s="184" t="s">
        <v>693</v>
      </c>
      <c r="O132" s="967"/>
    </row>
    <row r="133" spans="1:15" s="182" customFormat="1" ht="21.75" customHeight="1" x14ac:dyDescent="0.15">
      <c r="A133" s="151" t="s">
        <v>6529</v>
      </c>
      <c r="B133" s="20" t="s">
        <v>5404</v>
      </c>
      <c r="C133" s="224" t="s">
        <v>3325</v>
      </c>
      <c r="D133" s="224" t="s">
        <v>3439</v>
      </c>
      <c r="E133" s="394" t="s">
        <v>4102</v>
      </c>
      <c r="F133" s="184" t="s">
        <v>4944</v>
      </c>
      <c r="G133" s="239" t="s">
        <v>5240</v>
      </c>
      <c r="H133" s="509">
        <v>23123</v>
      </c>
      <c r="I133" s="194">
        <v>0</v>
      </c>
      <c r="J133" s="194">
        <v>840</v>
      </c>
      <c r="K133" s="185">
        <v>0.03</v>
      </c>
      <c r="L133" s="183" t="s">
        <v>4724</v>
      </c>
      <c r="M133" s="184" t="s">
        <v>693</v>
      </c>
      <c r="N133" s="184" t="s">
        <v>693</v>
      </c>
      <c r="O133" s="967"/>
    </row>
    <row r="134" spans="1:15" s="182" customFormat="1" ht="21.75" customHeight="1" x14ac:dyDescent="0.15">
      <c r="A134" s="151" t="s">
        <v>6529</v>
      </c>
      <c r="B134" s="20" t="s">
        <v>6530</v>
      </c>
      <c r="C134" s="184" t="s">
        <v>4982</v>
      </c>
      <c r="D134" s="184" t="s">
        <v>5018</v>
      </c>
      <c r="E134" s="399" t="s">
        <v>6534</v>
      </c>
      <c r="F134" s="184" t="s">
        <v>3355</v>
      </c>
      <c r="G134" s="235" t="s">
        <v>5086</v>
      </c>
      <c r="H134" s="509">
        <v>23065</v>
      </c>
      <c r="I134" s="194">
        <v>0</v>
      </c>
      <c r="J134" s="194">
        <v>90000</v>
      </c>
      <c r="K134" s="185">
        <v>0.9</v>
      </c>
      <c r="L134" s="183" t="s">
        <v>6535</v>
      </c>
      <c r="M134" s="184" t="s">
        <v>5255</v>
      </c>
      <c r="N134" s="184" t="s">
        <v>5255</v>
      </c>
      <c r="O134" s="967"/>
    </row>
    <row r="135" spans="1:15" s="182" customFormat="1" ht="21.75" customHeight="1" x14ac:dyDescent="0.15">
      <c r="A135" s="151" t="s">
        <v>6529</v>
      </c>
      <c r="B135" s="20" t="s">
        <v>5106</v>
      </c>
      <c r="C135" s="184" t="s">
        <v>4982</v>
      </c>
      <c r="D135" s="184" t="s">
        <v>5098</v>
      </c>
      <c r="E135" s="184" t="s">
        <v>6536</v>
      </c>
      <c r="F135" s="184" t="s">
        <v>3355</v>
      </c>
      <c r="G135" s="235" t="s">
        <v>5086</v>
      </c>
      <c r="H135" s="509">
        <v>22122</v>
      </c>
      <c r="I135" s="194">
        <v>0</v>
      </c>
      <c r="J135" s="194">
        <v>70000</v>
      </c>
      <c r="K135" s="185">
        <v>1</v>
      </c>
      <c r="L135" s="183" t="s">
        <v>4707</v>
      </c>
      <c r="M135" s="184" t="s">
        <v>5835</v>
      </c>
      <c r="N135" s="184" t="s">
        <v>5835</v>
      </c>
      <c r="O135" s="967"/>
    </row>
    <row r="136" spans="1:15" s="182" customFormat="1" ht="21.75" customHeight="1" x14ac:dyDescent="0.15">
      <c r="A136" s="151" t="s">
        <v>6529</v>
      </c>
      <c r="B136" s="20" t="s">
        <v>5106</v>
      </c>
      <c r="C136" s="184" t="s">
        <v>4982</v>
      </c>
      <c r="D136" s="184" t="s">
        <v>5153</v>
      </c>
      <c r="E136" s="184" t="s">
        <v>6537</v>
      </c>
      <c r="F136" s="184" t="s">
        <v>3355</v>
      </c>
      <c r="G136" s="235" t="s">
        <v>5086</v>
      </c>
      <c r="H136" s="509">
        <v>22123</v>
      </c>
      <c r="I136" s="194">
        <v>0</v>
      </c>
      <c r="J136" s="194">
        <v>70000</v>
      </c>
      <c r="K136" s="185">
        <v>1</v>
      </c>
      <c r="L136" s="183" t="s">
        <v>4707</v>
      </c>
      <c r="M136" s="184" t="s">
        <v>5835</v>
      </c>
      <c r="N136" s="945" t="s">
        <v>4399</v>
      </c>
      <c r="O136" s="968"/>
    </row>
    <row r="137" spans="1:15" s="182" customFormat="1" ht="21.75" customHeight="1" x14ac:dyDescent="0.15">
      <c r="A137" s="151" t="s">
        <v>6557</v>
      </c>
      <c r="B137" s="20" t="s">
        <v>1437</v>
      </c>
      <c r="C137" s="224" t="s">
        <v>3351</v>
      </c>
      <c r="D137" s="224" t="s">
        <v>3352</v>
      </c>
      <c r="E137" s="224" t="s">
        <v>3644</v>
      </c>
      <c r="F137" s="403" t="s">
        <v>3328</v>
      </c>
      <c r="G137" s="239" t="s">
        <v>3349</v>
      </c>
      <c r="H137" s="509">
        <v>23107</v>
      </c>
      <c r="I137" s="194">
        <v>0</v>
      </c>
      <c r="J137" s="194">
        <v>35000</v>
      </c>
      <c r="K137" s="185">
        <v>0.5</v>
      </c>
      <c r="L137" s="183" t="s">
        <v>4706</v>
      </c>
      <c r="M137" s="957" t="s">
        <v>3726</v>
      </c>
      <c r="N137" s="957" t="s">
        <v>3726</v>
      </c>
      <c r="O137" s="976"/>
    </row>
    <row r="138" spans="1:15" s="182" customFormat="1" ht="21.75" customHeight="1" x14ac:dyDescent="0.15">
      <c r="A138" s="151" t="s">
        <v>6557</v>
      </c>
      <c r="B138" s="20" t="s">
        <v>1437</v>
      </c>
      <c r="C138" s="224" t="s">
        <v>3351</v>
      </c>
      <c r="D138" s="224" t="s">
        <v>3352</v>
      </c>
      <c r="E138" s="394" t="s">
        <v>5194</v>
      </c>
      <c r="F138" s="403" t="s">
        <v>3328</v>
      </c>
      <c r="G138" s="239" t="s">
        <v>3349</v>
      </c>
      <c r="H138" s="509">
        <v>22094</v>
      </c>
      <c r="I138" s="194">
        <v>0</v>
      </c>
      <c r="J138" s="194">
        <v>35000</v>
      </c>
      <c r="K138" s="185">
        <v>0.5</v>
      </c>
      <c r="L138" s="183" t="s">
        <v>4706</v>
      </c>
      <c r="M138" s="957" t="s">
        <v>3726</v>
      </c>
      <c r="N138" s="957" t="s">
        <v>3726</v>
      </c>
      <c r="O138" s="976"/>
    </row>
    <row r="139" spans="1:15" s="182" customFormat="1" ht="39.75" customHeight="1" x14ac:dyDescent="0.15">
      <c r="A139" s="151" t="s">
        <v>6538</v>
      </c>
      <c r="B139" s="849" t="s">
        <v>6125</v>
      </c>
      <c r="C139" s="224" t="s">
        <v>3351</v>
      </c>
      <c r="D139" s="224" t="s">
        <v>3352</v>
      </c>
      <c r="E139" s="394" t="s">
        <v>3643</v>
      </c>
      <c r="F139" s="403" t="s">
        <v>3340</v>
      </c>
      <c r="G139" s="235" t="s">
        <v>3381</v>
      </c>
      <c r="H139" s="509">
        <v>21101</v>
      </c>
      <c r="I139" s="194">
        <v>0</v>
      </c>
      <c r="J139" s="194">
        <v>21103</v>
      </c>
      <c r="K139" s="185" t="s">
        <v>6539</v>
      </c>
      <c r="L139" s="183" t="s">
        <v>4706</v>
      </c>
      <c r="M139" s="184" t="s">
        <v>5255</v>
      </c>
      <c r="N139" s="184" t="s">
        <v>5255</v>
      </c>
      <c r="O139" s="969"/>
    </row>
    <row r="140" spans="1:15" s="182" customFormat="1" ht="40.5" customHeight="1" x14ac:dyDescent="0.15">
      <c r="A140" s="151" t="s">
        <v>6538</v>
      </c>
      <c r="B140" s="849" t="s">
        <v>6540</v>
      </c>
      <c r="C140" s="392" t="s">
        <v>3351</v>
      </c>
      <c r="D140" s="392" t="s">
        <v>3352</v>
      </c>
      <c r="E140" s="391" t="s">
        <v>2784</v>
      </c>
      <c r="F140" s="952" t="s">
        <v>3328</v>
      </c>
      <c r="G140" s="460" t="s">
        <v>5172</v>
      </c>
      <c r="H140" s="972">
        <v>21039</v>
      </c>
      <c r="I140" s="194">
        <v>0</v>
      </c>
      <c r="J140" s="194">
        <v>6000</v>
      </c>
      <c r="K140" s="185">
        <v>0.3</v>
      </c>
      <c r="L140" s="183" t="s">
        <v>4724</v>
      </c>
      <c r="M140" s="945" t="s">
        <v>4699</v>
      </c>
      <c r="N140" s="945" t="s">
        <v>3726</v>
      </c>
      <c r="O140" s="969"/>
    </row>
    <row r="141" spans="1:15" s="182" customFormat="1" ht="49.5" customHeight="1" x14ac:dyDescent="0.15">
      <c r="A141" s="151" t="s">
        <v>6538</v>
      </c>
      <c r="B141" s="849" t="s">
        <v>6541</v>
      </c>
      <c r="C141" s="392" t="s">
        <v>3351</v>
      </c>
      <c r="D141" s="392" t="s">
        <v>3352</v>
      </c>
      <c r="E141" s="945" t="s">
        <v>2795</v>
      </c>
      <c r="F141" s="952" t="s">
        <v>3328</v>
      </c>
      <c r="G141" s="460" t="s">
        <v>3349</v>
      </c>
      <c r="H141" s="509">
        <v>20070</v>
      </c>
      <c r="I141" s="194">
        <v>0</v>
      </c>
      <c r="J141" s="194">
        <v>22195</v>
      </c>
      <c r="K141" s="185" t="s">
        <v>6542</v>
      </c>
      <c r="L141" s="183" t="s">
        <v>4706</v>
      </c>
      <c r="M141" s="392" t="s">
        <v>4699</v>
      </c>
      <c r="N141" s="958" t="s">
        <v>3726</v>
      </c>
      <c r="O141" s="969"/>
    </row>
    <row r="142" spans="1:15" s="182" customFormat="1" ht="44.25" customHeight="1" x14ac:dyDescent="0.15">
      <c r="A142" s="151" t="s">
        <v>6538</v>
      </c>
      <c r="B142" s="849" t="s">
        <v>6541</v>
      </c>
      <c r="C142" s="224" t="s">
        <v>3351</v>
      </c>
      <c r="D142" s="224" t="s">
        <v>3352</v>
      </c>
      <c r="E142" s="184" t="s">
        <v>2795</v>
      </c>
      <c r="F142" s="403" t="s">
        <v>3328</v>
      </c>
      <c r="G142" s="235" t="s">
        <v>3349</v>
      </c>
      <c r="H142" s="509">
        <v>21094</v>
      </c>
      <c r="I142" s="194">
        <v>0</v>
      </c>
      <c r="J142" s="194">
        <v>10417</v>
      </c>
      <c r="K142" s="185" t="s">
        <v>6543</v>
      </c>
      <c r="L142" s="183" t="s">
        <v>4706</v>
      </c>
      <c r="M142" s="184" t="s">
        <v>5255</v>
      </c>
      <c r="N142" s="184" t="s">
        <v>5255</v>
      </c>
      <c r="O142" s="969"/>
    </row>
    <row r="143" spans="1:15" s="182" customFormat="1" ht="21.75" customHeight="1" x14ac:dyDescent="0.15">
      <c r="A143" s="151" t="s">
        <v>6544</v>
      </c>
      <c r="B143" s="20" t="s">
        <v>6545</v>
      </c>
      <c r="C143" s="224" t="s">
        <v>3351</v>
      </c>
      <c r="D143" s="224" t="s">
        <v>3352</v>
      </c>
      <c r="E143" s="394" t="s">
        <v>5194</v>
      </c>
      <c r="F143" s="403" t="s">
        <v>3328</v>
      </c>
      <c r="G143" s="239" t="s">
        <v>3349</v>
      </c>
      <c r="H143" s="509">
        <v>22094</v>
      </c>
      <c r="I143" s="194">
        <v>0</v>
      </c>
      <c r="J143" s="194">
        <v>35000</v>
      </c>
      <c r="K143" s="185">
        <v>0.5</v>
      </c>
      <c r="L143" s="183" t="s">
        <v>4706</v>
      </c>
      <c r="M143" s="184" t="s">
        <v>5255</v>
      </c>
      <c r="N143" s="184" t="s">
        <v>5255</v>
      </c>
      <c r="O143" s="971"/>
    </row>
    <row r="144" spans="1:15" s="182" customFormat="1" ht="21.75" customHeight="1" x14ac:dyDescent="0.15">
      <c r="A144" s="151" t="s">
        <v>6544</v>
      </c>
      <c r="B144" s="20" t="s">
        <v>6545</v>
      </c>
      <c r="C144" s="224" t="s">
        <v>3351</v>
      </c>
      <c r="D144" s="224" t="s">
        <v>3352</v>
      </c>
      <c r="E144" s="394" t="s">
        <v>5194</v>
      </c>
      <c r="F144" s="403" t="s">
        <v>3328</v>
      </c>
      <c r="G144" s="239" t="s">
        <v>3349</v>
      </c>
      <c r="H144" s="509">
        <v>23105</v>
      </c>
      <c r="I144" s="194">
        <v>0</v>
      </c>
      <c r="J144" s="194">
        <v>35000</v>
      </c>
      <c r="K144" s="185">
        <v>0.5</v>
      </c>
      <c r="L144" s="183" t="s">
        <v>4706</v>
      </c>
      <c r="M144" s="184" t="s">
        <v>5255</v>
      </c>
      <c r="N144" s="184" t="s">
        <v>5255</v>
      </c>
      <c r="O144" s="971"/>
    </row>
    <row r="145" spans="1:15" s="182" customFormat="1" ht="21.75" customHeight="1" x14ac:dyDescent="0.15">
      <c r="A145" s="151" t="s">
        <v>6544</v>
      </c>
      <c r="B145" s="20" t="s">
        <v>6545</v>
      </c>
      <c r="C145" s="224" t="s">
        <v>3351</v>
      </c>
      <c r="D145" s="224" t="s">
        <v>3352</v>
      </c>
      <c r="E145" s="394" t="s">
        <v>4451</v>
      </c>
      <c r="F145" s="403" t="s">
        <v>3328</v>
      </c>
      <c r="G145" s="239" t="s">
        <v>3349</v>
      </c>
      <c r="H145" s="509">
        <v>23106</v>
      </c>
      <c r="I145" s="194">
        <v>0</v>
      </c>
      <c r="J145" s="194">
        <v>35000</v>
      </c>
      <c r="K145" s="185">
        <v>0.5</v>
      </c>
      <c r="L145" s="183" t="s">
        <v>4706</v>
      </c>
      <c r="M145" s="184" t="s">
        <v>5255</v>
      </c>
      <c r="N145" s="184" t="s">
        <v>5255</v>
      </c>
      <c r="O145" s="971"/>
    </row>
    <row r="146" spans="1:15" s="182" customFormat="1" ht="21.75" customHeight="1" x14ac:dyDescent="0.15">
      <c r="A146" s="151" t="s">
        <v>6556</v>
      </c>
      <c r="B146" s="20" t="s">
        <v>1437</v>
      </c>
      <c r="C146" s="392" t="s">
        <v>3351</v>
      </c>
      <c r="D146" s="392" t="s">
        <v>3352</v>
      </c>
      <c r="E146" s="391" t="s">
        <v>4451</v>
      </c>
      <c r="F146" s="952" t="s">
        <v>3328</v>
      </c>
      <c r="G146" s="460" t="s">
        <v>5172</v>
      </c>
      <c r="H146" s="972" t="s">
        <v>5195</v>
      </c>
      <c r="I146" s="194">
        <v>0</v>
      </c>
      <c r="J146" s="194">
        <v>6000</v>
      </c>
      <c r="K146" s="185">
        <v>0.3</v>
      </c>
      <c r="L146" s="183" t="s">
        <v>4724</v>
      </c>
      <c r="M146" s="945" t="s">
        <v>4699</v>
      </c>
      <c r="N146" s="945" t="s">
        <v>3726</v>
      </c>
      <c r="O146" s="976"/>
    </row>
    <row r="147" spans="1:15" s="182" customFormat="1" ht="21.75" customHeight="1" x14ac:dyDescent="0.15">
      <c r="A147" s="151" t="s">
        <v>6556</v>
      </c>
      <c r="B147" s="20" t="s">
        <v>1437</v>
      </c>
      <c r="C147" s="392" t="s">
        <v>3351</v>
      </c>
      <c r="D147" s="392" t="s">
        <v>3352</v>
      </c>
      <c r="E147" s="392" t="s">
        <v>3644</v>
      </c>
      <c r="F147" s="952" t="s">
        <v>3328</v>
      </c>
      <c r="G147" s="460" t="s">
        <v>5172</v>
      </c>
      <c r="H147" s="972" t="s">
        <v>5196</v>
      </c>
      <c r="I147" s="194">
        <v>0</v>
      </c>
      <c r="J147" s="194">
        <v>6000</v>
      </c>
      <c r="K147" s="185">
        <v>0.3</v>
      </c>
      <c r="L147" s="183" t="s">
        <v>4724</v>
      </c>
      <c r="M147" s="945" t="s">
        <v>4699</v>
      </c>
      <c r="N147" s="945" t="s">
        <v>3726</v>
      </c>
      <c r="O147" s="977"/>
    </row>
    <row r="148" spans="1:15" s="182" customFormat="1" ht="21.75" customHeight="1" x14ac:dyDescent="0.15">
      <c r="A148" s="151" t="s">
        <v>6546</v>
      </c>
      <c r="B148" s="20" t="s">
        <v>5749</v>
      </c>
      <c r="C148" s="951" t="s">
        <v>4418</v>
      </c>
      <c r="D148" s="945" t="s">
        <v>4418</v>
      </c>
      <c r="E148" s="945" t="s">
        <v>4418</v>
      </c>
      <c r="F148" s="952" t="s">
        <v>4418</v>
      </c>
      <c r="G148" s="952" t="s">
        <v>4418</v>
      </c>
      <c r="H148" s="509">
        <v>20092</v>
      </c>
      <c r="I148" s="194">
        <v>0</v>
      </c>
      <c r="J148" s="194">
        <v>105259.5</v>
      </c>
      <c r="K148" s="952" t="s">
        <v>4418</v>
      </c>
      <c r="L148" s="952" t="s">
        <v>4418</v>
      </c>
      <c r="M148" s="952" t="s">
        <v>4418</v>
      </c>
      <c r="N148" s="952" t="s">
        <v>4418</v>
      </c>
      <c r="O148" s="226" t="s">
        <v>6808</v>
      </c>
    </row>
    <row r="149" spans="1:15" s="182" customFormat="1" ht="21.75" customHeight="1" x14ac:dyDescent="0.15">
      <c r="A149" s="151" t="s">
        <v>6547</v>
      </c>
      <c r="B149" s="20" t="s">
        <v>6376</v>
      </c>
      <c r="C149" s="184" t="s">
        <v>4941</v>
      </c>
      <c r="D149" s="184" t="s">
        <v>4942</v>
      </c>
      <c r="E149" s="184" t="s">
        <v>6415</v>
      </c>
      <c r="F149" s="184" t="s">
        <v>3328</v>
      </c>
      <c r="G149" s="235" t="s">
        <v>3329</v>
      </c>
      <c r="H149" s="509" t="s">
        <v>6460</v>
      </c>
      <c r="I149" s="194">
        <v>0</v>
      </c>
      <c r="J149" s="194">
        <v>30248.1</v>
      </c>
      <c r="K149" s="185" t="s">
        <v>6516</v>
      </c>
      <c r="L149" s="183" t="s">
        <v>4707</v>
      </c>
      <c r="M149" s="957" t="s">
        <v>3726</v>
      </c>
      <c r="N149" s="957" t="s">
        <v>3726</v>
      </c>
      <c r="O149" s="973"/>
    </row>
    <row r="150" spans="1:15" s="182" customFormat="1" ht="21.75" customHeight="1" x14ac:dyDescent="0.15">
      <c r="A150" s="151" t="s">
        <v>6547</v>
      </c>
      <c r="B150" s="20" t="s">
        <v>6376</v>
      </c>
      <c r="C150" s="184" t="s">
        <v>4941</v>
      </c>
      <c r="D150" s="184" t="s">
        <v>4942</v>
      </c>
      <c r="E150" s="184" t="s">
        <v>6417</v>
      </c>
      <c r="F150" s="184" t="s">
        <v>5078</v>
      </c>
      <c r="G150" s="235" t="s">
        <v>3329</v>
      </c>
      <c r="H150" s="509" t="s">
        <v>6461</v>
      </c>
      <c r="I150" s="194">
        <v>0</v>
      </c>
      <c r="J150" s="194">
        <v>33015.4</v>
      </c>
      <c r="K150" s="185" t="s">
        <v>6517</v>
      </c>
      <c r="L150" s="183" t="s">
        <v>4707</v>
      </c>
      <c r="M150" s="957" t="s">
        <v>3726</v>
      </c>
      <c r="N150" s="957" t="s">
        <v>3726</v>
      </c>
      <c r="O150" s="973"/>
    </row>
    <row r="151" spans="1:15" s="182" customFormat="1" ht="21.75" customHeight="1" x14ac:dyDescent="0.15">
      <c r="A151" s="151" t="s">
        <v>6547</v>
      </c>
      <c r="B151" s="20" t="s">
        <v>6376</v>
      </c>
      <c r="C151" s="184" t="s">
        <v>4941</v>
      </c>
      <c r="D151" s="184" t="s">
        <v>4942</v>
      </c>
      <c r="E151" s="184" t="s">
        <v>6418</v>
      </c>
      <c r="F151" s="184" t="s">
        <v>5078</v>
      </c>
      <c r="G151" s="235" t="s">
        <v>5090</v>
      </c>
      <c r="H151" s="509" t="s">
        <v>6462</v>
      </c>
      <c r="I151" s="194">
        <v>0</v>
      </c>
      <c r="J151" s="194">
        <v>33866.800000000003</v>
      </c>
      <c r="K151" s="185" t="s">
        <v>6517</v>
      </c>
      <c r="L151" s="183" t="s">
        <v>4707</v>
      </c>
      <c r="M151" s="957" t="s">
        <v>3726</v>
      </c>
      <c r="N151" s="957" t="s">
        <v>3726</v>
      </c>
      <c r="O151" s="973"/>
    </row>
    <row r="152" spans="1:15" s="182" customFormat="1" ht="21.75" customHeight="1" x14ac:dyDescent="0.15">
      <c r="A152" s="151" t="s">
        <v>6547</v>
      </c>
      <c r="B152" s="20" t="s">
        <v>6376</v>
      </c>
      <c r="C152" s="184" t="s">
        <v>4941</v>
      </c>
      <c r="D152" s="184" t="s">
        <v>4942</v>
      </c>
      <c r="E152" s="184" t="s">
        <v>6420</v>
      </c>
      <c r="F152" s="184" t="s">
        <v>5078</v>
      </c>
      <c r="G152" s="235" t="s">
        <v>5090</v>
      </c>
      <c r="H152" s="509" t="s">
        <v>6463</v>
      </c>
      <c r="I152" s="194">
        <v>0</v>
      </c>
      <c r="J152" s="194">
        <v>33866.800000000003</v>
      </c>
      <c r="K152" s="185" t="s">
        <v>6517</v>
      </c>
      <c r="L152" s="183" t="s">
        <v>4707</v>
      </c>
      <c r="M152" s="957" t="s">
        <v>3726</v>
      </c>
      <c r="N152" s="957" t="s">
        <v>3726</v>
      </c>
      <c r="O152" s="973"/>
    </row>
    <row r="153" spans="1:15" s="182" customFormat="1" ht="21.75" customHeight="1" x14ac:dyDescent="0.15">
      <c r="A153" s="151" t="s">
        <v>6547</v>
      </c>
      <c r="B153" s="20" t="s">
        <v>6376</v>
      </c>
      <c r="C153" s="184" t="s">
        <v>4941</v>
      </c>
      <c r="D153" s="184" t="s">
        <v>4942</v>
      </c>
      <c r="E153" s="184" t="s">
        <v>6421</v>
      </c>
      <c r="F153" s="184" t="s">
        <v>5078</v>
      </c>
      <c r="G153" s="235" t="s">
        <v>3375</v>
      </c>
      <c r="H153" s="509" t="s">
        <v>6464</v>
      </c>
      <c r="I153" s="194">
        <v>0</v>
      </c>
      <c r="J153" s="194">
        <v>42806.5</v>
      </c>
      <c r="K153" s="185" t="s">
        <v>6517</v>
      </c>
      <c r="L153" s="183" t="s">
        <v>4707</v>
      </c>
      <c r="M153" s="957" t="s">
        <v>3726</v>
      </c>
      <c r="N153" s="957" t="s">
        <v>3726</v>
      </c>
      <c r="O153" s="973"/>
    </row>
    <row r="154" spans="1:15" s="182" customFormat="1" ht="21.75" customHeight="1" x14ac:dyDescent="0.15">
      <c r="A154" s="151" t="s">
        <v>6547</v>
      </c>
      <c r="B154" s="20" t="s">
        <v>6376</v>
      </c>
      <c r="C154" s="184" t="s">
        <v>4941</v>
      </c>
      <c r="D154" s="184" t="s">
        <v>4942</v>
      </c>
      <c r="E154" s="184" t="s">
        <v>6423</v>
      </c>
      <c r="F154" s="184" t="s">
        <v>5078</v>
      </c>
      <c r="G154" s="235" t="s">
        <v>3329</v>
      </c>
      <c r="H154" s="509" t="s">
        <v>6465</v>
      </c>
      <c r="I154" s="194">
        <v>0</v>
      </c>
      <c r="J154" s="194">
        <v>32968.1</v>
      </c>
      <c r="K154" s="185" t="s">
        <v>6517</v>
      </c>
      <c r="L154" s="183" t="s">
        <v>4707</v>
      </c>
      <c r="M154" s="957" t="s">
        <v>3726</v>
      </c>
      <c r="N154" s="957" t="s">
        <v>3726</v>
      </c>
      <c r="O154" s="973"/>
    </row>
    <row r="155" spans="1:15" s="182" customFormat="1" ht="21" customHeight="1" x14ac:dyDescent="0.15">
      <c r="A155" s="151" t="s">
        <v>6547</v>
      </c>
      <c r="B155" s="20" t="s">
        <v>6376</v>
      </c>
      <c r="C155" s="184" t="s">
        <v>4941</v>
      </c>
      <c r="D155" s="184" t="s">
        <v>4942</v>
      </c>
      <c r="E155" s="184" t="s">
        <v>6424</v>
      </c>
      <c r="F155" s="184" t="s">
        <v>5078</v>
      </c>
      <c r="G155" s="235" t="s">
        <v>3329</v>
      </c>
      <c r="H155" s="509" t="s">
        <v>6466</v>
      </c>
      <c r="I155" s="194">
        <v>0</v>
      </c>
      <c r="J155" s="194">
        <v>27292.1</v>
      </c>
      <c r="K155" s="185" t="s">
        <v>6517</v>
      </c>
      <c r="L155" s="183" t="s">
        <v>4707</v>
      </c>
      <c r="M155" s="957" t="s">
        <v>3726</v>
      </c>
      <c r="N155" s="957" t="s">
        <v>3726</v>
      </c>
      <c r="O155" s="973"/>
    </row>
    <row r="156" spans="1:15" s="182" customFormat="1" ht="21.75" customHeight="1" x14ac:dyDescent="0.15">
      <c r="A156" s="151" t="s">
        <v>6547</v>
      </c>
      <c r="B156" s="20" t="s">
        <v>6376</v>
      </c>
      <c r="C156" s="184" t="s">
        <v>4941</v>
      </c>
      <c r="D156" s="184" t="s">
        <v>4942</v>
      </c>
      <c r="E156" s="184" t="s">
        <v>6425</v>
      </c>
      <c r="F156" s="184" t="s">
        <v>5078</v>
      </c>
      <c r="G156" s="235" t="s">
        <v>3329</v>
      </c>
      <c r="H156" s="509" t="s">
        <v>6467</v>
      </c>
      <c r="I156" s="194">
        <v>0</v>
      </c>
      <c r="J156" s="194">
        <v>32022.1</v>
      </c>
      <c r="K156" s="185" t="s">
        <v>6517</v>
      </c>
      <c r="L156" s="183" t="s">
        <v>4707</v>
      </c>
      <c r="M156" s="957" t="s">
        <v>3726</v>
      </c>
      <c r="N156" s="957" t="s">
        <v>3726</v>
      </c>
      <c r="O156" s="973"/>
    </row>
    <row r="157" spans="1:15" s="182" customFormat="1" ht="21.75" customHeight="1" x14ac:dyDescent="0.15">
      <c r="A157" s="151" t="s">
        <v>6547</v>
      </c>
      <c r="B157" s="20" t="s">
        <v>6376</v>
      </c>
      <c r="C157" s="184" t="s">
        <v>4941</v>
      </c>
      <c r="D157" s="184" t="s">
        <v>4942</v>
      </c>
      <c r="E157" s="184" t="s">
        <v>6426</v>
      </c>
      <c r="F157" s="184" t="s">
        <v>5078</v>
      </c>
      <c r="G157" s="235" t="s">
        <v>3329</v>
      </c>
      <c r="H157" s="509" t="s">
        <v>6468</v>
      </c>
      <c r="I157" s="194">
        <v>0</v>
      </c>
      <c r="J157" s="194">
        <v>33914.1</v>
      </c>
      <c r="K157" s="185" t="s">
        <v>6517</v>
      </c>
      <c r="L157" s="183" t="s">
        <v>4707</v>
      </c>
      <c r="M157" s="957" t="s">
        <v>3726</v>
      </c>
      <c r="N157" s="957" t="s">
        <v>3726</v>
      </c>
      <c r="O157" s="973"/>
    </row>
    <row r="158" spans="1:15" s="182" customFormat="1" ht="21.75" customHeight="1" x14ac:dyDescent="0.15">
      <c r="A158" s="151" t="s">
        <v>6548</v>
      </c>
      <c r="B158" s="20" t="s">
        <v>6549</v>
      </c>
      <c r="C158" s="399" t="s">
        <v>4941</v>
      </c>
      <c r="D158" s="399" t="s">
        <v>4942</v>
      </c>
      <c r="E158" s="399" t="s">
        <v>6552</v>
      </c>
      <c r="F158" s="403" t="s">
        <v>3328</v>
      </c>
      <c r="G158" s="239" t="s">
        <v>3349</v>
      </c>
      <c r="H158" s="509">
        <v>23116</v>
      </c>
      <c r="I158" s="194">
        <v>0</v>
      </c>
      <c r="J158" s="194">
        <v>35000</v>
      </c>
      <c r="K158" s="185">
        <v>0.5</v>
      </c>
      <c r="L158" s="183" t="s">
        <v>4706</v>
      </c>
      <c r="M158" s="957" t="s">
        <v>3726</v>
      </c>
      <c r="N158" s="957" t="s">
        <v>3726</v>
      </c>
      <c r="O158" s="974"/>
    </row>
    <row r="159" spans="1:15" s="182" customFormat="1" ht="21.75" customHeight="1" x14ac:dyDescent="0.15">
      <c r="A159" s="151" t="s">
        <v>6548</v>
      </c>
      <c r="B159" s="20" t="s">
        <v>6549</v>
      </c>
      <c r="C159" s="184" t="s">
        <v>4941</v>
      </c>
      <c r="D159" s="184" t="s">
        <v>4942</v>
      </c>
      <c r="E159" s="399" t="s">
        <v>6552</v>
      </c>
      <c r="F159" s="184" t="s">
        <v>5078</v>
      </c>
      <c r="G159" s="235" t="s">
        <v>6504</v>
      </c>
      <c r="H159" s="509">
        <v>23142</v>
      </c>
      <c r="I159" s="194">
        <v>0</v>
      </c>
      <c r="J159" s="194">
        <v>59850</v>
      </c>
      <c r="K159" s="185">
        <v>0.95</v>
      </c>
      <c r="L159" s="183" t="s">
        <v>4697</v>
      </c>
      <c r="M159" s="957" t="s">
        <v>3726</v>
      </c>
      <c r="N159" s="957" t="s">
        <v>3726</v>
      </c>
      <c r="O159" s="974"/>
    </row>
    <row r="160" spans="1:15" s="182" customFormat="1" ht="21.75" customHeight="1" x14ac:dyDescent="0.15">
      <c r="A160" s="151" t="s">
        <v>6548</v>
      </c>
      <c r="B160" s="20" t="s">
        <v>6549</v>
      </c>
      <c r="C160" s="399" t="s">
        <v>4941</v>
      </c>
      <c r="D160" s="399" t="s">
        <v>4942</v>
      </c>
      <c r="E160" s="399" t="s">
        <v>6552</v>
      </c>
      <c r="F160" s="403" t="s">
        <v>3328</v>
      </c>
      <c r="G160" s="235" t="s">
        <v>6553</v>
      </c>
      <c r="H160" s="509">
        <v>21116</v>
      </c>
      <c r="I160" s="194">
        <v>0</v>
      </c>
      <c r="J160" s="194">
        <v>14000</v>
      </c>
      <c r="K160" s="185">
        <v>0.7</v>
      </c>
      <c r="L160" s="183" t="s">
        <v>4706</v>
      </c>
      <c r="M160" s="957" t="s">
        <v>3726</v>
      </c>
      <c r="N160" s="957" t="s">
        <v>3726</v>
      </c>
      <c r="O160" s="974"/>
    </row>
    <row r="161" spans="1:15" s="182" customFormat="1" ht="21.75" customHeight="1" x14ac:dyDescent="0.15">
      <c r="A161" s="151" t="s">
        <v>6548</v>
      </c>
      <c r="B161" s="20" t="s">
        <v>6549</v>
      </c>
      <c r="C161" s="399" t="s">
        <v>4941</v>
      </c>
      <c r="D161" s="399" t="s">
        <v>4942</v>
      </c>
      <c r="E161" s="399" t="s">
        <v>6552</v>
      </c>
      <c r="F161" s="403" t="s">
        <v>3328</v>
      </c>
      <c r="G161" s="239" t="s">
        <v>5240</v>
      </c>
      <c r="H161" s="509">
        <v>22063</v>
      </c>
      <c r="I161" s="194">
        <v>0</v>
      </c>
      <c r="J161" s="194">
        <v>25000</v>
      </c>
      <c r="K161" s="185">
        <v>1</v>
      </c>
      <c r="L161" s="183" t="s">
        <v>4707</v>
      </c>
      <c r="M161" s="957" t="s">
        <v>3726</v>
      </c>
      <c r="N161" s="957" t="s">
        <v>3726</v>
      </c>
      <c r="O161" s="974"/>
    </row>
    <row r="162" spans="1:15" s="182" customFormat="1" ht="21.75" customHeight="1" x14ac:dyDescent="0.15">
      <c r="A162" s="151" t="s">
        <v>6548</v>
      </c>
      <c r="B162" s="20" t="s">
        <v>6551</v>
      </c>
      <c r="C162" s="399" t="s">
        <v>4941</v>
      </c>
      <c r="D162" s="399" t="s">
        <v>4942</v>
      </c>
      <c r="E162" s="399" t="s">
        <v>6554</v>
      </c>
      <c r="F162" s="403" t="s">
        <v>3328</v>
      </c>
      <c r="G162" s="235" t="s">
        <v>5658</v>
      </c>
      <c r="H162" s="509">
        <v>21115</v>
      </c>
      <c r="I162" s="194">
        <v>0</v>
      </c>
      <c r="J162" s="194">
        <v>26000</v>
      </c>
      <c r="K162" s="185">
        <v>0.65</v>
      </c>
      <c r="L162" s="183" t="s">
        <v>4707</v>
      </c>
      <c r="M162" s="957" t="s">
        <v>3726</v>
      </c>
      <c r="N162" s="957" t="s">
        <v>3726</v>
      </c>
      <c r="O162" s="974"/>
    </row>
    <row r="163" spans="1:15" s="182" customFormat="1" ht="21.75" customHeight="1" x14ac:dyDescent="0.15">
      <c r="A163" s="151" t="s">
        <v>6548</v>
      </c>
      <c r="B163" s="20" t="s">
        <v>6551</v>
      </c>
      <c r="C163" s="399" t="s">
        <v>4941</v>
      </c>
      <c r="D163" s="399" t="s">
        <v>4942</v>
      </c>
      <c r="E163" s="399" t="s">
        <v>6554</v>
      </c>
      <c r="F163" s="403" t="s">
        <v>3328</v>
      </c>
      <c r="G163" s="239" t="s">
        <v>3349</v>
      </c>
      <c r="H163" s="509">
        <v>22097</v>
      </c>
      <c r="I163" s="194">
        <v>0</v>
      </c>
      <c r="J163" s="194">
        <v>35000</v>
      </c>
      <c r="K163" s="185">
        <v>0.5</v>
      </c>
      <c r="L163" s="183" t="s">
        <v>4706</v>
      </c>
      <c r="M163" s="957" t="s">
        <v>3726</v>
      </c>
      <c r="N163" s="957" t="s">
        <v>3726</v>
      </c>
      <c r="O163" s="974"/>
    </row>
    <row r="164" spans="1:15" s="182" customFormat="1" ht="21.75" customHeight="1" x14ac:dyDescent="0.15">
      <c r="A164" s="151" t="s">
        <v>6548</v>
      </c>
      <c r="B164" s="20" t="s">
        <v>3931</v>
      </c>
      <c r="C164" s="392" t="s">
        <v>3351</v>
      </c>
      <c r="D164" s="392" t="s">
        <v>3717</v>
      </c>
      <c r="E164" s="399" t="s">
        <v>5485</v>
      </c>
      <c r="F164" s="224" t="s">
        <v>3328</v>
      </c>
      <c r="G164" s="235" t="s">
        <v>3329</v>
      </c>
      <c r="H164" s="509">
        <v>21134</v>
      </c>
      <c r="I164" s="194">
        <v>0</v>
      </c>
      <c r="J164" s="194">
        <v>35300</v>
      </c>
      <c r="K164" s="185">
        <v>0.1</v>
      </c>
      <c r="L164" s="183" t="s">
        <v>4724</v>
      </c>
      <c r="M164" s="184" t="s">
        <v>5255</v>
      </c>
      <c r="N164" s="184" t="s">
        <v>5255</v>
      </c>
      <c r="O164" s="974"/>
    </row>
    <row r="165" spans="1:15" s="182" customFormat="1" ht="21.75" customHeight="1" x14ac:dyDescent="0.15">
      <c r="A165" s="151" t="s">
        <v>6548</v>
      </c>
      <c r="B165" s="20" t="s">
        <v>6550</v>
      </c>
      <c r="C165" s="975" t="s">
        <v>5567</v>
      </c>
      <c r="D165" s="975" t="s">
        <v>5760</v>
      </c>
      <c r="E165" s="975" t="s">
        <v>5761</v>
      </c>
      <c r="F165" s="184" t="s">
        <v>5078</v>
      </c>
      <c r="G165" s="235" t="s">
        <v>5030</v>
      </c>
      <c r="H165" s="509">
        <v>24027</v>
      </c>
      <c r="I165" s="194">
        <v>0</v>
      </c>
      <c r="J165" s="194">
        <v>80000</v>
      </c>
      <c r="K165" s="185">
        <v>1</v>
      </c>
      <c r="L165" s="183" t="s">
        <v>4706</v>
      </c>
      <c r="M165" s="957" t="s">
        <v>3957</v>
      </c>
      <c r="N165" s="957" t="s">
        <v>3957</v>
      </c>
      <c r="O165" s="974"/>
    </row>
    <row r="166" spans="1:15" s="182" customFormat="1" ht="21.75" customHeight="1" x14ac:dyDescent="0.15">
      <c r="A166" s="151" t="s">
        <v>6555</v>
      </c>
      <c r="B166" s="20" t="s">
        <v>360</v>
      </c>
      <c r="C166" s="184" t="s">
        <v>4982</v>
      </c>
      <c r="D166" s="184" t="s">
        <v>5721</v>
      </c>
      <c r="E166" s="184" t="s">
        <v>820</v>
      </c>
      <c r="F166" s="419" t="s">
        <v>3328</v>
      </c>
      <c r="G166" s="235" t="s">
        <v>3381</v>
      </c>
      <c r="H166" s="509">
        <v>23039</v>
      </c>
      <c r="I166" s="194">
        <v>0</v>
      </c>
      <c r="J166" s="194">
        <v>20000</v>
      </c>
      <c r="K166" s="185">
        <v>0.25</v>
      </c>
      <c r="L166" s="183" t="s">
        <v>4706</v>
      </c>
      <c r="M166" s="184" t="s">
        <v>3434</v>
      </c>
      <c r="N166" s="184" t="s">
        <v>4708</v>
      </c>
      <c r="O166" s="976"/>
    </row>
    <row r="167" spans="1:15" s="182" customFormat="1" ht="21.75" customHeight="1" x14ac:dyDescent="0.15">
      <c r="A167" s="151" t="s">
        <v>6555</v>
      </c>
      <c r="B167" s="20" t="s">
        <v>167</v>
      </c>
      <c r="C167" s="184" t="s">
        <v>4982</v>
      </c>
      <c r="D167" s="184" t="s">
        <v>5721</v>
      </c>
      <c r="E167" s="184" t="s">
        <v>820</v>
      </c>
      <c r="F167" s="419" t="s">
        <v>3328</v>
      </c>
      <c r="G167" s="235" t="s">
        <v>3381</v>
      </c>
      <c r="H167" s="509">
        <v>23039</v>
      </c>
      <c r="I167" s="194">
        <v>0</v>
      </c>
      <c r="J167" s="194">
        <v>20000</v>
      </c>
      <c r="K167" s="185">
        <v>0.25</v>
      </c>
      <c r="L167" s="183" t="s">
        <v>4706</v>
      </c>
      <c r="M167" s="184" t="s">
        <v>3434</v>
      </c>
      <c r="N167" s="184" t="s">
        <v>4708</v>
      </c>
      <c r="O167" s="976"/>
    </row>
    <row r="168" spans="1:15" s="182" customFormat="1" ht="21.75" customHeight="1" x14ac:dyDescent="0.15">
      <c r="A168" s="151" t="s">
        <v>6558</v>
      </c>
      <c r="B168" s="20" t="s">
        <v>6559</v>
      </c>
      <c r="C168" s="399" t="s">
        <v>4982</v>
      </c>
      <c r="D168" s="399" t="s">
        <v>6251</v>
      </c>
      <c r="E168" s="399" t="s">
        <v>6252</v>
      </c>
      <c r="F168" s="184" t="s">
        <v>3400</v>
      </c>
      <c r="G168" s="235" t="s">
        <v>5799</v>
      </c>
      <c r="H168" s="509">
        <v>23078</v>
      </c>
      <c r="I168" s="194">
        <v>0</v>
      </c>
      <c r="J168" s="194">
        <v>62910</v>
      </c>
      <c r="K168" s="185">
        <v>0.3</v>
      </c>
      <c r="L168" s="183" t="s">
        <v>1147</v>
      </c>
      <c r="M168" s="184" t="s">
        <v>6038</v>
      </c>
      <c r="N168" s="184" t="s">
        <v>6038</v>
      </c>
      <c r="O168" s="976"/>
    </row>
    <row r="169" spans="1:15" s="182" customFormat="1" ht="21.75" customHeight="1" x14ac:dyDescent="0.15">
      <c r="A169" s="151" t="s">
        <v>6558</v>
      </c>
      <c r="B169" s="20" t="s">
        <v>6560</v>
      </c>
      <c r="C169" s="399" t="s">
        <v>4963</v>
      </c>
      <c r="D169" s="399" t="s">
        <v>5028</v>
      </c>
      <c r="E169" s="399" t="s">
        <v>5358</v>
      </c>
      <c r="F169" s="184" t="s">
        <v>5078</v>
      </c>
      <c r="G169" s="235" t="s">
        <v>5359</v>
      </c>
      <c r="H169" s="509">
        <v>21128</v>
      </c>
      <c r="I169" s="194">
        <v>0</v>
      </c>
      <c r="J169" s="194">
        <v>53220</v>
      </c>
      <c r="K169" s="185">
        <v>0.1</v>
      </c>
      <c r="L169" s="183" t="s">
        <v>1143</v>
      </c>
      <c r="M169" s="184" t="s">
        <v>5765</v>
      </c>
      <c r="N169" s="184" t="s">
        <v>5765</v>
      </c>
      <c r="O169" s="976"/>
    </row>
    <row r="170" spans="1:15" s="182" customFormat="1" ht="21.75" customHeight="1" x14ac:dyDescent="0.15">
      <c r="A170" s="151" t="s">
        <v>6561</v>
      </c>
      <c r="B170" s="20" t="s">
        <v>1318</v>
      </c>
      <c r="C170" s="945" t="s">
        <v>3346</v>
      </c>
      <c r="D170" s="945" t="s">
        <v>4089</v>
      </c>
      <c r="E170" s="952" t="s">
        <v>4434</v>
      </c>
      <c r="F170" s="952" t="s">
        <v>3328</v>
      </c>
      <c r="G170" s="978" t="s">
        <v>3611</v>
      </c>
      <c r="H170" s="509">
        <v>17001</v>
      </c>
      <c r="I170" s="194">
        <v>0</v>
      </c>
      <c r="J170" s="194">
        <v>47100</v>
      </c>
      <c r="K170" s="185">
        <v>0.2</v>
      </c>
      <c r="L170" s="183" t="s">
        <v>6564</v>
      </c>
      <c r="M170" s="506" t="s">
        <v>3433</v>
      </c>
      <c r="N170" s="945" t="s">
        <v>3433</v>
      </c>
      <c r="O170" s="976"/>
    </row>
    <row r="171" spans="1:15" s="182" customFormat="1" ht="21.75" customHeight="1" x14ac:dyDescent="0.15">
      <c r="A171" s="151" t="s">
        <v>6561</v>
      </c>
      <c r="B171" s="20" t="s">
        <v>1997</v>
      </c>
      <c r="C171" s="224" t="s">
        <v>3325</v>
      </c>
      <c r="D171" s="224" t="s">
        <v>3457</v>
      </c>
      <c r="E171" s="403" t="s">
        <v>83</v>
      </c>
      <c r="F171" s="224" t="s">
        <v>3328</v>
      </c>
      <c r="G171" s="239" t="s">
        <v>3349</v>
      </c>
      <c r="H171" s="509">
        <v>23033</v>
      </c>
      <c r="I171" s="194">
        <v>0</v>
      </c>
      <c r="J171" s="194">
        <v>46600</v>
      </c>
      <c r="K171" s="185">
        <v>1</v>
      </c>
      <c r="L171" s="183" t="s">
        <v>285</v>
      </c>
      <c r="M171" s="184" t="s">
        <v>3957</v>
      </c>
      <c r="N171" s="184" t="s">
        <v>3957</v>
      </c>
      <c r="O171" s="976"/>
    </row>
    <row r="172" spans="1:15" s="182" customFormat="1" ht="21.75" customHeight="1" x14ac:dyDescent="0.15">
      <c r="A172" s="151" t="s">
        <v>6561</v>
      </c>
      <c r="B172" s="20" t="s">
        <v>4332</v>
      </c>
      <c r="C172" s="399" t="s">
        <v>4963</v>
      </c>
      <c r="D172" s="399" t="s">
        <v>5153</v>
      </c>
      <c r="E172" s="399" t="s">
        <v>5859</v>
      </c>
      <c r="F172" s="184" t="s">
        <v>4944</v>
      </c>
      <c r="G172" s="235" t="s">
        <v>5030</v>
      </c>
      <c r="H172" s="509">
        <v>23168</v>
      </c>
      <c r="I172" s="194">
        <v>0</v>
      </c>
      <c r="J172" s="194">
        <v>70000</v>
      </c>
      <c r="K172" s="185">
        <v>1</v>
      </c>
      <c r="L172" s="183" t="s">
        <v>285</v>
      </c>
      <c r="M172" s="184" t="s">
        <v>6038</v>
      </c>
      <c r="N172" s="184" t="s">
        <v>6038</v>
      </c>
      <c r="O172" s="976"/>
    </row>
    <row r="173" spans="1:15" s="182" customFormat="1" ht="21.75" customHeight="1" x14ac:dyDescent="0.15">
      <c r="A173" s="151" t="s">
        <v>6562</v>
      </c>
      <c r="B173" s="20" t="s">
        <v>6549</v>
      </c>
      <c r="C173" s="399" t="s">
        <v>4941</v>
      </c>
      <c r="D173" s="399" t="s">
        <v>4942</v>
      </c>
      <c r="E173" s="399" t="s">
        <v>6552</v>
      </c>
      <c r="F173" s="403" t="s">
        <v>3328</v>
      </c>
      <c r="G173" s="235" t="s">
        <v>6553</v>
      </c>
      <c r="H173" s="509">
        <v>21116</v>
      </c>
      <c r="I173" s="194">
        <v>0</v>
      </c>
      <c r="J173" s="194">
        <v>6000</v>
      </c>
      <c r="K173" s="185">
        <v>0.3</v>
      </c>
      <c r="L173" s="183" t="s">
        <v>1143</v>
      </c>
      <c r="M173" s="957" t="s">
        <v>1784</v>
      </c>
      <c r="N173" s="957" t="s">
        <v>1784</v>
      </c>
      <c r="O173" s="977"/>
    </row>
    <row r="174" spans="1:15" s="182" customFormat="1" ht="21.75" customHeight="1" x14ac:dyDescent="0.15">
      <c r="A174" s="151" t="s">
        <v>6562</v>
      </c>
      <c r="B174" s="20" t="s">
        <v>6549</v>
      </c>
      <c r="C174" s="399" t="s">
        <v>4941</v>
      </c>
      <c r="D174" s="399" t="s">
        <v>4942</v>
      </c>
      <c r="E174" s="399" t="s">
        <v>6552</v>
      </c>
      <c r="F174" s="403" t="s">
        <v>3328</v>
      </c>
      <c r="G174" s="239" t="s">
        <v>3349</v>
      </c>
      <c r="H174" s="509">
        <v>22098</v>
      </c>
      <c r="I174" s="194">
        <v>0</v>
      </c>
      <c r="J174" s="194">
        <v>35000</v>
      </c>
      <c r="K174" s="185">
        <v>0.5</v>
      </c>
      <c r="L174" s="183" t="s">
        <v>285</v>
      </c>
      <c r="M174" s="184" t="s">
        <v>5255</v>
      </c>
      <c r="N174" s="184" t="s">
        <v>5255</v>
      </c>
      <c r="O174" s="977"/>
    </row>
    <row r="175" spans="1:15" s="182" customFormat="1" ht="21.75" customHeight="1" x14ac:dyDescent="0.15">
      <c r="A175" s="151" t="s">
        <v>6562</v>
      </c>
      <c r="B175" s="20" t="s">
        <v>390</v>
      </c>
      <c r="C175" s="399" t="s">
        <v>4982</v>
      </c>
      <c r="D175" s="399" t="s">
        <v>5631</v>
      </c>
      <c r="E175" s="399" t="s">
        <v>761</v>
      </c>
      <c r="F175" s="184" t="s">
        <v>5078</v>
      </c>
      <c r="G175" s="235" t="s">
        <v>6565</v>
      </c>
      <c r="H175" s="509">
        <v>23114</v>
      </c>
      <c r="I175" s="194">
        <v>0</v>
      </c>
      <c r="J175" s="194">
        <v>96392.5</v>
      </c>
      <c r="K175" s="185">
        <v>0.5</v>
      </c>
      <c r="L175" s="183" t="s">
        <v>1948</v>
      </c>
      <c r="M175" s="184" t="s">
        <v>693</v>
      </c>
      <c r="N175" s="184" t="s">
        <v>693</v>
      </c>
      <c r="O175" s="977"/>
    </row>
    <row r="176" spans="1:15" s="182" customFormat="1" ht="21.75" customHeight="1" x14ac:dyDescent="0.15">
      <c r="A176" s="151" t="s">
        <v>6562</v>
      </c>
      <c r="B176" s="20" t="s">
        <v>6563</v>
      </c>
      <c r="C176" s="399" t="s">
        <v>4982</v>
      </c>
      <c r="D176" s="399" t="s">
        <v>5631</v>
      </c>
      <c r="E176" s="399" t="s">
        <v>761</v>
      </c>
      <c r="F176" s="184" t="s">
        <v>5078</v>
      </c>
      <c r="G176" s="235" t="s">
        <v>6565</v>
      </c>
      <c r="H176" s="509">
        <v>23114</v>
      </c>
      <c r="I176" s="194">
        <v>0</v>
      </c>
      <c r="J176" s="194">
        <v>96392.5</v>
      </c>
      <c r="K176" s="185">
        <v>0.5</v>
      </c>
      <c r="L176" s="183" t="s">
        <v>1948</v>
      </c>
      <c r="M176" s="184" t="s">
        <v>693</v>
      </c>
      <c r="N176" s="184" t="s">
        <v>693</v>
      </c>
      <c r="O176" s="977"/>
    </row>
    <row r="177" spans="1:15" s="182" customFormat="1" ht="21.75" customHeight="1" x14ac:dyDescent="0.15">
      <c r="A177" s="151" t="s">
        <v>6566</v>
      </c>
      <c r="B177" s="20" t="s">
        <v>6570</v>
      </c>
      <c r="C177" s="945" t="s">
        <v>3351</v>
      </c>
      <c r="D177" s="945" t="s">
        <v>3352</v>
      </c>
      <c r="E177" s="945" t="s">
        <v>4068</v>
      </c>
      <c r="F177" s="392" t="s">
        <v>3340</v>
      </c>
      <c r="G177" s="460" t="s">
        <v>4622</v>
      </c>
      <c r="H177" s="509">
        <v>20054</v>
      </c>
      <c r="I177" s="194">
        <v>0</v>
      </c>
      <c r="J177" s="194">
        <v>48000</v>
      </c>
      <c r="K177" s="185">
        <v>1</v>
      </c>
      <c r="L177" s="183" t="s">
        <v>806</v>
      </c>
      <c r="M177" s="945" t="s">
        <v>4699</v>
      </c>
      <c r="N177" s="958" t="s">
        <v>3726</v>
      </c>
      <c r="O177" s="979"/>
    </row>
    <row r="178" spans="1:15" s="182" customFormat="1" ht="21.75" customHeight="1" x14ac:dyDescent="0.15">
      <c r="A178" s="151" t="s">
        <v>6566</v>
      </c>
      <c r="B178" s="20" t="s">
        <v>6570</v>
      </c>
      <c r="C178" s="392" t="s">
        <v>3351</v>
      </c>
      <c r="D178" s="392" t="s">
        <v>3352</v>
      </c>
      <c r="E178" s="391" t="s">
        <v>4068</v>
      </c>
      <c r="F178" s="392" t="s">
        <v>3340</v>
      </c>
      <c r="G178" s="954" t="s">
        <v>3349</v>
      </c>
      <c r="H178" s="509">
        <v>20102</v>
      </c>
      <c r="I178" s="194">
        <v>0</v>
      </c>
      <c r="J178" s="194">
        <v>21000</v>
      </c>
      <c r="K178" s="185">
        <v>0.3</v>
      </c>
      <c r="L178" s="183" t="s">
        <v>5744</v>
      </c>
      <c r="M178" s="945" t="s">
        <v>4699</v>
      </c>
      <c r="N178" s="958" t="s">
        <v>3726</v>
      </c>
      <c r="O178" s="979"/>
    </row>
    <row r="179" spans="1:15" s="182" customFormat="1" ht="21.75" customHeight="1" x14ac:dyDescent="0.15">
      <c r="A179" s="151" t="s">
        <v>6566</v>
      </c>
      <c r="B179" s="20" t="s">
        <v>3164</v>
      </c>
      <c r="C179" s="224" t="s">
        <v>3351</v>
      </c>
      <c r="D179" s="224" t="s">
        <v>3352</v>
      </c>
      <c r="E179" s="394" t="s">
        <v>4068</v>
      </c>
      <c r="F179" s="224" t="s">
        <v>3340</v>
      </c>
      <c r="G179" s="239" t="s">
        <v>3349</v>
      </c>
      <c r="H179" s="509">
        <v>21124</v>
      </c>
      <c r="I179" s="194">
        <v>0</v>
      </c>
      <c r="J179" s="194">
        <v>40998</v>
      </c>
      <c r="K179" s="185">
        <v>0.6</v>
      </c>
      <c r="L179" s="183" t="s">
        <v>5743</v>
      </c>
      <c r="M179" s="184" t="s">
        <v>5255</v>
      </c>
      <c r="N179" s="184" t="s">
        <v>5255</v>
      </c>
      <c r="O179" s="979"/>
    </row>
    <row r="180" spans="1:15" s="182" customFormat="1" ht="21.75" customHeight="1" x14ac:dyDescent="0.15">
      <c r="A180" s="151" t="s">
        <v>6566</v>
      </c>
      <c r="B180" s="20" t="s">
        <v>3164</v>
      </c>
      <c r="C180" s="224" t="s">
        <v>3351</v>
      </c>
      <c r="D180" s="224" t="s">
        <v>3352</v>
      </c>
      <c r="E180" s="394" t="s">
        <v>4068</v>
      </c>
      <c r="F180" s="224" t="s">
        <v>3340</v>
      </c>
      <c r="G180" s="239" t="s">
        <v>3349</v>
      </c>
      <c r="H180" s="509">
        <v>21124</v>
      </c>
      <c r="I180" s="194">
        <v>0</v>
      </c>
      <c r="J180" s="194">
        <v>27332</v>
      </c>
      <c r="K180" s="185">
        <v>0.4</v>
      </c>
      <c r="L180" s="183" t="s">
        <v>5744</v>
      </c>
      <c r="M180" s="184" t="s">
        <v>5255</v>
      </c>
      <c r="N180" s="184" t="s">
        <v>5255</v>
      </c>
      <c r="O180" s="979"/>
    </row>
    <row r="181" spans="1:15" s="182" customFormat="1" ht="21.75" customHeight="1" x14ac:dyDescent="0.15">
      <c r="A181" s="151" t="s">
        <v>6566</v>
      </c>
      <c r="B181" s="20" t="s">
        <v>3164</v>
      </c>
      <c r="C181" s="224" t="s">
        <v>3351</v>
      </c>
      <c r="D181" s="224" t="s">
        <v>3352</v>
      </c>
      <c r="E181" s="394" t="s">
        <v>4068</v>
      </c>
      <c r="F181" s="403" t="s">
        <v>3340</v>
      </c>
      <c r="G181" s="239" t="s">
        <v>5240</v>
      </c>
      <c r="H181" s="509">
        <v>22076</v>
      </c>
      <c r="I181" s="194">
        <v>0</v>
      </c>
      <c r="J181" s="194">
        <v>25000</v>
      </c>
      <c r="K181" s="185">
        <v>1</v>
      </c>
      <c r="L181" s="183" t="s">
        <v>806</v>
      </c>
      <c r="M181" s="184" t="s">
        <v>5255</v>
      </c>
      <c r="N181" s="184" t="s">
        <v>5255</v>
      </c>
      <c r="O181" s="979"/>
    </row>
    <row r="182" spans="1:15" s="182" customFormat="1" ht="21.75" customHeight="1" x14ac:dyDescent="0.15">
      <c r="A182" s="151" t="s">
        <v>6566</v>
      </c>
      <c r="B182" s="20" t="s">
        <v>6570</v>
      </c>
      <c r="C182" s="224" t="s">
        <v>3351</v>
      </c>
      <c r="D182" s="224" t="s">
        <v>3352</v>
      </c>
      <c r="E182" s="394" t="s">
        <v>4068</v>
      </c>
      <c r="F182" s="224" t="s">
        <v>3340</v>
      </c>
      <c r="G182" s="239" t="s">
        <v>3349</v>
      </c>
      <c r="H182" s="509">
        <v>22151</v>
      </c>
      <c r="I182" s="194">
        <v>0</v>
      </c>
      <c r="J182" s="194">
        <v>42000</v>
      </c>
      <c r="K182" s="185">
        <v>0.6</v>
      </c>
      <c r="L182" s="183" t="s">
        <v>5743</v>
      </c>
      <c r="M182" s="184" t="s">
        <v>5255</v>
      </c>
      <c r="N182" s="184" t="s">
        <v>5255</v>
      </c>
      <c r="O182" s="979"/>
    </row>
    <row r="183" spans="1:15" s="182" customFormat="1" ht="21.75" customHeight="1" x14ac:dyDescent="0.15">
      <c r="A183" s="151" t="s">
        <v>6566</v>
      </c>
      <c r="B183" s="20" t="s">
        <v>3164</v>
      </c>
      <c r="C183" s="224" t="s">
        <v>3351</v>
      </c>
      <c r="D183" s="224" t="s">
        <v>3352</v>
      </c>
      <c r="E183" s="394" t="s">
        <v>4068</v>
      </c>
      <c r="F183" s="224" t="s">
        <v>3340</v>
      </c>
      <c r="G183" s="239" t="s">
        <v>3349</v>
      </c>
      <c r="H183" s="509">
        <v>22151</v>
      </c>
      <c r="I183" s="194">
        <v>0</v>
      </c>
      <c r="J183" s="194">
        <v>28000</v>
      </c>
      <c r="K183" s="185">
        <v>0.4</v>
      </c>
      <c r="L183" s="183" t="s">
        <v>5744</v>
      </c>
      <c r="M183" s="184" t="s">
        <v>5255</v>
      </c>
      <c r="N183" s="184" t="s">
        <v>5255</v>
      </c>
      <c r="O183" s="979"/>
    </row>
    <row r="184" spans="1:15" s="182" customFormat="1" ht="21.75" customHeight="1" x14ac:dyDescent="0.15">
      <c r="A184" s="151" t="s">
        <v>6566</v>
      </c>
      <c r="B184" s="20" t="s">
        <v>227</v>
      </c>
      <c r="C184" s="399" t="s">
        <v>3351</v>
      </c>
      <c r="D184" s="399" t="s">
        <v>3352</v>
      </c>
      <c r="E184" s="399" t="s">
        <v>2866</v>
      </c>
      <c r="F184" s="184" t="s">
        <v>5078</v>
      </c>
      <c r="G184" s="235" t="s">
        <v>3349</v>
      </c>
      <c r="H184" s="981" t="s">
        <v>6572</v>
      </c>
      <c r="I184" s="194">
        <v>0</v>
      </c>
      <c r="J184" s="194">
        <v>42000</v>
      </c>
      <c r="K184" s="185">
        <v>0.6</v>
      </c>
      <c r="L184" s="183" t="s">
        <v>5743</v>
      </c>
      <c r="M184" s="184" t="s">
        <v>5255</v>
      </c>
      <c r="N184" s="184" t="s">
        <v>5255</v>
      </c>
      <c r="O184" s="979"/>
    </row>
    <row r="185" spans="1:15" s="182" customFormat="1" ht="21.75" customHeight="1" x14ac:dyDescent="0.15">
      <c r="A185" s="151" t="s">
        <v>6566</v>
      </c>
      <c r="B185" s="20" t="s">
        <v>227</v>
      </c>
      <c r="C185" s="399" t="s">
        <v>3351</v>
      </c>
      <c r="D185" s="399" t="s">
        <v>3352</v>
      </c>
      <c r="E185" s="399" t="s">
        <v>2867</v>
      </c>
      <c r="F185" s="184" t="s">
        <v>5078</v>
      </c>
      <c r="G185" s="235" t="s">
        <v>3381</v>
      </c>
      <c r="H185" s="981" t="s">
        <v>6573</v>
      </c>
      <c r="I185" s="194">
        <v>0</v>
      </c>
      <c r="J185" s="194">
        <v>42000</v>
      </c>
      <c r="K185" s="185">
        <v>0.6</v>
      </c>
      <c r="L185" s="183" t="s">
        <v>5743</v>
      </c>
      <c r="M185" s="184" t="s">
        <v>5255</v>
      </c>
      <c r="N185" s="184" t="s">
        <v>5255</v>
      </c>
      <c r="O185" s="980"/>
    </row>
    <row r="186" spans="1:15" s="182" customFormat="1" ht="21.75" customHeight="1" x14ac:dyDescent="0.15">
      <c r="A186" s="151" t="s">
        <v>6566</v>
      </c>
      <c r="B186" s="20" t="s">
        <v>227</v>
      </c>
      <c r="C186" s="399" t="s">
        <v>3351</v>
      </c>
      <c r="D186" s="399" t="s">
        <v>3352</v>
      </c>
      <c r="E186" s="399" t="s">
        <v>2870</v>
      </c>
      <c r="F186" s="184" t="s">
        <v>5078</v>
      </c>
      <c r="G186" s="235" t="s">
        <v>3381</v>
      </c>
      <c r="H186" s="981" t="s">
        <v>6574</v>
      </c>
      <c r="I186" s="194">
        <v>0</v>
      </c>
      <c r="J186" s="194">
        <v>42000</v>
      </c>
      <c r="K186" s="185">
        <v>0.6</v>
      </c>
      <c r="L186" s="183" t="s">
        <v>5743</v>
      </c>
      <c r="M186" s="184" t="s">
        <v>5255</v>
      </c>
      <c r="N186" s="184" t="s">
        <v>5255</v>
      </c>
      <c r="O186" s="980"/>
    </row>
    <row r="187" spans="1:15" s="182" customFormat="1" ht="21.75" customHeight="1" x14ac:dyDescent="0.15">
      <c r="A187" s="151" t="s">
        <v>6566</v>
      </c>
      <c r="B187" s="20" t="s">
        <v>6568</v>
      </c>
      <c r="C187" s="392" t="s">
        <v>3351</v>
      </c>
      <c r="D187" s="392" t="s">
        <v>3352</v>
      </c>
      <c r="E187" s="391" t="s">
        <v>3688</v>
      </c>
      <c r="F187" s="392" t="s">
        <v>3328</v>
      </c>
      <c r="G187" s="954" t="s">
        <v>3349</v>
      </c>
      <c r="H187" s="509">
        <v>20100</v>
      </c>
      <c r="I187" s="194">
        <v>0</v>
      </c>
      <c r="J187" s="194">
        <v>21000</v>
      </c>
      <c r="K187" s="185">
        <v>0.3</v>
      </c>
      <c r="L187" s="183" t="s">
        <v>5744</v>
      </c>
      <c r="M187" s="184" t="s">
        <v>5255</v>
      </c>
      <c r="N187" s="184" t="s">
        <v>5255</v>
      </c>
      <c r="O187" s="979"/>
    </row>
    <row r="188" spans="1:15" s="182" customFormat="1" ht="21.75" customHeight="1" x14ac:dyDescent="0.15">
      <c r="A188" s="151" t="s">
        <v>6566</v>
      </c>
      <c r="B188" s="20" t="s">
        <v>3687</v>
      </c>
      <c r="C188" s="224" t="s">
        <v>3351</v>
      </c>
      <c r="D188" s="224" t="s">
        <v>3352</v>
      </c>
      <c r="E188" s="394" t="s">
        <v>3688</v>
      </c>
      <c r="F188" s="224" t="s">
        <v>3328</v>
      </c>
      <c r="G188" s="239" t="s">
        <v>3349</v>
      </c>
      <c r="H188" s="509">
        <v>21122</v>
      </c>
      <c r="I188" s="194">
        <v>0</v>
      </c>
      <c r="J188" s="194">
        <v>40998</v>
      </c>
      <c r="K188" s="185">
        <v>0.6</v>
      </c>
      <c r="L188" s="183" t="s">
        <v>5743</v>
      </c>
      <c r="M188" s="184" t="s">
        <v>5255</v>
      </c>
      <c r="N188" s="184" t="s">
        <v>5255</v>
      </c>
      <c r="O188" s="979"/>
    </row>
    <row r="189" spans="1:15" s="182" customFormat="1" ht="21.75" customHeight="1" x14ac:dyDescent="0.15">
      <c r="A189" s="151" t="s">
        <v>6566</v>
      </c>
      <c r="B189" s="20" t="s">
        <v>3687</v>
      </c>
      <c r="C189" s="224" t="s">
        <v>3351</v>
      </c>
      <c r="D189" s="224" t="s">
        <v>3352</v>
      </c>
      <c r="E189" s="394" t="s">
        <v>3688</v>
      </c>
      <c r="F189" s="224" t="s">
        <v>3328</v>
      </c>
      <c r="G189" s="239" t="s">
        <v>3349</v>
      </c>
      <c r="H189" s="509">
        <v>21122</v>
      </c>
      <c r="I189" s="194">
        <v>0</v>
      </c>
      <c r="J189" s="194">
        <v>27332</v>
      </c>
      <c r="K189" s="185">
        <v>0.4</v>
      </c>
      <c r="L189" s="183" t="s">
        <v>5744</v>
      </c>
      <c r="M189" s="184" t="s">
        <v>5255</v>
      </c>
      <c r="N189" s="184" t="s">
        <v>5255</v>
      </c>
      <c r="O189" s="979"/>
    </row>
    <row r="190" spans="1:15" s="182" customFormat="1" ht="21.75" customHeight="1" x14ac:dyDescent="0.15">
      <c r="A190" s="151" t="s">
        <v>6566</v>
      </c>
      <c r="B190" s="20" t="s">
        <v>6568</v>
      </c>
      <c r="C190" s="399" t="s">
        <v>4941</v>
      </c>
      <c r="D190" s="399" t="s">
        <v>4942</v>
      </c>
      <c r="E190" s="399" t="s">
        <v>6575</v>
      </c>
      <c r="F190" s="184" t="s">
        <v>3328</v>
      </c>
      <c r="G190" s="239" t="s">
        <v>3386</v>
      </c>
      <c r="H190" s="509">
        <v>21163</v>
      </c>
      <c r="I190" s="194">
        <v>0</v>
      </c>
      <c r="J190" s="194">
        <v>38500</v>
      </c>
      <c r="K190" s="185">
        <v>1</v>
      </c>
      <c r="L190" s="183" t="s">
        <v>806</v>
      </c>
      <c r="M190" s="184" t="s">
        <v>5255</v>
      </c>
      <c r="N190" s="184" t="s">
        <v>5255</v>
      </c>
      <c r="O190" s="979"/>
    </row>
    <row r="191" spans="1:15" s="182" customFormat="1" ht="21.75" customHeight="1" x14ac:dyDescent="0.15">
      <c r="A191" s="151" t="s">
        <v>6566</v>
      </c>
      <c r="B191" s="20" t="s">
        <v>6567</v>
      </c>
      <c r="C191" s="392" t="s">
        <v>3351</v>
      </c>
      <c r="D191" s="392" t="s">
        <v>3352</v>
      </c>
      <c r="E191" s="391" t="s">
        <v>3689</v>
      </c>
      <c r="F191" s="392" t="s">
        <v>3328</v>
      </c>
      <c r="G191" s="954" t="s">
        <v>3349</v>
      </c>
      <c r="H191" s="509">
        <v>20101</v>
      </c>
      <c r="I191" s="194">
        <v>0</v>
      </c>
      <c r="J191" s="194">
        <v>21000</v>
      </c>
      <c r="K191" s="185">
        <v>0.3</v>
      </c>
      <c r="L191" s="183" t="s">
        <v>5743</v>
      </c>
      <c r="M191" s="184" t="s">
        <v>5255</v>
      </c>
      <c r="N191" s="184" t="s">
        <v>5255</v>
      </c>
      <c r="O191" s="979"/>
    </row>
    <row r="192" spans="1:15" s="182" customFormat="1" ht="21.75" customHeight="1" x14ac:dyDescent="0.15">
      <c r="A192" s="151" t="s">
        <v>6566</v>
      </c>
      <c r="B192" s="20" t="s">
        <v>6567</v>
      </c>
      <c r="C192" s="224" t="s">
        <v>3351</v>
      </c>
      <c r="D192" s="224" t="s">
        <v>3352</v>
      </c>
      <c r="E192" s="394" t="s">
        <v>3689</v>
      </c>
      <c r="F192" s="224" t="s">
        <v>3328</v>
      </c>
      <c r="G192" s="239" t="s">
        <v>3349</v>
      </c>
      <c r="H192" s="509">
        <v>21123</v>
      </c>
      <c r="I192" s="194">
        <v>0</v>
      </c>
      <c r="J192" s="194">
        <v>40998</v>
      </c>
      <c r="K192" s="185">
        <v>0.6</v>
      </c>
      <c r="L192" s="183" t="s">
        <v>5743</v>
      </c>
      <c r="M192" s="184" t="s">
        <v>5255</v>
      </c>
      <c r="N192" s="184" t="s">
        <v>5255</v>
      </c>
      <c r="O192" s="979"/>
    </row>
    <row r="193" spans="1:15" s="182" customFormat="1" ht="21.75" customHeight="1" x14ac:dyDescent="0.15">
      <c r="A193" s="151" t="s">
        <v>6566</v>
      </c>
      <c r="B193" s="20" t="s">
        <v>6567</v>
      </c>
      <c r="C193" s="224" t="s">
        <v>3351</v>
      </c>
      <c r="D193" s="224" t="s">
        <v>3352</v>
      </c>
      <c r="E193" s="394" t="s">
        <v>3689</v>
      </c>
      <c r="F193" s="224" t="s">
        <v>3328</v>
      </c>
      <c r="G193" s="239" t="s">
        <v>3349</v>
      </c>
      <c r="H193" s="509">
        <v>21123</v>
      </c>
      <c r="I193" s="194">
        <v>0</v>
      </c>
      <c r="J193" s="194">
        <v>27332</v>
      </c>
      <c r="K193" s="185">
        <v>0.4</v>
      </c>
      <c r="L193" s="183" t="s">
        <v>5744</v>
      </c>
      <c r="M193" s="184" t="s">
        <v>5255</v>
      </c>
      <c r="N193" s="184" t="s">
        <v>5255</v>
      </c>
      <c r="O193" s="979"/>
    </row>
    <row r="194" spans="1:15" s="182" customFormat="1" ht="21.75" customHeight="1" x14ac:dyDescent="0.15">
      <c r="A194" s="151" t="s">
        <v>6566</v>
      </c>
      <c r="B194" s="20" t="s">
        <v>6567</v>
      </c>
      <c r="C194" s="224" t="s">
        <v>3351</v>
      </c>
      <c r="D194" s="224" t="s">
        <v>3352</v>
      </c>
      <c r="E194" s="394" t="s">
        <v>3689</v>
      </c>
      <c r="F194" s="224" t="s">
        <v>3328</v>
      </c>
      <c r="G194" s="239" t="s">
        <v>5240</v>
      </c>
      <c r="H194" s="509">
        <v>22075</v>
      </c>
      <c r="I194" s="194">
        <v>0</v>
      </c>
      <c r="J194" s="194">
        <v>25000</v>
      </c>
      <c r="K194" s="185">
        <v>1</v>
      </c>
      <c r="L194" s="183" t="s">
        <v>806</v>
      </c>
      <c r="M194" s="184" t="s">
        <v>5255</v>
      </c>
      <c r="N194" s="184" t="s">
        <v>5255</v>
      </c>
      <c r="O194" s="979"/>
    </row>
    <row r="195" spans="1:15" s="182" customFormat="1" ht="21.75" customHeight="1" x14ac:dyDescent="0.15">
      <c r="A195" s="151" t="s">
        <v>6566</v>
      </c>
      <c r="B195" s="20" t="s">
        <v>6567</v>
      </c>
      <c r="C195" s="224" t="s">
        <v>3351</v>
      </c>
      <c r="D195" s="224" t="s">
        <v>3352</v>
      </c>
      <c r="E195" s="394" t="s">
        <v>3689</v>
      </c>
      <c r="F195" s="224" t="s">
        <v>3328</v>
      </c>
      <c r="G195" s="243" t="s">
        <v>4418</v>
      </c>
      <c r="H195" s="981">
        <v>22138</v>
      </c>
      <c r="I195" s="194">
        <v>0</v>
      </c>
      <c r="J195" s="194">
        <v>19000</v>
      </c>
      <c r="K195" s="185">
        <v>1</v>
      </c>
      <c r="L195" s="183" t="s">
        <v>806</v>
      </c>
      <c r="M195" s="184" t="s">
        <v>5255</v>
      </c>
      <c r="N195" s="184" t="s">
        <v>5255</v>
      </c>
      <c r="O195" s="979"/>
    </row>
    <row r="196" spans="1:15" s="182" customFormat="1" ht="21.75" customHeight="1" x14ac:dyDescent="0.15">
      <c r="A196" s="151" t="s">
        <v>6566</v>
      </c>
      <c r="B196" s="20" t="s">
        <v>6567</v>
      </c>
      <c r="C196" s="224" t="s">
        <v>3351</v>
      </c>
      <c r="D196" s="224" t="s">
        <v>3352</v>
      </c>
      <c r="E196" s="394" t="s">
        <v>3689</v>
      </c>
      <c r="F196" s="224" t="s">
        <v>3328</v>
      </c>
      <c r="G196" s="239" t="s">
        <v>3349</v>
      </c>
      <c r="H196" s="981">
        <v>22148</v>
      </c>
      <c r="I196" s="194">
        <v>0</v>
      </c>
      <c r="J196" s="194">
        <v>42000</v>
      </c>
      <c r="K196" s="185">
        <v>0.6</v>
      </c>
      <c r="L196" s="183" t="s">
        <v>5743</v>
      </c>
      <c r="M196" s="184" t="s">
        <v>5255</v>
      </c>
      <c r="N196" s="184" t="s">
        <v>5255</v>
      </c>
      <c r="O196" s="979"/>
    </row>
    <row r="197" spans="1:15" s="182" customFormat="1" ht="21.75" customHeight="1" x14ac:dyDescent="0.15">
      <c r="A197" s="151" t="s">
        <v>6566</v>
      </c>
      <c r="B197" s="20" t="s">
        <v>6567</v>
      </c>
      <c r="C197" s="224" t="s">
        <v>3351</v>
      </c>
      <c r="D197" s="224" t="s">
        <v>3352</v>
      </c>
      <c r="E197" s="394" t="s">
        <v>3689</v>
      </c>
      <c r="F197" s="224" t="s">
        <v>3328</v>
      </c>
      <c r="G197" s="239" t="s">
        <v>3349</v>
      </c>
      <c r="H197" s="981">
        <v>22148</v>
      </c>
      <c r="I197" s="194">
        <v>0</v>
      </c>
      <c r="J197" s="194">
        <v>28000</v>
      </c>
      <c r="K197" s="185">
        <v>0.4</v>
      </c>
      <c r="L197" s="183" t="s">
        <v>5744</v>
      </c>
      <c r="M197" s="184" t="s">
        <v>5255</v>
      </c>
      <c r="N197" s="184" t="s">
        <v>5255</v>
      </c>
      <c r="O197" s="979"/>
    </row>
    <row r="198" spans="1:15" s="182" customFormat="1" ht="21.75" customHeight="1" x14ac:dyDescent="0.15">
      <c r="A198" s="151" t="s">
        <v>6566</v>
      </c>
      <c r="B198" s="20" t="s">
        <v>6569</v>
      </c>
      <c r="C198" s="399" t="s">
        <v>4941</v>
      </c>
      <c r="D198" s="399" t="s">
        <v>4942</v>
      </c>
      <c r="E198" s="399" t="s">
        <v>6576</v>
      </c>
      <c r="F198" s="224" t="s">
        <v>3328</v>
      </c>
      <c r="G198" s="239" t="s">
        <v>5240</v>
      </c>
      <c r="H198" s="509">
        <v>22077</v>
      </c>
      <c r="I198" s="194">
        <v>0</v>
      </c>
      <c r="J198" s="194">
        <v>25000</v>
      </c>
      <c r="K198" s="185">
        <v>1</v>
      </c>
      <c r="L198" s="183" t="s">
        <v>806</v>
      </c>
      <c r="M198" s="184" t="s">
        <v>5255</v>
      </c>
      <c r="N198" s="184" t="s">
        <v>5255</v>
      </c>
      <c r="O198" s="979"/>
    </row>
    <row r="199" spans="1:15" s="182" customFormat="1" ht="21.75" customHeight="1" x14ac:dyDescent="0.15">
      <c r="A199" s="151" t="s">
        <v>6566</v>
      </c>
      <c r="B199" s="20" t="s">
        <v>6569</v>
      </c>
      <c r="C199" s="399" t="s">
        <v>4941</v>
      </c>
      <c r="D199" s="399" t="s">
        <v>4942</v>
      </c>
      <c r="E199" s="399" t="s">
        <v>6576</v>
      </c>
      <c r="F199" s="224" t="s">
        <v>3328</v>
      </c>
      <c r="G199" s="239" t="s">
        <v>3349</v>
      </c>
      <c r="H199" s="509">
        <v>22152</v>
      </c>
      <c r="I199" s="194">
        <v>0</v>
      </c>
      <c r="J199" s="194">
        <v>42000</v>
      </c>
      <c r="K199" s="185">
        <v>0.6</v>
      </c>
      <c r="L199" s="183" t="s">
        <v>5743</v>
      </c>
      <c r="M199" s="184" t="s">
        <v>5255</v>
      </c>
      <c r="N199" s="184" t="s">
        <v>5255</v>
      </c>
      <c r="O199" s="979"/>
    </row>
    <row r="200" spans="1:15" s="182" customFormat="1" ht="21.75" customHeight="1" x14ac:dyDescent="0.15">
      <c r="A200" s="151" t="s">
        <v>6566</v>
      </c>
      <c r="B200" s="20" t="s">
        <v>6569</v>
      </c>
      <c r="C200" s="399" t="s">
        <v>4941</v>
      </c>
      <c r="D200" s="399" t="s">
        <v>4942</v>
      </c>
      <c r="E200" s="399" t="s">
        <v>6576</v>
      </c>
      <c r="F200" s="224" t="s">
        <v>3328</v>
      </c>
      <c r="G200" s="239" t="s">
        <v>3349</v>
      </c>
      <c r="H200" s="509">
        <v>22152</v>
      </c>
      <c r="I200" s="194">
        <v>0</v>
      </c>
      <c r="J200" s="194">
        <v>28000</v>
      </c>
      <c r="K200" s="185">
        <v>0.4</v>
      </c>
      <c r="L200" s="183" t="s">
        <v>5744</v>
      </c>
      <c r="M200" s="184" t="s">
        <v>5255</v>
      </c>
      <c r="N200" s="184" t="s">
        <v>5255</v>
      </c>
      <c r="O200" s="979"/>
    </row>
    <row r="201" spans="1:15" s="182" customFormat="1" ht="21.75" customHeight="1" x14ac:dyDescent="0.15">
      <c r="A201" s="151" t="s">
        <v>6566</v>
      </c>
      <c r="B201" s="20" t="s">
        <v>6569</v>
      </c>
      <c r="C201" s="399" t="s">
        <v>4941</v>
      </c>
      <c r="D201" s="399" t="s">
        <v>4942</v>
      </c>
      <c r="E201" s="399" t="s">
        <v>6576</v>
      </c>
      <c r="F201" s="224" t="s">
        <v>3328</v>
      </c>
      <c r="G201" s="239" t="s">
        <v>3566</v>
      </c>
      <c r="H201" s="509">
        <v>23129</v>
      </c>
      <c r="I201" s="194">
        <v>0</v>
      </c>
      <c r="J201" s="194">
        <v>40800</v>
      </c>
      <c r="K201" s="185">
        <v>0.2</v>
      </c>
      <c r="L201" s="183" t="s">
        <v>5743</v>
      </c>
      <c r="M201" s="184" t="s">
        <v>5255</v>
      </c>
      <c r="N201" s="184" t="s">
        <v>5255</v>
      </c>
      <c r="O201" s="979"/>
    </row>
    <row r="202" spans="1:15" s="182" customFormat="1" ht="21.75" customHeight="1" x14ac:dyDescent="0.15">
      <c r="A202" s="151" t="s">
        <v>6566</v>
      </c>
      <c r="B202" s="20" t="s">
        <v>6569</v>
      </c>
      <c r="C202" s="399" t="s">
        <v>4941</v>
      </c>
      <c r="D202" s="399" t="s">
        <v>4942</v>
      </c>
      <c r="E202" s="399" t="s">
        <v>6576</v>
      </c>
      <c r="F202" s="224" t="s">
        <v>3328</v>
      </c>
      <c r="G202" s="235" t="s">
        <v>6577</v>
      </c>
      <c r="H202" s="509">
        <v>23135</v>
      </c>
      <c r="I202" s="194">
        <v>0</v>
      </c>
      <c r="J202" s="194">
        <v>47500</v>
      </c>
      <c r="K202" s="185">
        <v>1</v>
      </c>
      <c r="L202" s="183" t="s">
        <v>806</v>
      </c>
      <c r="M202" s="184" t="s">
        <v>5255</v>
      </c>
      <c r="N202" s="184" t="s">
        <v>5255</v>
      </c>
      <c r="O202" s="979"/>
    </row>
    <row r="203" spans="1:15" s="182" customFormat="1" ht="46.5" customHeight="1" x14ac:dyDescent="0.15">
      <c r="A203" s="151" t="s">
        <v>6566</v>
      </c>
      <c r="B203" s="849" t="s">
        <v>6578</v>
      </c>
      <c r="C203" s="399" t="s">
        <v>4941</v>
      </c>
      <c r="D203" s="399" t="s">
        <v>4942</v>
      </c>
      <c r="E203" s="399" t="s">
        <v>5657</v>
      </c>
      <c r="F203" s="224" t="s">
        <v>3328</v>
      </c>
      <c r="G203" s="239" t="s">
        <v>5240</v>
      </c>
      <c r="H203" s="509">
        <v>22078</v>
      </c>
      <c r="I203" s="194">
        <v>0</v>
      </c>
      <c r="J203" s="194">
        <v>25000</v>
      </c>
      <c r="K203" s="185">
        <v>1</v>
      </c>
      <c r="L203" s="183" t="s">
        <v>806</v>
      </c>
      <c r="M203" s="184" t="s">
        <v>5255</v>
      </c>
      <c r="N203" s="184" t="s">
        <v>5255</v>
      </c>
      <c r="O203" s="979"/>
    </row>
    <row r="204" spans="1:15" s="182" customFormat="1" ht="21.75" customHeight="1" x14ac:dyDescent="0.15">
      <c r="A204" s="151" t="s">
        <v>6566</v>
      </c>
      <c r="B204" s="20" t="s">
        <v>6571</v>
      </c>
      <c r="C204" s="399" t="s">
        <v>4941</v>
      </c>
      <c r="D204" s="399" t="s">
        <v>4942</v>
      </c>
      <c r="E204" s="399" t="s">
        <v>5657</v>
      </c>
      <c r="F204" s="184" t="s">
        <v>5078</v>
      </c>
      <c r="G204" s="239" t="s">
        <v>3566</v>
      </c>
      <c r="H204" s="509">
        <v>23131</v>
      </c>
      <c r="I204" s="194">
        <v>0</v>
      </c>
      <c r="J204" s="194">
        <v>40800</v>
      </c>
      <c r="K204" s="185">
        <v>0.2</v>
      </c>
      <c r="L204" s="183" t="s">
        <v>5743</v>
      </c>
      <c r="M204" s="184" t="s">
        <v>5255</v>
      </c>
      <c r="N204" s="184" t="s">
        <v>5255</v>
      </c>
      <c r="O204" s="979"/>
    </row>
    <row r="205" spans="1:15" s="182" customFormat="1" ht="21.75" customHeight="1" x14ac:dyDescent="0.15">
      <c r="A205" s="151" t="s">
        <v>6566</v>
      </c>
      <c r="B205" s="20" t="s">
        <v>6571</v>
      </c>
      <c r="C205" s="399" t="s">
        <v>4941</v>
      </c>
      <c r="D205" s="399" t="s">
        <v>4942</v>
      </c>
      <c r="E205" s="399" t="s">
        <v>5657</v>
      </c>
      <c r="F205" s="184" t="s">
        <v>5078</v>
      </c>
      <c r="G205" s="235" t="s">
        <v>6577</v>
      </c>
      <c r="H205" s="509">
        <v>23137</v>
      </c>
      <c r="I205" s="194">
        <v>0</v>
      </c>
      <c r="J205" s="194">
        <v>47500</v>
      </c>
      <c r="K205" s="185">
        <v>1</v>
      </c>
      <c r="L205" s="183" t="s">
        <v>806</v>
      </c>
      <c r="M205" s="184" t="s">
        <v>5255</v>
      </c>
      <c r="N205" s="184" t="s">
        <v>5255</v>
      </c>
      <c r="O205" s="979"/>
    </row>
    <row r="206" spans="1:15" s="182" customFormat="1" ht="21.75" customHeight="1" x14ac:dyDescent="0.15">
      <c r="A206" s="151" t="s">
        <v>6580</v>
      </c>
      <c r="B206" s="20" t="s">
        <v>6581</v>
      </c>
      <c r="C206" s="399" t="s">
        <v>4963</v>
      </c>
      <c r="D206" s="399" t="s">
        <v>5098</v>
      </c>
      <c r="E206" s="399" t="s">
        <v>791</v>
      </c>
      <c r="F206" s="184" t="s">
        <v>5078</v>
      </c>
      <c r="G206" s="235" t="s">
        <v>5030</v>
      </c>
      <c r="H206" s="509">
        <v>23031</v>
      </c>
      <c r="I206" s="194">
        <v>47930</v>
      </c>
      <c r="J206" s="194">
        <v>0</v>
      </c>
      <c r="K206" s="185" t="s">
        <v>6579</v>
      </c>
      <c r="L206" s="183" t="s">
        <v>5743</v>
      </c>
      <c r="M206" s="184" t="s">
        <v>5765</v>
      </c>
      <c r="N206" s="184" t="s">
        <v>5765</v>
      </c>
      <c r="O206" s="982" t="s">
        <v>6582</v>
      </c>
    </row>
    <row r="207" spans="1:15" s="182" customFormat="1" ht="21.75" customHeight="1" x14ac:dyDescent="0.15">
      <c r="A207" s="151" t="s">
        <v>6580</v>
      </c>
      <c r="B207" s="20" t="s">
        <v>6581</v>
      </c>
      <c r="C207" s="399" t="s">
        <v>4963</v>
      </c>
      <c r="D207" s="399" t="s">
        <v>5098</v>
      </c>
      <c r="E207" s="399" t="s">
        <v>791</v>
      </c>
      <c r="F207" s="184" t="s">
        <v>5078</v>
      </c>
      <c r="G207" s="235" t="s">
        <v>5030</v>
      </c>
      <c r="H207" s="509">
        <v>24023</v>
      </c>
      <c r="I207" s="194">
        <v>50000</v>
      </c>
      <c r="J207" s="194">
        <v>0</v>
      </c>
      <c r="K207" s="185">
        <v>0.5</v>
      </c>
      <c r="L207" s="183" t="s">
        <v>5743</v>
      </c>
      <c r="M207" s="184" t="s">
        <v>5765</v>
      </c>
      <c r="N207" s="184" t="s">
        <v>5765</v>
      </c>
      <c r="O207" s="982" t="s">
        <v>6583</v>
      </c>
    </row>
    <row r="208" spans="1:15" s="182" customFormat="1" ht="21.75" customHeight="1" x14ac:dyDescent="0.15">
      <c r="A208" s="151" t="s">
        <v>6584</v>
      </c>
      <c r="B208" s="20" t="s">
        <v>6585</v>
      </c>
      <c r="C208" s="184" t="s">
        <v>5567</v>
      </c>
      <c r="D208" s="184" t="s">
        <v>5422</v>
      </c>
      <c r="E208" s="184" t="s">
        <v>3440</v>
      </c>
      <c r="F208" s="184" t="s">
        <v>5078</v>
      </c>
      <c r="G208" s="239" t="s">
        <v>3349</v>
      </c>
      <c r="H208" s="509">
        <v>22157</v>
      </c>
      <c r="I208" s="194">
        <v>0</v>
      </c>
      <c r="J208" s="194">
        <v>130000</v>
      </c>
      <c r="K208" s="185">
        <v>0.5</v>
      </c>
      <c r="L208" s="183" t="s">
        <v>285</v>
      </c>
      <c r="M208" s="184" t="s">
        <v>155</v>
      </c>
      <c r="N208" s="184" t="s">
        <v>155</v>
      </c>
      <c r="O208" s="983"/>
    </row>
    <row r="209" spans="1:15" s="182" customFormat="1" ht="21.75" customHeight="1" x14ac:dyDescent="0.15">
      <c r="A209" s="151" t="s">
        <v>6584</v>
      </c>
      <c r="B209" s="20" t="s">
        <v>3815</v>
      </c>
      <c r="C209" s="184" t="s">
        <v>4982</v>
      </c>
      <c r="D209" s="184" t="s">
        <v>5422</v>
      </c>
      <c r="E209" s="184" t="s">
        <v>5427</v>
      </c>
      <c r="F209" s="184" t="s">
        <v>5078</v>
      </c>
      <c r="G209" s="235" t="s">
        <v>5249</v>
      </c>
      <c r="H209" s="509" t="s">
        <v>6588</v>
      </c>
      <c r="I209" s="194">
        <v>0</v>
      </c>
      <c r="J209" s="194">
        <v>4400</v>
      </c>
      <c r="K209" s="185" t="s">
        <v>6589</v>
      </c>
      <c r="L209" s="183" t="s">
        <v>1948</v>
      </c>
      <c r="M209" s="184" t="s">
        <v>155</v>
      </c>
      <c r="N209" s="184" t="s">
        <v>155</v>
      </c>
      <c r="O209" s="983"/>
    </row>
    <row r="210" spans="1:15" s="182" customFormat="1" ht="21.75" customHeight="1" x14ac:dyDescent="0.15">
      <c r="A210" s="151" t="s">
        <v>6586</v>
      </c>
      <c r="B210" s="20" t="s">
        <v>291</v>
      </c>
      <c r="C210" s="391" t="s">
        <v>3346</v>
      </c>
      <c r="D210" s="391" t="s">
        <v>3360</v>
      </c>
      <c r="E210" s="391" t="s">
        <v>6590</v>
      </c>
      <c r="F210" s="184" t="s">
        <v>5762</v>
      </c>
      <c r="G210" s="235" t="s">
        <v>6591</v>
      </c>
      <c r="H210" s="509">
        <v>23171</v>
      </c>
      <c r="I210" s="194">
        <v>0</v>
      </c>
      <c r="J210" s="194">
        <v>195000</v>
      </c>
      <c r="K210" s="185">
        <v>0.6</v>
      </c>
      <c r="L210" s="183" t="s">
        <v>2455</v>
      </c>
      <c r="M210" s="184" t="s">
        <v>155</v>
      </c>
      <c r="N210" s="184" t="s">
        <v>155</v>
      </c>
      <c r="O210" s="983"/>
    </row>
    <row r="211" spans="1:15" s="182" customFormat="1" ht="21.75" customHeight="1" x14ac:dyDescent="0.15">
      <c r="A211" s="151" t="s">
        <v>6586</v>
      </c>
      <c r="B211" s="20" t="s">
        <v>307</v>
      </c>
      <c r="C211" s="391" t="s">
        <v>3346</v>
      </c>
      <c r="D211" s="391" t="s">
        <v>3360</v>
      </c>
      <c r="E211" s="391" t="s">
        <v>6602</v>
      </c>
      <c r="F211" s="184" t="s">
        <v>5762</v>
      </c>
      <c r="G211" s="235" t="s">
        <v>6591</v>
      </c>
      <c r="H211" s="509">
        <v>23172</v>
      </c>
      <c r="I211" s="194">
        <v>0</v>
      </c>
      <c r="J211" s="194">
        <v>195000</v>
      </c>
      <c r="K211" s="185">
        <v>0.6</v>
      </c>
      <c r="L211" s="183" t="s">
        <v>2455</v>
      </c>
      <c r="M211" s="184" t="s">
        <v>155</v>
      </c>
      <c r="N211" s="184" t="s">
        <v>155</v>
      </c>
      <c r="O211" s="988"/>
    </row>
    <row r="212" spans="1:15" s="182" customFormat="1" ht="21.75" customHeight="1" x14ac:dyDescent="0.15">
      <c r="A212" s="151" t="s">
        <v>6586</v>
      </c>
      <c r="B212" s="20" t="s">
        <v>390</v>
      </c>
      <c r="C212" s="399" t="s">
        <v>4982</v>
      </c>
      <c r="D212" s="399" t="s">
        <v>5631</v>
      </c>
      <c r="E212" s="399" t="s">
        <v>761</v>
      </c>
      <c r="F212" s="184" t="s">
        <v>5078</v>
      </c>
      <c r="G212" s="235" t="s">
        <v>5030</v>
      </c>
      <c r="H212" s="509">
        <v>24013</v>
      </c>
      <c r="I212" s="194">
        <v>0</v>
      </c>
      <c r="J212" s="194">
        <v>46500</v>
      </c>
      <c r="K212" s="185">
        <v>0.5</v>
      </c>
      <c r="L212" s="183" t="s">
        <v>285</v>
      </c>
      <c r="M212" s="184" t="s">
        <v>155</v>
      </c>
      <c r="N212" s="184" t="s">
        <v>155</v>
      </c>
      <c r="O212" s="983"/>
    </row>
    <row r="213" spans="1:15" s="182" customFormat="1" ht="21.75" customHeight="1" x14ac:dyDescent="0.15">
      <c r="A213" s="151" t="s">
        <v>6586</v>
      </c>
      <c r="B213" s="20" t="s">
        <v>6563</v>
      </c>
      <c r="C213" s="399" t="s">
        <v>4982</v>
      </c>
      <c r="D213" s="399" t="s">
        <v>5631</v>
      </c>
      <c r="E213" s="399" t="s">
        <v>761</v>
      </c>
      <c r="F213" s="184" t="s">
        <v>5078</v>
      </c>
      <c r="G213" s="235" t="s">
        <v>5030</v>
      </c>
      <c r="H213" s="509">
        <v>24013</v>
      </c>
      <c r="I213" s="194">
        <v>0</v>
      </c>
      <c r="J213" s="194">
        <v>46500</v>
      </c>
      <c r="K213" s="185">
        <v>0.5</v>
      </c>
      <c r="L213" s="183" t="s">
        <v>285</v>
      </c>
      <c r="M213" s="184" t="s">
        <v>155</v>
      </c>
      <c r="N213" s="184" t="s">
        <v>155</v>
      </c>
      <c r="O213" s="983"/>
    </row>
    <row r="214" spans="1:15" s="182" customFormat="1" ht="21.75" customHeight="1" x14ac:dyDescent="0.15">
      <c r="A214" s="151" t="s">
        <v>6586</v>
      </c>
      <c r="B214" s="20" t="s">
        <v>6587</v>
      </c>
      <c r="C214" s="184" t="s">
        <v>4982</v>
      </c>
      <c r="D214" s="184" t="s">
        <v>5028</v>
      </c>
      <c r="E214" s="184" t="s">
        <v>6593</v>
      </c>
      <c r="F214" s="184" t="s">
        <v>5078</v>
      </c>
      <c r="G214" s="235" t="s">
        <v>5090</v>
      </c>
      <c r="H214" s="509" t="s">
        <v>6592</v>
      </c>
      <c r="I214" s="194">
        <v>0</v>
      </c>
      <c r="J214" s="194">
        <v>369000</v>
      </c>
      <c r="K214" s="185">
        <v>0.9</v>
      </c>
      <c r="L214" s="183" t="s">
        <v>1147</v>
      </c>
      <c r="M214" s="184" t="s">
        <v>155</v>
      </c>
      <c r="N214" s="184" t="s">
        <v>155</v>
      </c>
      <c r="O214" s="984"/>
    </row>
    <row r="215" spans="1:15" s="182" customFormat="1" ht="21.75" customHeight="1" x14ac:dyDescent="0.15">
      <c r="A215" s="151" t="s">
        <v>6594</v>
      </c>
      <c r="B215" s="20" t="s">
        <v>6549</v>
      </c>
      <c r="C215" s="399" t="s">
        <v>4941</v>
      </c>
      <c r="D215" s="399" t="s">
        <v>4942</v>
      </c>
      <c r="E215" s="399" t="s">
        <v>6552</v>
      </c>
      <c r="F215" s="403" t="s">
        <v>3328</v>
      </c>
      <c r="G215" s="239" t="s">
        <v>3349</v>
      </c>
      <c r="H215" s="509">
        <v>22098</v>
      </c>
      <c r="I215" s="194">
        <v>0</v>
      </c>
      <c r="J215" s="194">
        <v>35000</v>
      </c>
      <c r="K215" s="185">
        <v>0.5</v>
      </c>
      <c r="L215" s="183" t="s">
        <v>1143</v>
      </c>
      <c r="M215" s="184" t="s">
        <v>1784</v>
      </c>
      <c r="N215" s="184" t="s">
        <v>1784</v>
      </c>
      <c r="O215" s="985"/>
    </row>
    <row r="216" spans="1:15" s="182" customFormat="1" ht="21.75" customHeight="1" x14ac:dyDescent="0.15">
      <c r="A216" s="151" t="s">
        <v>6595</v>
      </c>
      <c r="B216" s="20" t="s">
        <v>2250</v>
      </c>
      <c r="C216" s="399" t="s">
        <v>4941</v>
      </c>
      <c r="D216" s="399" t="s">
        <v>5901</v>
      </c>
      <c r="E216" s="399" t="s">
        <v>5902</v>
      </c>
      <c r="F216" s="418" t="s">
        <v>3328</v>
      </c>
      <c r="G216" s="235" t="s">
        <v>6033</v>
      </c>
      <c r="H216" s="509">
        <v>22024</v>
      </c>
      <c r="I216" s="194">
        <v>0</v>
      </c>
      <c r="J216" s="194">
        <v>81000</v>
      </c>
      <c r="K216" s="185">
        <v>0.3</v>
      </c>
      <c r="L216" s="183" t="s">
        <v>285</v>
      </c>
      <c r="M216" s="184" t="s">
        <v>1784</v>
      </c>
      <c r="N216" s="184" t="s">
        <v>1784</v>
      </c>
      <c r="O216" s="985"/>
    </row>
    <row r="217" spans="1:15" s="182" customFormat="1" ht="21.75" customHeight="1" x14ac:dyDescent="0.15">
      <c r="A217" s="151" t="s">
        <v>6595</v>
      </c>
      <c r="B217" s="20" t="s">
        <v>1431</v>
      </c>
      <c r="C217" s="392" t="s">
        <v>3351</v>
      </c>
      <c r="D217" s="392" t="s">
        <v>3352</v>
      </c>
      <c r="E217" s="454" t="s">
        <v>2796</v>
      </c>
      <c r="F217" s="952" t="s">
        <v>3328</v>
      </c>
      <c r="G217" s="460" t="s">
        <v>5172</v>
      </c>
      <c r="H217" s="972">
        <v>21041</v>
      </c>
      <c r="I217" s="194">
        <v>0</v>
      </c>
      <c r="J217" s="194">
        <v>6000</v>
      </c>
      <c r="K217" s="185">
        <v>0.3</v>
      </c>
      <c r="L217" s="183" t="s">
        <v>1143</v>
      </c>
      <c r="M217" s="184" t="s">
        <v>1784</v>
      </c>
      <c r="N217" s="184" t="s">
        <v>1784</v>
      </c>
      <c r="O217" s="985"/>
    </row>
    <row r="218" spans="1:15" s="182" customFormat="1" ht="21.75" customHeight="1" x14ac:dyDescent="0.15">
      <c r="A218" s="151" t="s">
        <v>6596</v>
      </c>
      <c r="B218" s="20" t="s">
        <v>1447</v>
      </c>
      <c r="C218" s="399" t="s">
        <v>4963</v>
      </c>
      <c r="D218" s="399" t="s">
        <v>5714</v>
      </c>
      <c r="E218" s="399" t="s">
        <v>5715</v>
      </c>
      <c r="F218" s="224" t="s">
        <v>3328</v>
      </c>
      <c r="G218" s="239" t="s">
        <v>5480</v>
      </c>
      <c r="H218" s="509">
        <v>23055</v>
      </c>
      <c r="I218" s="194">
        <v>0</v>
      </c>
      <c r="J218" s="194">
        <v>45000</v>
      </c>
      <c r="K218" s="185" t="s">
        <v>6375</v>
      </c>
      <c r="L218" s="183" t="s">
        <v>285</v>
      </c>
      <c r="M218" s="184" t="s">
        <v>2660</v>
      </c>
      <c r="N218" s="184" t="s">
        <v>2660</v>
      </c>
      <c r="O218" s="985"/>
    </row>
    <row r="219" spans="1:15" s="182" customFormat="1" ht="21.75" customHeight="1" x14ac:dyDescent="0.15">
      <c r="A219" s="151" t="s">
        <v>6603</v>
      </c>
      <c r="B219" s="20" t="s">
        <v>3012</v>
      </c>
      <c r="C219" s="399" t="s">
        <v>5567</v>
      </c>
      <c r="D219" s="399" t="s">
        <v>5760</v>
      </c>
      <c r="E219" s="399" t="s">
        <v>5761</v>
      </c>
      <c r="F219" s="184" t="s">
        <v>5762</v>
      </c>
      <c r="G219" s="235" t="s">
        <v>5763</v>
      </c>
      <c r="H219" s="509" t="s">
        <v>6604</v>
      </c>
      <c r="I219" s="194">
        <v>0</v>
      </c>
      <c r="J219" s="194">
        <v>15291.2</v>
      </c>
      <c r="K219" s="185">
        <v>0.4</v>
      </c>
      <c r="L219" s="183" t="s">
        <v>806</v>
      </c>
      <c r="M219" s="184" t="s">
        <v>2660</v>
      </c>
      <c r="N219" s="184" t="s">
        <v>2660</v>
      </c>
      <c r="O219" s="233"/>
    </row>
    <row r="220" spans="1:15" s="182" customFormat="1" ht="21.75" customHeight="1" x14ac:dyDescent="0.15">
      <c r="A220" s="151" t="s">
        <v>6603</v>
      </c>
      <c r="B220" s="20" t="s">
        <v>3012</v>
      </c>
      <c r="C220" s="399" t="s">
        <v>5567</v>
      </c>
      <c r="D220" s="399" t="s">
        <v>5760</v>
      </c>
      <c r="E220" s="399" t="s">
        <v>5761</v>
      </c>
      <c r="F220" s="184" t="s">
        <v>5078</v>
      </c>
      <c r="G220" s="235" t="s">
        <v>3329</v>
      </c>
      <c r="H220" s="509" t="s">
        <v>5758</v>
      </c>
      <c r="I220" s="194">
        <v>0</v>
      </c>
      <c r="J220" s="194">
        <v>266510.8</v>
      </c>
      <c r="K220" s="185">
        <v>0.4</v>
      </c>
      <c r="L220" s="183" t="s">
        <v>806</v>
      </c>
      <c r="M220" s="184" t="s">
        <v>2660</v>
      </c>
      <c r="N220" s="184" t="s">
        <v>2660</v>
      </c>
      <c r="O220" s="233"/>
    </row>
    <row r="221" spans="1:15" s="182" customFormat="1" ht="21.75" customHeight="1" x14ac:dyDescent="0.15">
      <c r="A221" s="151" t="s">
        <v>6603</v>
      </c>
      <c r="B221" s="20" t="s">
        <v>3012</v>
      </c>
      <c r="C221" s="399" t="s">
        <v>5567</v>
      </c>
      <c r="D221" s="399" t="s">
        <v>5760</v>
      </c>
      <c r="E221" s="399" t="s">
        <v>5761</v>
      </c>
      <c r="F221" s="184" t="s">
        <v>3400</v>
      </c>
      <c r="G221" s="235" t="s">
        <v>5764</v>
      </c>
      <c r="H221" s="509" t="s">
        <v>5759</v>
      </c>
      <c r="I221" s="194">
        <v>0</v>
      </c>
      <c r="J221" s="194">
        <v>9398</v>
      </c>
      <c r="K221" s="185">
        <v>0.4</v>
      </c>
      <c r="L221" s="183" t="s">
        <v>806</v>
      </c>
      <c r="M221" s="184" t="s">
        <v>2660</v>
      </c>
      <c r="N221" s="184" t="s">
        <v>2660</v>
      </c>
      <c r="O221" s="233"/>
    </row>
    <row r="222" spans="1:15" s="182" customFormat="1" ht="21.75" customHeight="1" x14ac:dyDescent="0.15">
      <c r="A222" s="151" t="s">
        <v>6597</v>
      </c>
      <c r="B222" s="20" t="s">
        <v>6376</v>
      </c>
      <c r="C222" s="184" t="s">
        <v>4941</v>
      </c>
      <c r="D222" s="184" t="s">
        <v>4942</v>
      </c>
      <c r="E222" s="184" t="s">
        <v>6415</v>
      </c>
      <c r="F222" s="184" t="s">
        <v>3328</v>
      </c>
      <c r="G222" s="235" t="s">
        <v>3329</v>
      </c>
      <c r="H222" s="509" t="s">
        <v>6460</v>
      </c>
      <c r="I222" s="194">
        <v>0</v>
      </c>
      <c r="J222" s="194">
        <v>11928.15</v>
      </c>
      <c r="K222" s="222" t="s">
        <v>6600</v>
      </c>
      <c r="L222" s="183" t="s">
        <v>4707</v>
      </c>
      <c r="M222" s="957" t="s">
        <v>3726</v>
      </c>
      <c r="N222" s="957" t="s">
        <v>3726</v>
      </c>
      <c r="O222" s="986"/>
    </row>
    <row r="223" spans="1:15" s="182" customFormat="1" ht="21.75" customHeight="1" x14ac:dyDescent="0.15">
      <c r="A223" s="151" t="s">
        <v>6597</v>
      </c>
      <c r="B223" s="20" t="s">
        <v>6376</v>
      </c>
      <c r="C223" s="184" t="s">
        <v>4941</v>
      </c>
      <c r="D223" s="184" t="s">
        <v>4942</v>
      </c>
      <c r="E223" s="184" t="s">
        <v>6417</v>
      </c>
      <c r="F223" s="184" t="s">
        <v>5078</v>
      </c>
      <c r="G223" s="235" t="s">
        <v>3329</v>
      </c>
      <c r="H223" s="509" t="s">
        <v>6461</v>
      </c>
      <c r="I223" s="194">
        <v>0</v>
      </c>
      <c r="J223" s="194">
        <v>13227.1</v>
      </c>
      <c r="K223" s="222" t="s">
        <v>6601</v>
      </c>
      <c r="L223" s="183" t="s">
        <v>4707</v>
      </c>
      <c r="M223" s="957" t="s">
        <v>3726</v>
      </c>
      <c r="N223" s="957" t="s">
        <v>3726</v>
      </c>
      <c r="O223" s="987"/>
    </row>
    <row r="224" spans="1:15" s="182" customFormat="1" ht="21.75" customHeight="1" x14ac:dyDescent="0.15">
      <c r="A224" s="151" t="s">
        <v>6597</v>
      </c>
      <c r="B224" s="20" t="s">
        <v>6376</v>
      </c>
      <c r="C224" s="184" t="s">
        <v>4941</v>
      </c>
      <c r="D224" s="184" t="s">
        <v>4942</v>
      </c>
      <c r="E224" s="184" t="s">
        <v>6418</v>
      </c>
      <c r="F224" s="184" t="s">
        <v>5078</v>
      </c>
      <c r="G224" s="235" t="s">
        <v>5090</v>
      </c>
      <c r="H224" s="509" t="s">
        <v>6462</v>
      </c>
      <c r="I224" s="194">
        <v>0</v>
      </c>
      <c r="J224" s="194">
        <v>13568.2</v>
      </c>
      <c r="K224" s="222" t="s">
        <v>6601</v>
      </c>
      <c r="L224" s="183" t="s">
        <v>4707</v>
      </c>
      <c r="M224" s="957" t="s">
        <v>3726</v>
      </c>
      <c r="N224" s="957" t="s">
        <v>3726</v>
      </c>
      <c r="O224" s="987"/>
    </row>
    <row r="225" spans="1:15" s="182" customFormat="1" ht="21.75" customHeight="1" x14ac:dyDescent="0.15">
      <c r="A225" s="151" t="s">
        <v>6597</v>
      </c>
      <c r="B225" s="20" t="s">
        <v>6376</v>
      </c>
      <c r="C225" s="184" t="s">
        <v>4941</v>
      </c>
      <c r="D225" s="184" t="s">
        <v>4942</v>
      </c>
      <c r="E225" s="184" t="s">
        <v>6420</v>
      </c>
      <c r="F225" s="184" t="s">
        <v>5078</v>
      </c>
      <c r="G225" s="235" t="s">
        <v>5090</v>
      </c>
      <c r="H225" s="509" t="s">
        <v>6463</v>
      </c>
      <c r="I225" s="194">
        <v>0</v>
      </c>
      <c r="J225" s="194">
        <v>13568.2</v>
      </c>
      <c r="K225" s="222" t="s">
        <v>6601</v>
      </c>
      <c r="L225" s="183" t="s">
        <v>4707</v>
      </c>
      <c r="M225" s="957" t="s">
        <v>3726</v>
      </c>
      <c r="N225" s="957" t="s">
        <v>3726</v>
      </c>
      <c r="O225" s="987"/>
    </row>
    <row r="226" spans="1:15" s="182" customFormat="1" ht="21.75" customHeight="1" x14ac:dyDescent="0.15">
      <c r="A226" s="151" t="s">
        <v>6597</v>
      </c>
      <c r="B226" s="20" t="s">
        <v>6376</v>
      </c>
      <c r="C226" s="184" t="s">
        <v>4941</v>
      </c>
      <c r="D226" s="184" t="s">
        <v>4942</v>
      </c>
      <c r="E226" s="184" t="s">
        <v>6421</v>
      </c>
      <c r="F226" s="184" t="s">
        <v>5078</v>
      </c>
      <c r="G226" s="235" t="s">
        <v>3375</v>
      </c>
      <c r="H226" s="509" t="s">
        <v>6464</v>
      </c>
      <c r="I226" s="194">
        <v>0</v>
      </c>
      <c r="J226" s="194">
        <v>17149.75</v>
      </c>
      <c r="K226" s="222" t="s">
        <v>6601</v>
      </c>
      <c r="L226" s="183" t="s">
        <v>4707</v>
      </c>
      <c r="M226" s="957" t="s">
        <v>3726</v>
      </c>
      <c r="N226" s="957" t="s">
        <v>3726</v>
      </c>
      <c r="O226" s="987"/>
    </row>
    <row r="227" spans="1:15" s="182" customFormat="1" ht="21.75" customHeight="1" x14ac:dyDescent="0.15">
      <c r="A227" s="151" t="s">
        <v>6597</v>
      </c>
      <c r="B227" s="20" t="s">
        <v>6376</v>
      </c>
      <c r="C227" s="184" t="s">
        <v>4941</v>
      </c>
      <c r="D227" s="184" t="s">
        <v>4942</v>
      </c>
      <c r="E227" s="184" t="s">
        <v>6423</v>
      </c>
      <c r="F227" s="184" t="s">
        <v>5078</v>
      </c>
      <c r="G227" s="235" t="s">
        <v>3329</v>
      </c>
      <c r="H227" s="509" t="s">
        <v>6465</v>
      </c>
      <c r="I227" s="194">
        <v>0</v>
      </c>
      <c r="J227" s="194">
        <v>13208.15</v>
      </c>
      <c r="K227" s="222" t="s">
        <v>6601</v>
      </c>
      <c r="L227" s="183" t="s">
        <v>4707</v>
      </c>
      <c r="M227" s="957" t="s">
        <v>3726</v>
      </c>
      <c r="N227" s="957" t="s">
        <v>3726</v>
      </c>
      <c r="O227" s="987"/>
    </row>
    <row r="228" spans="1:15" s="182" customFormat="1" ht="21.75" customHeight="1" x14ac:dyDescent="0.15">
      <c r="A228" s="151" t="s">
        <v>6597</v>
      </c>
      <c r="B228" s="20" t="s">
        <v>6376</v>
      </c>
      <c r="C228" s="184" t="s">
        <v>4941</v>
      </c>
      <c r="D228" s="184" t="s">
        <v>4942</v>
      </c>
      <c r="E228" s="184" t="s">
        <v>6424</v>
      </c>
      <c r="F228" s="184" t="s">
        <v>5078</v>
      </c>
      <c r="G228" s="235" t="s">
        <v>3329</v>
      </c>
      <c r="H228" s="509" t="s">
        <v>6466</v>
      </c>
      <c r="I228" s="194">
        <v>0</v>
      </c>
      <c r="J228" s="194">
        <v>10934.15</v>
      </c>
      <c r="K228" s="222" t="s">
        <v>6601</v>
      </c>
      <c r="L228" s="183" t="s">
        <v>4707</v>
      </c>
      <c r="M228" s="957" t="s">
        <v>3726</v>
      </c>
      <c r="N228" s="957" t="s">
        <v>3726</v>
      </c>
      <c r="O228" s="987"/>
    </row>
    <row r="229" spans="1:15" s="182" customFormat="1" ht="21.75" customHeight="1" x14ac:dyDescent="0.15">
      <c r="A229" s="151" t="s">
        <v>6597</v>
      </c>
      <c r="B229" s="20" t="s">
        <v>6376</v>
      </c>
      <c r="C229" s="184" t="s">
        <v>4941</v>
      </c>
      <c r="D229" s="184" t="s">
        <v>4942</v>
      </c>
      <c r="E229" s="184" t="s">
        <v>6425</v>
      </c>
      <c r="F229" s="184" t="s">
        <v>5078</v>
      </c>
      <c r="G229" s="235" t="s">
        <v>3329</v>
      </c>
      <c r="H229" s="509" t="s">
        <v>6467</v>
      </c>
      <c r="I229" s="194">
        <v>0</v>
      </c>
      <c r="J229" s="194">
        <v>12829.15</v>
      </c>
      <c r="K229" s="222" t="s">
        <v>6601</v>
      </c>
      <c r="L229" s="183" t="s">
        <v>4707</v>
      </c>
      <c r="M229" s="957" t="s">
        <v>3726</v>
      </c>
      <c r="N229" s="957" t="s">
        <v>3726</v>
      </c>
      <c r="O229" s="987"/>
    </row>
    <row r="230" spans="1:15" s="182" customFormat="1" ht="21.75" customHeight="1" x14ac:dyDescent="0.15">
      <c r="A230" s="151" t="s">
        <v>6597</v>
      </c>
      <c r="B230" s="20" t="s">
        <v>6376</v>
      </c>
      <c r="C230" s="184" t="s">
        <v>4941</v>
      </c>
      <c r="D230" s="184" t="s">
        <v>4942</v>
      </c>
      <c r="E230" s="184" t="s">
        <v>6426</v>
      </c>
      <c r="F230" s="184" t="s">
        <v>5078</v>
      </c>
      <c r="G230" s="235" t="s">
        <v>3329</v>
      </c>
      <c r="H230" s="509" t="s">
        <v>6468</v>
      </c>
      <c r="I230" s="194">
        <v>0</v>
      </c>
      <c r="J230" s="194">
        <v>13587.15</v>
      </c>
      <c r="K230" s="222" t="s">
        <v>6601</v>
      </c>
      <c r="L230" s="183" t="s">
        <v>4707</v>
      </c>
      <c r="M230" s="957" t="s">
        <v>3726</v>
      </c>
      <c r="N230" s="957" t="s">
        <v>3726</v>
      </c>
      <c r="O230" s="987"/>
    </row>
    <row r="231" spans="1:15" s="182" customFormat="1" ht="21.75" customHeight="1" x14ac:dyDescent="0.15">
      <c r="A231" s="151" t="s">
        <v>6597</v>
      </c>
      <c r="B231" s="20" t="s">
        <v>6599</v>
      </c>
      <c r="C231" s="224" t="s">
        <v>3351</v>
      </c>
      <c r="D231" s="224" t="s">
        <v>3352</v>
      </c>
      <c r="E231" s="394" t="s">
        <v>2794</v>
      </c>
      <c r="F231" s="403" t="s">
        <v>3340</v>
      </c>
      <c r="G231" s="239" t="s">
        <v>3349</v>
      </c>
      <c r="H231" s="509">
        <v>23100</v>
      </c>
      <c r="I231" s="194">
        <v>0</v>
      </c>
      <c r="J231" s="194">
        <v>35000</v>
      </c>
      <c r="K231" s="185">
        <v>0.5</v>
      </c>
      <c r="L231" s="183" t="s">
        <v>285</v>
      </c>
      <c r="M231" s="957" t="s">
        <v>3726</v>
      </c>
      <c r="N231" s="957" t="s">
        <v>3726</v>
      </c>
      <c r="O231" s="986"/>
    </row>
    <row r="232" spans="1:15" s="182" customFormat="1" ht="21.75" customHeight="1" x14ac:dyDescent="0.15">
      <c r="A232" s="151" t="s">
        <v>6598</v>
      </c>
      <c r="B232" s="20" t="s">
        <v>167</v>
      </c>
      <c r="C232" s="184" t="s">
        <v>4982</v>
      </c>
      <c r="D232" s="184" t="s">
        <v>5721</v>
      </c>
      <c r="E232" s="184" t="s">
        <v>820</v>
      </c>
      <c r="F232" s="292" t="s">
        <v>3328</v>
      </c>
      <c r="G232" s="235" t="s">
        <v>3381</v>
      </c>
      <c r="H232" s="509">
        <v>24022</v>
      </c>
      <c r="I232" s="194">
        <v>0</v>
      </c>
      <c r="J232" s="194">
        <v>20000</v>
      </c>
      <c r="K232" s="185">
        <v>0.25</v>
      </c>
      <c r="L232" s="183" t="s">
        <v>285</v>
      </c>
      <c r="M232" s="184" t="s">
        <v>170</v>
      </c>
      <c r="N232" s="184" t="s">
        <v>170</v>
      </c>
      <c r="O232" s="986"/>
    </row>
    <row r="233" spans="1:15" s="182" customFormat="1" ht="21.75" customHeight="1" x14ac:dyDescent="0.15">
      <c r="A233" s="151" t="s">
        <v>6598</v>
      </c>
      <c r="B233" s="20" t="s">
        <v>360</v>
      </c>
      <c r="C233" s="184" t="s">
        <v>4982</v>
      </c>
      <c r="D233" s="184" t="s">
        <v>5721</v>
      </c>
      <c r="E233" s="184" t="s">
        <v>820</v>
      </c>
      <c r="F233" s="292" t="s">
        <v>3328</v>
      </c>
      <c r="G233" s="235" t="s">
        <v>3381</v>
      </c>
      <c r="H233" s="509">
        <v>24022</v>
      </c>
      <c r="I233" s="194">
        <v>0</v>
      </c>
      <c r="J233" s="194">
        <v>20000</v>
      </c>
      <c r="K233" s="185">
        <v>0.25</v>
      </c>
      <c r="L233" s="183" t="s">
        <v>285</v>
      </c>
      <c r="M233" s="184" t="s">
        <v>170</v>
      </c>
      <c r="N233" s="184" t="s">
        <v>170</v>
      </c>
      <c r="O233" s="986"/>
    </row>
    <row r="234" spans="1:15" s="182" customFormat="1" ht="21.75" customHeight="1" x14ac:dyDescent="0.15">
      <c r="A234" s="151" t="s">
        <v>6605</v>
      </c>
      <c r="B234" s="20" t="s">
        <v>627</v>
      </c>
      <c r="C234" s="945" t="s">
        <v>3376</v>
      </c>
      <c r="D234" s="427" t="s">
        <v>3516</v>
      </c>
      <c r="E234" s="958" t="s">
        <v>3871</v>
      </c>
      <c r="F234" s="945" t="s">
        <v>3332</v>
      </c>
      <c r="G234" s="460" t="s">
        <v>3566</v>
      </c>
      <c r="H234" s="509">
        <v>20190</v>
      </c>
      <c r="I234" s="194">
        <v>0</v>
      </c>
      <c r="J234" s="194">
        <v>100000</v>
      </c>
      <c r="K234" s="185" t="s">
        <v>6032</v>
      </c>
      <c r="L234" s="183" t="s">
        <v>285</v>
      </c>
      <c r="M234" s="184" t="s">
        <v>170</v>
      </c>
      <c r="N234" s="184" t="s">
        <v>170</v>
      </c>
      <c r="O234" s="989"/>
    </row>
    <row r="235" spans="1:15" s="182" customFormat="1" ht="21.75" customHeight="1" x14ac:dyDescent="0.15">
      <c r="A235" s="151" t="s">
        <v>6605</v>
      </c>
      <c r="B235" s="20" t="s">
        <v>1869</v>
      </c>
      <c r="C235" s="945" t="s">
        <v>3376</v>
      </c>
      <c r="D235" s="945" t="s">
        <v>3682</v>
      </c>
      <c r="E235" s="945" t="s">
        <v>4243</v>
      </c>
      <c r="F235" s="945" t="s">
        <v>3332</v>
      </c>
      <c r="G235" s="460" t="s">
        <v>3566</v>
      </c>
      <c r="H235" s="509">
        <v>20192</v>
      </c>
      <c r="I235" s="194">
        <v>0</v>
      </c>
      <c r="J235" s="194">
        <v>70000</v>
      </c>
      <c r="K235" s="185" t="s">
        <v>6032</v>
      </c>
      <c r="L235" s="183" t="s">
        <v>285</v>
      </c>
      <c r="M235" s="184" t="s">
        <v>170</v>
      </c>
      <c r="N235" s="184" t="s">
        <v>170</v>
      </c>
      <c r="O235" s="996"/>
    </row>
    <row r="236" spans="1:15" s="182" customFormat="1" ht="21.75" customHeight="1" x14ac:dyDescent="0.15">
      <c r="A236" s="151" t="s">
        <v>6606</v>
      </c>
      <c r="B236" s="20" t="s">
        <v>1562</v>
      </c>
      <c r="C236" s="945" t="s">
        <v>3376</v>
      </c>
      <c r="D236" s="945" t="s">
        <v>3682</v>
      </c>
      <c r="E236" s="391" t="s">
        <v>3683</v>
      </c>
      <c r="F236" s="945" t="s">
        <v>3332</v>
      </c>
      <c r="G236" s="460" t="s">
        <v>3566</v>
      </c>
      <c r="H236" s="509">
        <v>20191</v>
      </c>
      <c r="I236" s="194">
        <v>0</v>
      </c>
      <c r="J236" s="194">
        <v>70000</v>
      </c>
      <c r="K236" s="185" t="s">
        <v>6032</v>
      </c>
      <c r="L236" s="183" t="s">
        <v>285</v>
      </c>
      <c r="M236" s="184" t="s">
        <v>170</v>
      </c>
      <c r="N236" s="184" t="s">
        <v>170</v>
      </c>
      <c r="O236" s="989"/>
    </row>
    <row r="237" spans="1:15" s="182" customFormat="1" ht="21.75" customHeight="1" x14ac:dyDescent="0.15">
      <c r="A237" s="151" t="s">
        <v>6606</v>
      </c>
      <c r="B237" s="20" t="s">
        <v>2690</v>
      </c>
      <c r="C237" s="945" t="s">
        <v>3376</v>
      </c>
      <c r="D237" s="945" t="s">
        <v>3682</v>
      </c>
      <c r="E237" s="945" t="s">
        <v>4245</v>
      </c>
      <c r="F237" s="945" t="s">
        <v>3332</v>
      </c>
      <c r="G237" s="460" t="s">
        <v>3566</v>
      </c>
      <c r="H237" s="509">
        <v>20193</v>
      </c>
      <c r="I237" s="194">
        <v>0</v>
      </c>
      <c r="J237" s="194">
        <v>70000</v>
      </c>
      <c r="K237" s="185" t="s">
        <v>6032</v>
      </c>
      <c r="L237" s="183" t="s">
        <v>285</v>
      </c>
      <c r="M237" s="184" t="s">
        <v>170</v>
      </c>
      <c r="N237" s="184" t="s">
        <v>170</v>
      </c>
      <c r="O237" s="989"/>
    </row>
    <row r="238" spans="1:15" s="182" customFormat="1" ht="21.75" customHeight="1" x14ac:dyDescent="0.15">
      <c r="A238" s="151" t="s">
        <v>6607</v>
      </c>
      <c r="B238" s="20" t="s">
        <v>3123</v>
      </c>
      <c r="C238" s="392" t="s">
        <v>3384</v>
      </c>
      <c r="D238" s="392" t="s">
        <v>3347</v>
      </c>
      <c r="E238" s="392" t="s">
        <v>3952</v>
      </c>
      <c r="F238" s="418" t="s">
        <v>3328</v>
      </c>
      <c r="G238" s="460" t="s">
        <v>3378</v>
      </c>
      <c r="H238" s="509">
        <v>18143</v>
      </c>
      <c r="I238" s="194">
        <v>0</v>
      </c>
      <c r="J238" s="194">
        <v>27850</v>
      </c>
      <c r="K238" s="185">
        <v>0.05</v>
      </c>
      <c r="L238" s="183" t="s">
        <v>1143</v>
      </c>
      <c r="M238" s="945" t="s">
        <v>4708</v>
      </c>
      <c r="N238" s="958" t="s">
        <v>4708</v>
      </c>
      <c r="O238" s="990"/>
    </row>
    <row r="239" spans="1:15" s="182" customFormat="1" ht="21.75" customHeight="1" x14ac:dyDescent="0.15">
      <c r="A239" s="151" t="s">
        <v>6607</v>
      </c>
      <c r="B239" s="20" t="s">
        <v>3123</v>
      </c>
      <c r="C239" s="184" t="s">
        <v>5834</v>
      </c>
      <c r="D239" s="184" t="s">
        <v>5541</v>
      </c>
      <c r="E239" s="184" t="s">
        <v>6609</v>
      </c>
      <c r="F239" s="184" t="s">
        <v>5078</v>
      </c>
      <c r="G239" s="235" t="s">
        <v>6610</v>
      </c>
      <c r="H239" s="509">
        <v>23141</v>
      </c>
      <c r="I239" s="194">
        <v>0</v>
      </c>
      <c r="J239" s="194">
        <v>32980</v>
      </c>
      <c r="K239" s="185">
        <v>0.97</v>
      </c>
      <c r="L239" s="183" t="s">
        <v>1147</v>
      </c>
      <c r="M239" s="945" t="s">
        <v>4708</v>
      </c>
      <c r="N239" s="958" t="s">
        <v>4708</v>
      </c>
      <c r="O239" s="990"/>
    </row>
    <row r="240" spans="1:15" s="182" customFormat="1" ht="21.75" customHeight="1" x14ac:dyDescent="0.15">
      <c r="A240" s="151" t="s">
        <v>6607</v>
      </c>
      <c r="B240" s="20" t="s">
        <v>1618</v>
      </c>
      <c r="C240" s="391" t="s">
        <v>3337</v>
      </c>
      <c r="D240" s="992" t="s">
        <v>3702</v>
      </c>
      <c r="E240" s="391" t="s">
        <v>4589</v>
      </c>
      <c r="F240" s="945" t="s">
        <v>3340</v>
      </c>
      <c r="G240" s="460" t="s">
        <v>3566</v>
      </c>
      <c r="H240" s="972">
        <v>21027</v>
      </c>
      <c r="I240" s="194">
        <v>0</v>
      </c>
      <c r="J240" s="194">
        <v>70000</v>
      </c>
      <c r="K240" s="185" t="s">
        <v>6032</v>
      </c>
      <c r="L240" s="183" t="s">
        <v>285</v>
      </c>
      <c r="M240" s="945" t="s">
        <v>4957</v>
      </c>
      <c r="N240" s="945" t="s">
        <v>3726</v>
      </c>
      <c r="O240" s="990"/>
    </row>
    <row r="241" spans="1:15" s="182" customFormat="1" ht="21.75" customHeight="1" x14ac:dyDescent="0.15">
      <c r="A241" s="151" t="s">
        <v>6607</v>
      </c>
      <c r="B241" s="20" t="s">
        <v>1141</v>
      </c>
      <c r="C241" s="224" t="s">
        <v>3351</v>
      </c>
      <c r="D241" s="224" t="s">
        <v>3352</v>
      </c>
      <c r="E241" s="394" t="s">
        <v>3689</v>
      </c>
      <c r="F241" s="184" t="s">
        <v>5078</v>
      </c>
      <c r="G241" s="235" t="s">
        <v>6577</v>
      </c>
      <c r="H241" s="509">
        <v>23133</v>
      </c>
      <c r="I241" s="194">
        <v>0</v>
      </c>
      <c r="J241" s="194">
        <v>47500</v>
      </c>
      <c r="K241" s="185">
        <v>1</v>
      </c>
      <c r="L241" s="183" t="s">
        <v>1948</v>
      </c>
      <c r="M241" s="184" t="s">
        <v>5255</v>
      </c>
      <c r="N241" s="184" t="s">
        <v>5255</v>
      </c>
      <c r="O241" s="990"/>
    </row>
    <row r="242" spans="1:15" s="182" customFormat="1" ht="21.75" customHeight="1" x14ac:dyDescent="0.15">
      <c r="A242" s="151" t="s">
        <v>6607</v>
      </c>
      <c r="B242" s="20" t="s">
        <v>227</v>
      </c>
      <c r="C242" s="399" t="s">
        <v>3351</v>
      </c>
      <c r="D242" s="399" t="s">
        <v>3352</v>
      </c>
      <c r="E242" s="399" t="s">
        <v>2866</v>
      </c>
      <c r="F242" s="184" t="s">
        <v>5078</v>
      </c>
      <c r="G242" s="235" t="s">
        <v>6577</v>
      </c>
      <c r="H242" s="509" t="s">
        <v>6611</v>
      </c>
      <c r="I242" s="194">
        <v>0</v>
      </c>
      <c r="J242" s="194">
        <v>47500</v>
      </c>
      <c r="K242" s="185">
        <v>1</v>
      </c>
      <c r="L242" s="183" t="s">
        <v>1948</v>
      </c>
      <c r="M242" s="184" t="s">
        <v>5255</v>
      </c>
      <c r="N242" s="184" t="s">
        <v>5255</v>
      </c>
      <c r="O242" s="990"/>
    </row>
    <row r="243" spans="1:15" s="182" customFormat="1" ht="21.75" customHeight="1" x14ac:dyDescent="0.15">
      <c r="A243" s="151" t="s">
        <v>6607</v>
      </c>
      <c r="B243" s="20" t="s">
        <v>227</v>
      </c>
      <c r="C243" s="399" t="s">
        <v>3351</v>
      </c>
      <c r="D243" s="399" t="s">
        <v>3352</v>
      </c>
      <c r="E243" s="399" t="s">
        <v>2867</v>
      </c>
      <c r="F243" s="184" t="s">
        <v>5078</v>
      </c>
      <c r="G243" s="235" t="s">
        <v>6577</v>
      </c>
      <c r="H243" s="509" t="s">
        <v>6612</v>
      </c>
      <c r="I243" s="194">
        <v>0</v>
      </c>
      <c r="J243" s="194">
        <v>47500</v>
      </c>
      <c r="K243" s="185">
        <v>1</v>
      </c>
      <c r="L243" s="183" t="s">
        <v>1948</v>
      </c>
      <c r="M243" s="184" t="s">
        <v>5255</v>
      </c>
      <c r="N243" s="184" t="s">
        <v>5255</v>
      </c>
      <c r="O243" s="991"/>
    </row>
    <row r="244" spans="1:15" s="182" customFormat="1" ht="21.75" customHeight="1" x14ac:dyDescent="0.15">
      <c r="A244" s="151" t="s">
        <v>6607</v>
      </c>
      <c r="B244" s="20" t="s">
        <v>227</v>
      </c>
      <c r="C244" s="399" t="s">
        <v>3351</v>
      </c>
      <c r="D244" s="399" t="s">
        <v>3352</v>
      </c>
      <c r="E244" s="399" t="s">
        <v>2870</v>
      </c>
      <c r="F244" s="184" t="s">
        <v>5078</v>
      </c>
      <c r="G244" s="235" t="s">
        <v>6577</v>
      </c>
      <c r="H244" s="509" t="s">
        <v>6613</v>
      </c>
      <c r="I244" s="194">
        <v>0</v>
      </c>
      <c r="J244" s="194">
        <v>47500</v>
      </c>
      <c r="K244" s="185">
        <v>1</v>
      </c>
      <c r="L244" s="183" t="s">
        <v>1948</v>
      </c>
      <c r="M244" s="184" t="s">
        <v>5255</v>
      </c>
      <c r="N244" s="184" t="s">
        <v>5255</v>
      </c>
      <c r="O244" s="991"/>
    </row>
    <row r="245" spans="1:15" s="182" customFormat="1" ht="21.75" customHeight="1" x14ac:dyDescent="0.15">
      <c r="A245" s="151" t="s">
        <v>6607</v>
      </c>
      <c r="B245" s="20" t="s">
        <v>3687</v>
      </c>
      <c r="C245" s="224" t="s">
        <v>3351</v>
      </c>
      <c r="D245" s="224" t="s">
        <v>3352</v>
      </c>
      <c r="E245" s="394" t="s">
        <v>3688</v>
      </c>
      <c r="F245" s="224" t="s">
        <v>3328</v>
      </c>
      <c r="G245" s="235" t="s">
        <v>6577</v>
      </c>
      <c r="H245" s="509">
        <v>23138</v>
      </c>
      <c r="I245" s="194">
        <v>0</v>
      </c>
      <c r="J245" s="194">
        <v>47500</v>
      </c>
      <c r="K245" s="185">
        <v>1</v>
      </c>
      <c r="L245" s="183" t="s">
        <v>1948</v>
      </c>
      <c r="M245" s="184" t="s">
        <v>5255</v>
      </c>
      <c r="N245" s="184" t="s">
        <v>5255</v>
      </c>
      <c r="O245" s="990"/>
    </row>
    <row r="246" spans="1:15" s="182" customFormat="1" ht="21.75" customHeight="1" x14ac:dyDescent="0.15">
      <c r="A246" s="151" t="s">
        <v>6607</v>
      </c>
      <c r="B246" s="20" t="s">
        <v>227</v>
      </c>
      <c r="C246" s="399" t="s">
        <v>3351</v>
      </c>
      <c r="D246" s="399" t="s">
        <v>3352</v>
      </c>
      <c r="E246" s="399" t="s">
        <v>2866</v>
      </c>
      <c r="F246" s="184" t="s">
        <v>5078</v>
      </c>
      <c r="G246" s="235" t="s">
        <v>3349</v>
      </c>
      <c r="H246" s="981" t="s">
        <v>6572</v>
      </c>
      <c r="I246" s="194">
        <v>0</v>
      </c>
      <c r="J246" s="194">
        <v>28000</v>
      </c>
      <c r="K246" s="185">
        <v>0.4</v>
      </c>
      <c r="L246" s="183" t="s">
        <v>1143</v>
      </c>
      <c r="M246" s="184" t="s">
        <v>5255</v>
      </c>
      <c r="N246" s="184" t="s">
        <v>5255</v>
      </c>
      <c r="O246" s="990"/>
    </row>
    <row r="247" spans="1:15" s="182" customFormat="1" ht="21.75" customHeight="1" x14ac:dyDescent="0.15">
      <c r="A247" s="151" t="s">
        <v>6607</v>
      </c>
      <c r="B247" s="20" t="s">
        <v>227</v>
      </c>
      <c r="C247" s="399" t="s">
        <v>3351</v>
      </c>
      <c r="D247" s="399" t="s">
        <v>3352</v>
      </c>
      <c r="E247" s="399" t="s">
        <v>2867</v>
      </c>
      <c r="F247" s="184" t="s">
        <v>5078</v>
      </c>
      <c r="G247" s="235" t="s">
        <v>3381</v>
      </c>
      <c r="H247" s="981" t="s">
        <v>6573</v>
      </c>
      <c r="I247" s="194">
        <v>0</v>
      </c>
      <c r="J247" s="194">
        <v>28000</v>
      </c>
      <c r="K247" s="185">
        <v>0.4</v>
      </c>
      <c r="L247" s="183" t="s">
        <v>1143</v>
      </c>
      <c r="M247" s="184" t="s">
        <v>5255</v>
      </c>
      <c r="N247" s="184" t="s">
        <v>5255</v>
      </c>
      <c r="O247" s="991"/>
    </row>
    <row r="248" spans="1:15" s="182" customFormat="1" ht="21.75" customHeight="1" x14ac:dyDescent="0.15">
      <c r="A248" s="151" t="s">
        <v>6607</v>
      </c>
      <c r="B248" s="20" t="s">
        <v>227</v>
      </c>
      <c r="C248" s="399" t="s">
        <v>3351</v>
      </c>
      <c r="D248" s="399" t="s">
        <v>3352</v>
      </c>
      <c r="E248" s="399" t="s">
        <v>2870</v>
      </c>
      <c r="F248" s="184" t="s">
        <v>5078</v>
      </c>
      <c r="G248" s="235" t="s">
        <v>3381</v>
      </c>
      <c r="H248" s="981" t="s">
        <v>6574</v>
      </c>
      <c r="I248" s="194">
        <v>0</v>
      </c>
      <c r="J248" s="194">
        <v>28000</v>
      </c>
      <c r="K248" s="185">
        <v>0.4</v>
      </c>
      <c r="L248" s="183" t="s">
        <v>1143</v>
      </c>
      <c r="M248" s="184" t="s">
        <v>5255</v>
      </c>
      <c r="N248" s="184" t="s">
        <v>5255</v>
      </c>
      <c r="O248" s="991"/>
    </row>
    <row r="249" spans="1:15" s="182" customFormat="1" ht="21.75" customHeight="1" x14ac:dyDescent="0.15">
      <c r="A249" s="151" t="s">
        <v>6608</v>
      </c>
      <c r="B249" s="20" t="s">
        <v>176</v>
      </c>
      <c r="C249" s="392" t="s">
        <v>3414</v>
      </c>
      <c r="D249" s="945" t="s">
        <v>3347</v>
      </c>
      <c r="E249" s="945" t="s">
        <v>6614</v>
      </c>
      <c r="F249" s="392" t="s">
        <v>3328</v>
      </c>
      <c r="G249" s="460" t="s">
        <v>3704</v>
      </c>
      <c r="H249" s="946">
        <v>16067</v>
      </c>
      <c r="I249" s="194">
        <v>0</v>
      </c>
      <c r="J249" s="194">
        <v>38760</v>
      </c>
      <c r="K249" s="185">
        <v>0.1</v>
      </c>
      <c r="L249" s="183" t="s">
        <v>1143</v>
      </c>
      <c r="M249" s="184" t="s">
        <v>170</v>
      </c>
      <c r="N249" s="184" t="s">
        <v>170</v>
      </c>
      <c r="O249" s="990"/>
    </row>
    <row r="250" spans="1:15" s="182" customFormat="1" ht="21.75" customHeight="1" x14ac:dyDescent="0.15">
      <c r="A250" s="151" t="s">
        <v>6608</v>
      </c>
      <c r="B250" s="20" t="s">
        <v>176</v>
      </c>
      <c r="C250" s="392" t="s">
        <v>3414</v>
      </c>
      <c r="D250" s="945" t="s">
        <v>3347</v>
      </c>
      <c r="E250" s="945" t="s">
        <v>1742</v>
      </c>
      <c r="F250" s="392" t="s">
        <v>3328</v>
      </c>
      <c r="G250" s="460" t="s">
        <v>5322</v>
      </c>
      <c r="H250" s="946">
        <v>16068</v>
      </c>
      <c r="I250" s="194">
        <v>0</v>
      </c>
      <c r="J250" s="194">
        <v>60700</v>
      </c>
      <c r="K250" s="185">
        <v>0.1</v>
      </c>
      <c r="L250" s="183" t="s">
        <v>2449</v>
      </c>
      <c r="M250" s="184" t="s">
        <v>170</v>
      </c>
      <c r="N250" s="184" t="s">
        <v>170</v>
      </c>
      <c r="O250" s="993"/>
    </row>
    <row r="251" spans="1:15" s="182" customFormat="1" ht="21.75" customHeight="1" x14ac:dyDescent="0.15">
      <c r="A251" s="151" t="s">
        <v>6608</v>
      </c>
      <c r="B251" s="20" t="s">
        <v>176</v>
      </c>
      <c r="C251" s="945" t="s">
        <v>3414</v>
      </c>
      <c r="D251" s="945" t="s">
        <v>3415</v>
      </c>
      <c r="E251" s="952" t="s">
        <v>3416</v>
      </c>
      <c r="F251" s="945" t="s">
        <v>3332</v>
      </c>
      <c r="G251" s="460" t="s">
        <v>3417</v>
      </c>
      <c r="H251" s="509">
        <v>18005</v>
      </c>
      <c r="I251" s="194">
        <v>0</v>
      </c>
      <c r="J251" s="194">
        <v>43920</v>
      </c>
      <c r="K251" s="185">
        <v>0.1</v>
      </c>
      <c r="L251" s="183" t="s">
        <v>2449</v>
      </c>
      <c r="M251" s="184" t="s">
        <v>170</v>
      </c>
      <c r="N251" s="184" t="s">
        <v>170</v>
      </c>
      <c r="O251" s="993"/>
    </row>
    <row r="252" spans="1:15" s="182" customFormat="1" ht="21.75" customHeight="1" x14ac:dyDescent="0.15">
      <c r="A252" s="151" t="s">
        <v>6608</v>
      </c>
      <c r="B252" s="20" t="s">
        <v>176</v>
      </c>
      <c r="C252" s="945" t="s">
        <v>3414</v>
      </c>
      <c r="D252" s="427" t="s">
        <v>3347</v>
      </c>
      <c r="E252" s="958" t="s">
        <v>4095</v>
      </c>
      <c r="F252" s="945" t="s">
        <v>3328</v>
      </c>
      <c r="G252" s="460" t="s">
        <v>3353</v>
      </c>
      <c r="H252" s="509">
        <v>20004</v>
      </c>
      <c r="I252" s="194">
        <v>0</v>
      </c>
      <c r="J252" s="194">
        <v>3235</v>
      </c>
      <c r="K252" s="185">
        <v>0.05</v>
      </c>
      <c r="L252" s="183" t="s">
        <v>1143</v>
      </c>
      <c r="M252" s="184" t="s">
        <v>170</v>
      </c>
      <c r="N252" s="184" t="s">
        <v>170</v>
      </c>
      <c r="O252" s="993"/>
    </row>
    <row r="253" spans="1:15" s="182" customFormat="1" ht="21.75" customHeight="1" x14ac:dyDescent="0.15">
      <c r="A253" s="151" t="s">
        <v>6608</v>
      </c>
      <c r="B253" s="20" t="s">
        <v>176</v>
      </c>
      <c r="C253" s="392" t="s">
        <v>3414</v>
      </c>
      <c r="D253" s="392" t="s">
        <v>3347</v>
      </c>
      <c r="E253" s="957" t="s">
        <v>4167</v>
      </c>
      <c r="F253" s="952" t="s">
        <v>3328</v>
      </c>
      <c r="G253" s="954" t="s">
        <v>3353</v>
      </c>
      <c r="H253" s="509">
        <v>18109</v>
      </c>
      <c r="I253" s="194">
        <v>0</v>
      </c>
      <c r="J253" s="194">
        <v>1554.95</v>
      </c>
      <c r="K253" s="185">
        <v>0.05</v>
      </c>
      <c r="L253" s="183" t="s">
        <v>1147</v>
      </c>
      <c r="M253" s="184" t="s">
        <v>170</v>
      </c>
      <c r="N253" s="184" t="s">
        <v>170</v>
      </c>
      <c r="O253" s="990"/>
    </row>
    <row r="254" spans="1:15" s="182" customFormat="1" ht="21.75" customHeight="1" x14ac:dyDescent="0.15">
      <c r="A254" s="151" t="s">
        <v>6608</v>
      </c>
      <c r="B254" s="20" t="s">
        <v>176</v>
      </c>
      <c r="C254" s="392" t="s">
        <v>3414</v>
      </c>
      <c r="D254" s="392" t="s">
        <v>3347</v>
      </c>
      <c r="E254" s="957" t="s">
        <v>4167</v>
      </c>
      <c r="F254" s="952" t="s">
        <v>3328</v>
      </c>
      <c r="G254" s="954" t="s">
        <v>3353</v>
      </c>
      <c r="H254" s="509">
        <v>18109</v>
      </c>
      <c r="I254" s="194">
        <v>0</v>
      </c>
      <c r="J254" s="194">
        <v>1554.96</v>
      </c>
      <c r="K254" s="185">
        <v>0.05</v>
      </c>
      <c r="L254" s="183" t="s">
        <v>1143</v>
      </c>
      <c r="M254" s="184" t="s">
        <v>170</v>
      </c>
      <c r="N254" s="184" t="s">
        <v>170</v>
      </c>
      <c r="O254" s="990"/>
    </row>
    <row r="255" spans="1:15" s="182" customFormat="1" ht="21.75" customHeight="1" x14ac:dyDescent="0.15">
      <c r="A255" s="151" t="s">
        <v>6608</v>
      </c>
      <c r="B255" s="20" t="s">
        <v>6615</v>
      </c>
      <c r="C255" s="224" t="s">
        <v>3351</v>
      </c>
      <c r="D255" s="224" t="s">
        <v>3352</v>
      </c>
      <c r="E255" s="394" t="s">
        <v>6616</v>
      </c>
      <c r="F255" s="184" t="s">
        <v>5078</v>
      </c>
      <c r="G255" s="235" t="s">
        <v>6577</v>
      </c>
      <c r="H255" s="509">
        <v>23134</v>
      </c>
      <c r="I255" s="194">
        <v>0</v>
      </c>
      <c r="J255" s="194">
        <v>47500</v>
      </c>
      <c r="K255" s="185">
        <v>1</v>
      </c>
      <c r="L255" s="183" t="s">
        <v>1948</v>
      </c>
      <c r="M255" s="184" t="s">
        <v>5255</v>
      </c>
      <c r="N255" s="184" t="s">
        <v>5255</v>
      </c>
      <c r="O255" s="994"/>
    </row>
    <row r="256" spans="1:15" s="182" customFormat="1" ht="21.75" customHeight="1" x14ac:dyDescent="0.15">
      <c r="A256" s="151" t="s">
        <v>6617</v>
      </c>
      <c r="B256" s="20" t="s">
        <v>6385</v>
      </c>
      <c r="C256" s="184" t="s">
        <v>4963</v>
      </c>
      <c r="D256" s="184" t="s">
        <v>6434</v>
      </c>
      <c r="E256" s="184" t="s">
        <v>6435</v>
      </c>
      <c r="F256" s="184" t="s">
        <v>4944</v>
      </c>
      <c r="G256" s="235" t="s">
        <v>3345</v>
      </c>
      <c r="H256" s="994" t="s">
        <v>6618</v>
      </c>
      <c r="I256" s="194">
        <v>56000</v>
      </c>
      <c r="J256" s="194">
        <v>0</v>
      </c>
      <c r="K256" s="185">
        <v>0.4</v>
      </c>
      <c r="L256" s="183" t="s">
        <v>6622</v>
      </c>
      <c r="M256" s="184" t="s">
        <v>5765</v>
      </c>
      <c r="N256" s="184" t="s">
        <v>5765</v>
      </c>
      <c r="O256" s="997" t="s">
        <v>6623</v>
      </c>
    </row>
    <row r="257" spans="1:15" s="182" customFormat="1" ht="21.75" customHeight="1" x14ac:dyDescent="0.15">
      <c r="A257" s="151" t="s">
        <v>6617</v>
      </c>
      <c r="B257" s="20" t="s">
        <v>6385</v>
      </c>
      <c r="C257" s="184" t="s">
        <v>4963</v>
      </c>
      <c r="D257" s="184" t="s">
        <v>6434</v>
      </c>
      <c r="E257" s="184" t="s">
        <v>6436</v>
      </c>
      <c r="F257" s="184" t="s">
        <v>4944</v>
      </c>
      <c r="G257" s="235" t="s">
        <v>3345</v>
      </c>
      <c r="H257" s="995" t="s">
        <v>6619</v>
      </c>
      <c r="I257" s="194">
        <v>56000</v>
      </c>
      <c r="J257" s="194">
        <v>0</v>
      </c>
      <c r="K257" s="185">
        <v>0.4</v>
      </c>
      <c r="L257" s="183" t="s">
        <v>6622</v>
      </c>
      <c r="M257" s="184" t="s">
        <v>5765</v>
      </c>
      <c r="N257" s="184" t="s">
        <v>5765</v>
      </c>
      <c r="O257" s="997" t="s">
        <v>6623</v>
      </c>
    </row>
    <row r="258" spans="1:15" s="182" customFormat="1" ht="21.75" customHeight="1" x14ac:dyDescent="0.15">
      <c r="A258" s="151" t="s">
        <v>6617</v>
      </c>
      <c r="B258" s="20" t="s">
        <v>6385</v>
      </c>
      <c r="C258" s="184" t="s">
        <v>4963</v>
      </c>
      <c r="D258" s="184" t="s">
        <v>6434</v>
      </c>
      <c r="E258" s="184" t="s">
        <v>6437</v>
      </c>
      <c r="F258" s="184" t="s">
        <v>4944</v>
      </c>
      <c r="G258" s="235" t="s">
        <v>3345</v>
      </c>
      <c r="H258" s="995" t="s">
        <v>6620</v>
      </c>
      <c r="I258" s="194">
        <v>64000</v>
      </c>
      <c r="J258" s="194">
        <v>0</v>
      </c>
      <c r="K258" s="185">
        <v>0.4</v>
      </c>
      <c r="L258" s="183" t="s">
        <v>6622</v>
      </c>
      <c r="M258" s="184" t="s">
        <v>5765</v>
      </c>
      <c r="N258" s="184" t="s">
        <v>5765</v>
      </c>
      <c r="O258" s="997" t="s">
        <v>6623</v>
      </c>
    </row>
    <row r="259" spans="1:15" s="182" customFormat="1" ht="21.75" customHeight="1" x14ac:dyDescent="0.15">
      <c r="A259" s="151" t="s">
        <v>6617</v>
      </c>
      <c r="B259" s="20" t="s">
        <v>6385</v>
      </c>
      <c r="C259" s="184" t="s">
        <v>4963</v>
      </c>
      <c r="D259" s="184" t="s">
        <v>6434</v>
      </c>
      <c r="E259" s="184" t="s">
        <v>6438</v>
      </c>
      <c r="F259" s="184" t="s">
        <v>4944</v>
      </c>
      <c r="G259" s="235" t="s">
        <v>3345</v>
      </c>
      <c r="H259" s="995" t="s">
        <v>6621</v>
      </c>
      <c r="I259" s="194">
        <v>64000</v>
      </c>
      <c r="J259" s="194">
        <v>0</v>
      </c>
      <c r="K259" s="185">
        <v>0.4</v>
      </c>
      <c r="L259" s="183" t="s">
        <v>6622</v>
      </c>
      <c r="M259" s="184" t="s">
        <v>5765</v>
      </c>
      <c r="N259" s="184" t="s">
        <v>5765</v>
      </c>
      <c r="O259" s="997" t="s">
        <v>6623</v>
      </c>
    </row>
    <row r="260" spans="1:15" s="182" customFormat="1" ht="21.75" customHeight="1" x14ac:dyDescent="0.15">
      <c r="A260" s="151" t="s">
        <v>6624</v>
      </c>
      <c r="B260" s="20" t="s">
        <v>6632</v>
      </c>
      <c r="C260" s="998" t="s">
        <v>4963</v>
      </c>
      <c r="D260" s="998" t="s">
        <v>4942</v>
      </c>
      <c r="E260" s="998" t="s">
        <v>6634</v>
      </c>
      <c r="F260" s="207" t="s">
        <v>3328</v>
      </c>
      <c r="G260" s="235" t="s">
        <v>5658</v>
      </c>
      <c r="H260" s="509">
        <v>24024</v>
      </c>
      <c r="I260" s="194">
        <v>0</v>
      </c>
      <c r="J260" s="194">
        <v>12000</v>
      </c>
      <c r="K260" s="185">
        <v>0.1</v>
      </c>
      <c r="L260" s="183" t="s">
        <v>1162</v>
      </c>
      <c r="M260" s="184" t="s">
        <v>5765</v>
      </c>
      <c r="N260" s="184" t="s">
        <v>5765</v>
      </c>
      <c r="O260" s="998"/>
    </row>
    <row r="261" spans="1:15" s="182" customFormat="1" ht="49.5" customHeight="1" x14ac:dyDescent="0.15">
      <c r="A261" s="151" t="s">
        <v>6625</v>
      </c>
      <c r="B261" s="849" t="s">
        <v>6541</v>
      </c>
      <c r="C261" s="224" t="s">
        <v>3351</v>
      </c>
      <c r="D261" s="224" t="s">
        <v>3352</v>
      </c>
      <c r="E261" s="184" t="s">
        <v>2795</v>
      </c>
      <c r="F261" s="403" t="s">
        <v>3328</v>
      </c>
      <c r="G261" s="239" t="s">
        <v>5240</v>
      </c>
      <c r="H261" s="509">
        <v>22054</v>
      </c>
      <c r="I261" s="194">
        <v>0</v>
      </c>
      <c r="J261" s="194">
        <v>25000</v>
      </c>
      <c r="K261" s="185">
        <v>1</v>
      </c>
      <c r="L261" s="183" t="s">
        <v>1948</v>
      </c>
      <c r="M261" s="184" t="s">
        <v>1784</v>
      </c>
      <c r="N261" s="184" t="s">
        <v>1784</v>
      </c>
      <c r="O261" s="998"/>
    </row>
    <row r="262" spans="1:15" s="182" customFormat="1" ht="21.75" customHeight="1" x14ac:dyDescent="0.15">
      <c r="A262" s="151" t="s">
        <v>6626</v>
      </c>
      <c r="B262" s="20" t="s">
        <v>1431</v>
      </c>
      <c r="C262" s="224" t="s">
        <v>3351</v>
      </c>
      <c r="D262" s="224" t="s">
        <v>3352</v>
      </c>
      <c r="E262" s="409" t="s">
        <v>2796</v>
      </c>
      <c r="F262" s="403" t="s">
        <v>3328</v>
      </c>
      <c r="G262" s="239" t="s">
        <v>5240</v>
      </c>
      <c r="H262" s="509">
        <v>22058</v>
      </c>
      <c r="I262" s="194">
        <v>0</v>
      </c>
      <c r="J262" s="194">
        <v>25000</v>
      </c>
      <c r="K262" s="185">
        <v>1</v>
      </c>
      <c r="L262" s="183" t="s">
        <v>1948</v>
      </c>
      <c r="M262" s="184" t="s">
        <v>1784</v>
      </c>
      <c r="N262" s="184" t="s">
        <v>1784</v>
      </c>
      <c r="O262" s="998"/>
    </row>
    <row r="263" spans="1:15" s="182" customFormat="1" ht="21.75" customHeight="1" x14ac:dyDescent="0.15">
      <c r="A263" s="151" t="s">
        <v>6627</v>
      </c>
      <c r="B263" s="20" t="s">
        <v>6628</v>
      </c>
      <c r="C263" s="945" t="s">
        <v>3985</v>
      </c>
      <c r="D263" s="945" t="s">
        <v>6480</v>
      </c>
      <c r="E263" s="952" t="s">
        <v>6481</v>
      </c>
      <c r="F263" s="952" t="s">
        <v>3332</v>
      </c>
      <c r="G263" s="430" t="s">
        <v>4558</v>
      </c>
      <c r="H263" s="509" t="s">
        <v>6478</v>
      </c>
      <c r="I263" s="194">
        <v>128000</v>
      </c>
      <c r="J263" s="194">
        <v>0</v>
      </c>
      <c r="K263" s="185">
        <v>0.4</v>
      </c>
      <c r="L263" s="183" t="s">
        <v>1948</v>
      </c>
      <c r="M263" s="184" t="s">
        <v>5765</v>
      </c>
      <c r="N263" s="184" t="s">
        <v>5765</v>
      </c>
      <c r="O263" s="999" t="s">
        <v>6640</v>
      </c>
    </row>
    <row r="264" spans="1:15" s="182" customFormat="1" ht="21.75" customHeight="1" x14ac:dyDescent="0.15">
      <c r="A264" s="151" t="s">
        <v>6627</v>
      </c>
      <c r="B264" s="20" t="s">
        <v>6628</v>
      </c>
      <c r="C264" s="945" t="s">
        <v>3985</v>
      </c>
      <c r="D264" s="945" t="s">
        <v>6480</v>
      </c>
      <c r="E264" s="952" t="s">
        <v>6482</v>
      </c>
      <c r="F264" s="952" t="s">
        <v>3332</v>
      </c>
      <c r="G264" s="430" t="s">
        <v>4558</v>
      </c>
      <c r="H264" s="509" t="s">
        <v>6479</v>
      </c>
      <c r="I264" s="194">
        <v>128000</v>
      </c>
      <c r="J264" s="194">
        <v>0</v>
      </c>
      <c r="K264" s="185">
        <v>0.4</v>
      </c>
      <c r="L264" s="183" t="s">
        <v>1948</v>
      </c>
      <c r="M264" s="184" t="s">
        <v>5765</v>
      </c>
      <c r="N264" s="184" t="s">
        <v>5765</v>
      </c>
      <c r="O264" s="999" t="s">
        <v>6640</v>
      </c>
    </row>
    <row r="265" spans="1:15" s="182" customFormat="1" ht="21.75" customHeight="1" x14ac:dyDescent="0.15">
      <c r="A265" s="151" t="s">
        <v>6629</v>
      </c>
      <c r="B265" s="20" t="s">
        <v>6633</v>
      </c>
      <c r="C265" s="945" t="s">
        <v>3985</v>
      </c>
      <c r="D265" s="945" t="s">
        <v>3572</v>
      </c>
      <c r="E265" s="952" t="s">
        <v>5697</v>
      </c>
      <c r="F265" s="952" t="s">
        <v>3328</v>
      </c>
      <c r="G265" s="430" t="s">
        <v>6639</v>
      </c>
      <c r="H265" s="509">
        <v>24042</v>
      </c>
      <c r="I265" s="194">
        <v>0</v>
      </c>
      <c r="J265" s="194">
        <v>9000</v>
      </c>
      <c r="K265" s="185">
        <v>1</v>
      </c>
      <c r="L265" s="183" t="s">
        <v>1948</v>
      </c>
      <c r="M265" s="184" t="s">
        <v>5765</v>
      </c>
      <c r="N265" s="184" t="s">
        <v>5765</v>
      </c>
      <c r="O265" s="1003"/>
    </row>
    <row r="266" spans="1:15" s="182" customFormat="1" ht="21.75" customHeight="1" x14ac:dyDescent="0.15">
      <c r="A266" s="151" t="s">
        <v>6629</v>
      </c>
      <c r="B266" s="20" t="s">
        <v>1484</v>
      </c>
      <c r="C266" s="184" t="s">
        <v>3346</v>
      </c>
      <c r="D266" s="399" t="s">
        <v>3352</v>
      </c>
      <c r="E266" s="184" t="s">
        <v>6474</v>
      </c>
      <c r="F266" s="184" t="s">
        <v>5020</v>
      </c>
      <c r="G266" s="235" t="s">
        <v>5036</v>
      </c>
      <c r="H266" s="509">
        <v>22171</v>
      </c>
      <c r="I266" s="194">
        <v>0</v>
      </c>
      <c r="J266" s="194">
        <v>6000</v>
      </c>
      <c r="K266" s="185">
        <v>1</v>
      </c>
      <c r="L266" s="183" t="s">
        <v>4707</v>
      </c>
      <c r="M266" s="183" t="s">
        <v>3433</v>
      </c>
      <c r="N266" s="183" t="s">
        <v>3433</v>
      </c>
      <c r="O266" s="998"/>
    </row>
    <row r="267" spans="1:15" s="182" customFormat="1" ht="21.75" customHeight="1" x14ac:dyDescent="0.15">
      <c r="A267" s="151" t="s">
        <v>6630</v>
      </c>
      <c r="B267" s="20" t="s">
        <v>1428</v>
      </c>
      <c r="C267" s="224" t="s">
        <v>3351</v>
      </c>
      <c r="D267" s="224" t="s">
        <v>3352</v>
      </c>
      <c r="E267" s="394" t="s">
        <v>2787</v>
      </c>
      <c r="F267" s="184" t="s">
        <v>3332</v>
      </c>
      <c r="G267" s="235" t="s">
        <v>6504</v>
      </c>
      <c r="H267" s="981">
        <v>23072</v>
      </c>
      <c r="I267" s="194">
        <v>0</v>
      </c>
      <c r="J267" s="194">
        <v>82175</v>
      </c>
      <c r="K267" s="185">
        <v>0.95</v>
      </c>
      <c r="L267" s="183" t="s">
        <v>4107</v>
      </c>
      <c r="M267" s="184" t="s">
        <v>1784</v>
      </c>
      <c r="N267" s="184" t="s">
        <v>1784</v>
      </c>
      <c r="O267" s="998"/>
    </row>
    <row r="268" spans="1:15" s="182" customFormat="1" ht="53.25" customHeight="1" x14ac:dyDescent="0.15">
      <c r="A268" s="151" t="s">
        <v>6630</v>
      </c>
      <c r="B268" s="849" t="s">
        <v>6541</v>
      </c>
      <c r="C268" s="224" t="s">
        <v>3351</v>
      </c>
      <c r="D268" s="224" t="s">
        <v>3352</v>
      </c>
      <c r="E268" s="184" t="s">
        <v>2795</v>
      </c>
      <c r="F268" s="403" t="s">
        <v>3328</v>
      </c>
      <c r="G268" s="239" t="s">
        <v>3349</v>
      </c>
      <c r="H268" s="509">
        <v>22087</v>
      </c>
      <c r="I268" s="194">
        <v>0</v>
      </c>
      <c r="J268" s="194">
        <v>35000</v>
      </c>
      <c r="K268" s="185">
        <v>0.5</v>
      </c>
      <c r="L268" s="183" t="s">
        <v>285</v>
      </c>
      <c r="M268" s="184" t="s">
        <v>1784</v>
      </c>
      <c r="N268" s="184" t="s">
        <v>1784</v>
      </c>
      <c r="O268" s="998"/>
    </row>
    <row r="269" spans="1:15" s="182" customFormat="1" ht="45.75" customHeight="1" x14ac:dyDescent="0.15">
      <c r="A269" s="151" t="s">
        <v>6630</v>
      </c>
      <c r="B269" s="20" t="s">
        <v>6656</v>
      </c>
      <c r="C269" s="224" t="s">
        <v>3351</v>
      </c>
      <c r="D269" s="224" t="s">
        <v>3352</v>
      </c>
      <c r="E269" s="184" t="s">
        <v>2795</v>
      </c>
      <c r="F269" s="184" t="s">
        <v>3332</v>
      </c>
      <c r="G269" s="235" t="s">
        <v>6504</v>
      </c>
      <c r="H269" s="1002">
        <v>23074</v>
      </c>
      <c r="I269" s="194">
        <v>0</v>
      </c>
      <c r="J269" s="194">
        <v>82175</v>
      </c>
      <c r="K269" s="185">
        <v>0.95</v>
      </c>
      <c r="L269" s="183" t="s">
        <v>4107</v>
      </c>
      <c r="M269" s="184" t="s">
        <v>1784</v>
      </c>
      <c r="N269" s="184" t="s">
        <v>1784</v>
      </c>
      <c r="O269" s="233"/>
    </row>
    <row r="270" spans="1:15" s="182" customFormat="1" ht="21.75" customHeight="1" x14ac:dyDescent="0.15">
      <c r="A270" s="151" t="s">
        <v>6631</v>
      </c>
      <c r="B270" s="20" t="s">
        <v>1431</v>
      </c>
      <c r="C270" s="224" t="s">
        <v>3351</v>
      </c>
      <c r="D270" s="224" t="s">
        <v>3352</v>
      </c>
      <c r="E270" s="184" t="s">
        <v>6637</v>
      </c>
      <c r="F270" s="184" t="s">
        <v>3332</v>
      </c>
      <c r="G270" s="235" t="s">
        <v>6504</v>
      </c>
      <c r="H270" s="981" t="s">
        <v>6635</v>
      </c>
      <c r="I270" s="194">
        <v>0</v>
      </c>
      <c r="J270" s="194">
        <v>82175</v>
      </c>
      <c r="K270" s="185">
        <v>0.95</v>
      </c>
      <c r="L270" s="183" t="s">
        <v>4107</v>
      </c>
      <c r="M270" s="184" t="s">
        <v>1784</v>
      </c>
      <c r="N270" s="184" t="s">
        <v>1784</v>
      </c>
      <c r="O270" s="998"/>
    </row>
    <row r="271" spans="1:15" s="182" customFormat="1" ht="21.75" customHeight="1" x14ac:dyDescent="0.15">
      <c r="A271" s="151" t="s">
        <v>6631</v>
      </c>
      <c r="B271" s="20" t="s">
        <v>1431</v>
      </c>
      <c r="C271" s="224" t="s">
        <v>3351</v>
      </c>
      <c r="D271" s="224" t="s">
        <v>3352</v>
      </c>
      <c r="E271" s="184" t="s">
        <v>6638</v>
      </c>
      <c r="F271" s="184" t="s">
        <v>3332</v>
      </c>
      <c r="G271" s="235" t="s">
        <v>6504</v>
      </c>
      <c r="H271" s="981" t="s">
        <v>6636</v>
      </c>
      <c r="I271" s="194">
        <v>0</v>
      </c>
      <c r="J271" s="194">
        <v>82175</v>
      </c>
      <c r="K271" s="185">
        <v>0.95</v>
      </c>
      <c r="L271" s="183" t="s">
        <v>4107</v>
      </c>
      <c r="M271" s="184" t="s">
        <v>1784</v>
      </c>
      <c r="N271" s="184" t="s">
        <v>1784</v>
      </c>
      <c r="O271" s="998"/>
    </row>
    <row r="272" spans="1:15" s="182" customFormat="1" ht="21.75" customHeight="1" x14ac:dyDescent="0.15">
      <c r="A272" s="151" t="s">
        <v>6641</v>
      </c>
      <c r="B272" s="20" t="s">
        <v>6642</v>
      </c>
      <c r="C272" s="184" t="s">
        <v>4941</v>
      </c>
      <c r="D272" s="184" t="s">
        <v>5153</v>
      </c>
      <c r="E272" s="184" t="s">
        <v>6643</v>
      </c>
      <c r="F272" s="184" t="s">
        <v>5078</v>
      </c>
      <c r="G272" s="235" t="s">
        <v>5681</v>
      </c>
      <c r="H272" s="509">
        <v>23122</v>
      </c>
      <c r="I272" s="194">
        <v>0</v>
      </c>
      <c r="J272" s="194">
        <v>135606</v>
      </c>
      <c r="K272" s="185">
        <v>0.97</v>
      </c>
      <c r="L272" s="183" t="s">
        <v>6644</v>
      </c>
      <c r="M272" s="184" t="s">
        <v>5255</v>
      </c>
      <c r="N272" s="184" t="s">
        <v>5255</v>
      </c>
      <c r="O272" s="1000"/>
    </row>
    <row r="273" spans="1:15" s="182" customFormat="1" ht="21.75" customHeight="1" x14ac:dyDescent="0.15">
      <c r="A273" s="151" t="s">
        <v>6641</v>
      </c>
      <c r="B273" s="20" t="s">
        <v>6645</v>
      </c>
      <c r="C273" s="399" t="s">
        <v>3351</v>
      </c>
      <c r="D273" s="399" t="s">
        <v>3326</v>
      </c>
      <c r="E273" s="184" t="s">
        <v>5672</v>
      </c>
      <c r="F273" s="184" t="s">
        <v>5078</v>
      </c>
      <c r="G273" s="235" t="s">
        <v>3370</v>
      </c>
      <c r="H273" s="509">
        <v>23111</v>
      </c>
      <c r="I273" s="194">
        <v>0</v>
      </c>
      <c r="J273" s="194">
        <v>70000</v>
      </c>
      <c r="K273" s="185">
        <v>0.5</v>
      </c>
      <c r="L273" s="183" t="s">
        <v>285</v>
      </c>
      <c r="M273" s="184" t="s">
        <v>5255</v>
      </c>
      <c r="N273" s="184" t="s">
        <v>5255</v>
      </c>
      <c r="O273" s="233"/>
    </row>
    <row r="274" spans="1:15" s="182" customFormat="1" ht="21.75" customHeight="1" x14ac:dyDescent="0.15">
      <c r="A274" s="151" t="s">
        <v>6641</v>
      </c>
      <c r="B274" s="20" t="s">
        <v>6646</v>
      </c>
      <c r="C274" s="399" t="s">
        <v>5213</v>
      </c>
      <c r="D274" s="399" t="s">
        <v>6277</v>
      </c>
      <c r="E274" s="399" t="s">
        <v>6278</v>
      </c>
      <c r="F274" s="184" t="s">
        <v>3328</v>
      </c>
      <c r="G274" s="243" t="s">
        <v>5036</v>
      </c>
      <c r="H274" s="509">
        <v>24067</v>
      </c>
      <c r="I274" s="194">
        <v>0</v>
      </c>
      <c r="J274" s="194">
        <v>18000</v>
      </c>
      <c r="K274" s="185">
        <v>1</v>
      </c>
      <c r="L274" s="183" t="s">
        <v>806</v>
      </c>
      <c r="M274" s="184" t="s">
        <v>5255</v>
      </c>
      <c r="N274" s="184" t="s">
        <v>5255</v>
      </c>
      <c r="O274" s="233"/>
    </row>
    <row r="275" spans="1:15" s="182" customFormat="1" ht="21.75" customHeight="1" x14ac:dyDescent="0.15">
      <c r="A275" s="151" t="s">
        <v>6641</v>
      </c>
      <c r="B275" s="20" t="s">
        <v>2373</v>
      </c>
      <c r="C275" s="184" t="s">
        <v>4982</v>
      </c>
      <c r="D275" s="184" t="s">
        <v>5153</v>
      </c>
      <c r="E275" s="184" t="s">
        <v>720</v>
      </c>
      <c r="F275" s="184" t="s">
        <v>3328</v>
      </c>
      <c r="G275" s="235" t="s">
        <v>3349</v>
      </c>
      <c r="H275" s="509">
        <v>23058</v>
      </c>
      <c r="I275" s="194">
        <v>0</v>
      </c>
      <c r="J275" s="194">
        <v>78000</v>
      </c>
      <c r="K275" s="185">
        <v>1</v>
      </c>
      <c r="L275" s="183" t="s">
        <v>5743</v>
      </c>
      <c r="M275" s="184" t="s">
        <v>6038</v>
      </c>
      <c r="N275" s="184" t="s">
        <v>6038</v>
      </c>
      <c r="O275" s="233"/>
    </row>
    <row r="276" spans="1:15" s="182" customFormat="1" ht="21.75" customHeight="1" x14ac:dyDescent="0.15">
      <c r="A276" s="151" t="s">
        <v>6647</v>
      </c>
      <c r="B276" s="20" t="s">
        <v>6645</v>
      </c>
      <c r="C276" s="945" t="s">
        <v>3351</v>
      </c>
      <c r="D276" s="945" t="s">
        <v>3326</v>
      </c>
      <c r="E276" s="945" t="s">
        <v>5672</v>
      </c>
      <c r="F276" s="945" t="s">
        <v>3328</v>
      </c>
      <c r="G276" s="460" t="s">
        <v>3566</v>
      </c>
      <c r="H276" s="509">
        <v>21035</v>
      </c>
      <c r="I276" s="194">
        <v>0</v>
      </c>
      <c r="J276" s="194">
        <v>210000</v>
      </c>
      <c r="K276" s="185">
        <v>1</v>
      </c>
      <c r="L276" s="183" t="s">
        <v>285</v>
      </c>
      <c r="M276" s="184" t="s">
        <v>5255</v>
      </c>
      <c r="N276" s="184" t="s">
        <v>5255</v>
      </c>
      <c r="O276" s="233"/>
    </row>
    <row r="277" spans="1:15" s="182" customFormat="1" ht="21.75" customHeight="1" x14ac:dyDescent="0.15">
      <c r="A277" s="151" t="s">
        <v>6647</v>
      </c>
      <c r="B277" s="20" t="s">
        <v>219</v>
      </c>
      <c r="C277" s="391" t="s">
        <v>3346</v>
      </c>
      <c r="D277" s="393" t="s">
        <v>3352</v>
      </c>
      <c r="E277" s="391" t="s">
        <v>4241</v>
      </c>
      <c r="F277" s="184" t="s">
        <v>3332</v>
      </c>
      <c r="G277" s="235" t="s">
        <v>5030</v>
      </c>
      <c r="H277" s="509">
        <v>23160</v>
      </c>
      <c r="I277" s="194">
        <v>0</v>
      </c>
      <c r="J277" s="194">
        <v>45500</v>
      </c>
      <c r="K277" s="185">
        <v>0.5</v>
      </c>
      <c r="L277" s="183" t="s">
        <v>5743</v>
      </c>
      <c r="M277" s="184" t="s">
        <v>693</v>
      </c>
      <c r="N277" s="184" t="s">
        <v>693</v>
      </c>
      <c r="O277" s="233"/>
    </row>
    <row r="278" spans="1:15" s="182" customFormat="1" ht="21.75" customHeight="1" x14ac:dyDescent="0.15">
      <c r="A278" s="151" t="s">
        <v>6647</v>
      </c>
      <c r="B278" s="20" t="s">
        <v>6648</v>
      </c>
      <c r="C278" s="1001" t="s">
        <v>4982</v>
      </c>
      <c r="D278" s="1001" t="s">
        <v>4942</v>
      </c>
      <c r="E278" s="1001" t="s">
        <v>6653</v>
      </c>
      <c r="F278" s="184" t="s">
        <v>3332</v>
      </c>
      <c r="G278" s="235" t="s">
        <v>3329</v>
      </c>
      <c r="H278" s="509">
        <v>24063</v>
      </c>
      <c r="I278" s="194">
        <v>0</v>
      </c>
      <c r="J278" s="194">
        <v>135000</v>
      </c>
      <c r="K278" s="185">
        <v>0.3</v>
      </c>
      <c r="L278" s="183" t="s">
        <v>6144</v>
      </c>
      <c r="M278" s="184" t="s">
        <v>693</v>
      </c>
      <c r="N278" s="184" t="s">
        <v>693</v>
      </c>
      <c r="O278" s="233"/>
    </row>
    <row r="279" spans="1:15" s="182" customFormat="1" ht="21.75" customHeight="1" x14ac:dyDescent="0.15">
      <c r="A279" s="151" t="s">
        <v>6649</v>
      </c>
      <c r="B279" s="20" t="s">
        <v>4578</v>
      </c>
      <c r="C279" s="391" t="s">
        <v>3337</v>
      </c>
      <c r="D279" s="992" t="s">
        <v>3702</v>
      </c>
      <c r="E279" s="391" t="s">
        <v>4587</v>
      </c>
      <c r="F279" s="945" t="s">
        <v>3328</v>
      </c>
      <c r="G279" s="460" t="s">
        <v>3566</v>
      </c>
      <c r="H279" s="972">
        <v>21025</v>
      </c>
      <c r="I279" s="194">
        <v>0</v>
      </c>
      <c r="J279" s="194">
        <v>70000</v>
      </c>
      <c r="K279" s="185" t="s">
        <v>6375</v>
      </c>
      <c r="L279" s="183" t="s">
        <v>5743</v>
      </c>
      <c r="M279" s="945" t="s">
        <v>4957</v>
      </c>
      <c r="N279" s="945" t="s">
        <v>3726</v>
      </c>
      <c r="O279" s="233"/>
    </row>
    <row r="280" spans="1:15" s="182" customFormat="1" ht="21.75" customHeight="1" x14ac:dyDescent="0.15">
      <c r="A280" s="151" t="s">
        <v>6649</v>
      </c>
      <c r="B280" s="20" t="s">
        <v>215</v>
      </c>
      <c r="C280" s="391" t="s">
        <v>3346</v>
      </c>
      <c r="D280" s="391" t="s">
        <v>3352</v>
      </c>
      <c r="E280" s="391" t="s">
        <v>987</v>
      </c>
      <c r="F280" s="184" t="s">
        <v>3332</v>
      </c>
      <c r="G280" s="235" t="s">
        <v>5030</v>
      </c>
      <c r="H280" s="509">
        <v>23162</v>
      </c>
      <c r="I280" s="194">
        <v>0</v>
      </c>
      <c r="J280" s="194">
        <v>45500</v>
      </c>
      <c r="K280" s="185">
        <v>0.5</v>
      </c>
      <c r="L280" s="183" t="s">
        <v>5743</v>
      </c>
      <c r="M280" s="184" t="s">
        <v>693</v>
      </c>
      <c r="N280" s="184" t="s">
        <v>693</v>
      </c>
      <c r="O280" s="233"/>
    </row>
    <row r="281" spans="1:15" s="182" customFormat="1" ht="31.5" customHeight="1" x14ac:dyDescent="0.15">
      <c r="A281" s="151" t="s">
        <v>6649</v>
      </c>
      <c r="B281" s="20" t="s">
        <v>5917</v>
      </c>
      <c r="C281" s="224" t="s">
        <v>3351</v>
      </c>
      <c r="D281" s="224" t="s">
        <v>3352</v>
      </c>
      <c r="E281" s="409" t="s">
        <v>2796</v>
      </c>
      <c r="F281" s="403" t="s">
        <v>3328</v>
      </c>
      <c r="G281" s="239" t="s">
        <v>3349</v>
      </c>
      <c r="H281" s="509">
        <v>22091</v>
      </c>
      <c r="I281" s="194">
        <v>0</v>
      </c>
      <c r="J281" s="194">
        <v>35000</v>
      </c>
      <c r="K281" s="185">
        <v>0.5</v>
      </c>
      <c r="L281" s="183" t="s">
        <v>285</v>
      </c>
      <c r="M281" s="184" t="s">
        <v>5255</v>
      </c>
      <c r="N281" s="184" t="s">
        <v>5255</v>
      </c>
      <c r="O281" s="233"/>
    </row>
    <row r="282" spans="1:15" s="182" customFormat="1" ht="58.5" customHeight="1" x14ac:dyDescent="0.15">
      <c r="A282" s="151" t="s">
        <v>6650</v>
      </c>
      <c r="B282" s="849" t="s">
        <v>6541</v>
      </c>
      <c r="C282" s="392" t="s">
        <v>3351</v>
      </c>
      <c r="D282" s="945" t="s">
        <v>3352</v>
      </c>
      <c r="E282" s="454" t="s">
        <v>2795</v>
      </c>
      <c r="F282" s="945" t="s">
        <v>3332</v>
      </c>
      <c r="G282" s="460" t="s">
        <v>4371</v>
      </c>
      <c r="H282" s="946">
        <v>16060</v>
      </c>
      <c r="I282" s="194">
        <v>0</v>
      </c>
      <c r="J282" s="194">
        <v>17000</v>
      </c>
      <c r="K282" s="185">
        <v>0.2</v>
      </c>
      <c r="L282" s="183" t="s">
        <v>5743</v>
      </c>
      <c r="M282" s="392" t="s">
        <v>65</v>
      </c>
      <c r="N282" s="958" t="s">
        <v>3726</v>
      </c>
      <c r="O282" s="233"/>
    </row>
    <row r="283" spans="1:15" s="182" customFormat="1" ht="21.75" customHeight="1" x14ac:dyDescent="0.15">
      <c r="A283" s="151" t="s">
        <v>6650</v>
      </c>
      <c r="B283" s="20" t="s">
        <v>3687</v>
      </c>
      <c r="C283" s="224" t="s">
        <v>3351</v>
      </c>
      <c r="D283" s="224" t="s">
        <v>3352</v>
      </c>
      <c r="E283" s="394" t="s">
        <v>3688</v>
      </c>
      <c r="F283" s="224" t="s">
        <v>3328</v>
      </c>
      <c r="G283" s="239" t="s">
        <v>3566</v>
      </c>
      <c r="H283" s="509">
        <v>23132</v>
      </c>
      <c r="I283" s="194">
        <v>0</v>
      </c>
      <c r="J283" s="194">
        <v>40800</v>
      </c>
      <c r="K283" s="185">
        <v>0.2</v>
      </c>
      <c r="L283" s="183" t="s">
        <v>5743</v>
      </c>
      <c r="M283" s="184" t="s">
        <v>5255</v>
      </c>
      <c r="N283" s="184" t="s">
        <v>5255</v>
      </c>
      <c r="O283" s="233"/>
    </row>
    <row r="284" spans="1:15" s="182" customFormat="1" ht="21.75" customHeight="1" x14ac:dyDescent="0.15">
      <c r="A284" s="151" t="s">
        <v>6650</v>
      </c>
      <c r="B284" s="20" t="s">
        <v>1431</v>
      </c>
      <c r="C284" s="392" t="s">
        <v>3351</v>
      </c>
      <c r="D284" s="945" t="s">
        <v>3352</v>
      </c>
      <c r="E284" s="454" t="s">
        <v>6654</v>
      </c>
      <c r="F284" s="945" t="s">
        <v>3332</v>
      </c>
      <c r="G284" s="460" t="s">
        <v>6655</v>
      </c>
      <c r="H284" s="946">
        <v>16058</v>
      </c>
      <c r="I284" s="194">
        <v>0</v>
      </c>
      <c r="J284" s="194">
        <v>32000</v>
      </c>
      <c r="K284" s="185">
        <v>0.2</v>
      </c>
      <c r="L284" s="183" t="s">
        <v>5743</v>
      </c>
      <c r="M284" s="392" t="s">
        <v>65</v>
      </c>
      <c r="N284" s="958" t="s">
        <v>3726</v>
      </c>
      <c r="O284" s="233"/>
    </row>
    <row r="285" spans="1:15" s="182" customFormat="1" ht="21.75" customHeight="1" x14ac:dyDescent="0.15">
      <c r="A285" s="151" t="s">
        <v>6651</v>
      </c>
      <c r="B285" s="20" t="s">
        <v>6652</v>
      </c>
      <c r="C285" s="184" t="s">
        <v>4963</v>
      </c>
      <c r="D285" s="184" t="s">
        <v>5153</v>
      </c>
      <c r="E285" s="184" t="s">
        <v>5179</v>
      </c>
      <c r="F285" s="184" t="s">
        <v>5078</v>
      </c>
      <c r="G285" s="235" t="s">
        <v>5030</v>
      </c>
      <c r="H285" s="509">
        <v>23051</v>
      </c>
      <c r="I285" s="194">
        <v>0</v>
      </c>
      <c r="J285" s="194">
        <v>85000</v>
      </c>
      <c r="K285" s="185">
        <v>1</v>
      </c>
      <c r="L285" s="183" t="s">
        <v>5743</v>
      </c>
      <c r="M285" s="184" t="s">
        <v>5765</v>
      </c>
      <c r="N285" s="184" t="s">
        <v>5765</v>
      </c>
      <c r="O285" s="233"/>
    </row>
    <row r="286" spans="1:15" s="182" customFormat="1" ht="21.75" customHeight="1" x14ac:dyDescent="0.15">
      <c r="A286" s="151" t="s">
        <v>6659</v>
      </c>
      <c r="B286" s="20" t="s">
        <v>2074</v>
      </c>
      <c r="C286" s="399" t="s">
        <v>4982</v>
      </c>
      <c r="D286" s="399" t="s">
        <v>5018</v>
      </c>
      <c r="E286" s="399" t="s">
        <v>5335</v>
      </c>
      <c r="F286" s="184" t="s">
        <v>3328</v>
      </c>
      <c r="G286" s="235" t="s">
        <v>6368</v>
      </c>
      <c r="H286" s="509" t="s">
        <v>6660</v>
      </c>
      <c r="I286" s="194">
        <v>0</v>
      </c>
      <c r="J286" s="194">
        <v>74000</v>
      </c>
      <c r="K286" s="185">
        <v>0.5</v>
      </c>
      <c r="L286" s="183" t="s">
        <v>5743</v>
      </c>
      <c r="M286" s="184" t="s">
        <v>5161</v>
      </c>
      <c r="N286" s="184" t="s">
        <v>5255</v>
      </c>
      <c r="O286" s="233"/>
    </row>
    <row r="287" spans="1:15" s="182" customFormat="1" ht="31.5" customHeight="1" x14ac:dyDescent="0.15">
      <c r="A287" s="151" t="s">
        <v>6659</v>
      </c>
      <c r="B287" s="849" t="s">
        <v>6662</v>
      </c>
      <c r="C287" s="399" t="s">
        <v>4941</v>
      </c>
      <c r="D287" s="399" t="s">
        <v>4942</v>
      </c>
      <c r="E287" s="399" t="s">
        <v>6663</v>
      </c>
      <c r="F287" s="184" t="s">
        <v>4944</v>
      </c>
      <c r="G287" s="235" t="s">
        <v>5030</v>
      </c>
      <c r="H287" s="509">
        <v>21117</v>
      </c>
      <c r="I287" s="194">
        <v>0</v>
      </c>
      <c r="J287" s="194">
        <v>45500</v>
      </c>
      <c r="K287" s="185">
        <v>0.65</v>
      </c>
      <c r="L287" s="183" t="s">
        <v>285</v>
      </c>
      <c r="M287" s="184" t="s">
        <v>5255</v>
      </c>
      <c r="N287" s="184" t="s">
        <v>5255</v>
      </c>
      <c r="O287" s="233"/>
    </row>
    <row r="288" spans="1:15" s="182" customFormat="1" ht="36" customHeight="1" x14ac:dyDescent="0.15">
      <c r="A288" s="151" t="s">
        <v>6659</v>
      </c>
      <c r="B288" s="849" t="s">
        <v>6662</v>
      </c>
      <c r="C288" s="399" t="s">
        <v>4941</v>
      </c>
      <c r="D288" s="399" t="s">
        <v>4942</v>
      </c>
      <c r="E288" s="399" t="s">
        <v>6664</v>
      </c>
      <c r="F288" s="184" t="s">
        <v>4944</v>
      </c>
      <c r="G288" s="235" t="s">
        <v>5030</v>
      </c>
      <c r="H288" s="509">
        <v>21118</v>
      </c>
      <c r="I288" s="194">
        <v>0</v>
      </c>
      <c r="J288" s="194">
        <v>45500</v>
      </c>
      <c r="K288" s="185">
        <v>0.65</v>
      </c>
      <c r="L288" s="183" t="s">
        <v>285</v>
      </c>
      <c r="M288" s="184" t="s">
        <v>5255</v>
      </c>
      <c r="N288" s="184" t="s">
        <v>5255</v>
      </c>
      <c r="O288" s="233"/>
    </row>
    <row r="289" spans="1:15" s="182" customFormat="1" ht="36.75" customHeight="1" x14ac:dyDescent="0.15">
      <c r="A289" s="151" t="s">
        <v>6659</v>
      </c>
      <c r="B289" s="849" t="s">
        <v>6662</v>
      </c>
      <c r="C289" s="392" t="s">
        <v>3351</v>
      </c>
      <c r="D289" s="392" t="s">
        <v>3352</v>
      </c>
      <c r="E289" s="391" t="s">
        <v>4417</v>
      </c>
      <c r="F289" s="945" t="s">
        <v>3340</v>
      </c>
      <c r="G289" s="460" t="s">
        <v>3349</v>
      </c>
      <c r="H289" s="509">
        <v>20116</v>
      </c>
      <c r="I289" s="194">
        <v>0</v>
      </c>
      <c r="J289" s="194">
        <v>24500</v>
      </c>
      <c r="K289" s="185">
        <v>0.35</v>
      </c>
      <c r="L289" s="183" t="s">
        <v>285</v>
      </c>
      <c r="M289" s="945" t="s">
        <v>4699</v>
      </c>
      <c r="N289" s="958" t="s">
        <v>3726</v>
      </c>
      <c r="O289" s="233"/>
    </row>
    <row r="290" spans="1:15" s="182" customFormat="1" ht="36.75" customHeight="1" x14ac:dyDescent="0.15">
      <c r="A290" s="151" t="s">
        <v>6659</v>
      </c>
      <c r="B290" s="849" t="s">
        <v>6662</v>
      </c>
      <c r="C290" s="945" t="s">
        <v>3351</v>
      </c>
      <c r="D290" s="945" t="s">
        <v>3352</v>
      </c>
      <c r="E290" s="945" t="s">
        <v>4126</v>
      </c>
      <c r="F290" s="945" t="s">
        <v>3340</v>
      </c>
      <c r="G290" s="460" t="s">
        <v>3349</v>
      </c>
      <c r="H290" s="509">
        <v>20117</v>
      </c>
      <c r="I290" s="194">
        <v>0</v>
      </c>
      <c r="J290" s="194">
        <v>24500</v>
      </c>
      <c r="K290" s="185">
        <v>0.35</v>
      </c>
      <c r="L290" s="183" t="s">
        <v>285</v>
      </c>
      <c r="M290" s="945" t="s">
        <v>4699</v>
      </c>
      <c r="N290" s="958" t="s">
        <v>3726</v>
      </c>
      <c r="O290" s="233"/>
    </row>
    <row r="291" spans="1:15" s="182" customFormat="1" ht="36.75" customHeight="1" x14ac:dyDescent="0.15">
      <c r="A291" s="151" t="s">
        <v>6659</v>
      </c>
      <c r="B291" s="849" t="s">
        <v>6662</v>
      </c>
      <c r="C291" s="392" t="s">
        <v>3351</v>
      </c>
      <c r="D291" s="392" t="s">
        <v>3352</v>
      </c>
      <c r="E291" s="392" t="s">
        <v>3743</v>
      </c>
      <c r="F291" s="392" t="s">
        <v>3340</v>
      </c>
      <c r="G291" s="954" t="s">
        <v>3349</v>
      </c>
      <c r="H291" s="509">
        <v>18162</v>
      </c>
      <c r="I291" s="194">
        <v>0</v>
      </c>
      <c r="J291" s="194">
        <v>44000</v>
      </c>
      <c r="K291" s="185">
        <v>0.5</v>
      </c>
      <c r="L291" s="183" t="s">
        <v>285</v>
      </c>
      <c r="M291" s="945" t="s">
        <v>4699</v>
      </c>
      <c r="N291" s="958" t="s">
        <v>3726</v>
      </c>
      <c r="O291" s="233"/>
    </row>
    <row r="292" spans="1:15" s="182" customFormat="1" ht="32.25" customHeight="1" x14ac:dyDescent="0.15">
      <c r="A292" s="151" t="s">
        <v>6659</v>
      </c>
      <c r="B292" s="849" t="s">
        <v>6662</v>
      </c>
      <c r="C292" s="399" t="s">
        <v>4941</v>
      </c>
      <c r="D292" s="399" t="s">
        <v>4942</v>
      </c>
      <c r="E292" s="399" t="s">
        <v>6663</v>
      </c>
      <c r="F292" s="403" t="s">
        <v>3340</v>
      </c>
      <c r="G292" s="239" t="s">
        <v>5240</v>
      </c>
      <c r="H292" s="509" t="s">
        <v>6665</v>
      </c>
      <c r="I292" s="194">
        <v>0</v>
      </c>
      <c r="J292" s="194">
        <v>25000</v>
      </c>
      <c r="K292" s="185">
        <v>1</v>
      </c>
      <c r="L292" s="183" t="s">
        <v>1948</v>
      </c>
      <c r="M292" s="184" t="s">
        <v>5255</v>
      </c>
      <c r="N292" s="184" t="s">
        <v>5255</v>
      </c>
      <c r="O292" s="233"/>
    </row>
    <row r="293" spans="1:15" s="182" customFormat="1" ht="32.25" customHeight="1" x14ac:dyDescent="0.15">
      <c r="A293" s="151" t="s">
        <v>6659</v>
      </c>
      <c r="B293" s="849" t="s">
        <v>6662</v>
      </c>
      <c r="C293" s="399" t="s">
        <v>4941</v>
      </c>
      <c r="D293" s="399" t="s">
        <v>4942</v>
      </c>
      <c r="E293" s="399" t="s">
        <v>6664</v>
      </c>
      <c r="F293" s="403" t="s">
        <v>3340</v>
      </c>
      <c r="G293" s="239" t="s">
        <v>5240</v>
      </c>
      <c r="H293" s="509" t="s">
        <v>6666</v>
      </c>
      <c r="I293" s="194">
        <v>0</v>
      </c>
      <c r="J293" s="194">
        <v>25000</v>
      </c>
      <c r="K293" s="185">
        <v>1</v>
      </c>
      <c r="L293" s="183" t="s">
        <v>1948</v>
      </c>
      <c r="M293" s="184" t="s">
        <v>5255</v>
      </c>
      <c r="N293" s="184" t="s">
        <v>5255</v>
      </c>
      <c r="O293" s="233"/>
    </row>
    <row r="294" spans="1:15" s="182" customFormat="1" ht="32.25" customHeight="1" x14ac:dyDescent="0.15">
      <c r="A294" s="151" t="s">
        <v>6659</v>
      </c>
      <c r="B294" s="849" t="s">
        <v>6662</v>
      </c>
      <c r="C294" s="945" t="s">
        <v>3351</v>
      </c>
      <c r="D294" s="945" t="s">
        <v>3352</v>
      </c>
      <c r="E294" s="945" t="s">
        <v>4126</v>
      </c>
      <c r="F294" s="945" t="s">
        <v>3340</v>
      </c>
      <c r="G294" s="460" t="s">
        <v>3529</v>
      </c>
      <c r="H294" s="509">
        <v>20010</v>
      </c>
      <c r="I294" s="194">
        <v>0</v>
      </c>
      <c r="J294" s="194">
        <v>26700</v>
      </c>
      <c r="K294" s="185" t="s">
        <v>6667</v>
      </c>
      <c r="L294" s="183" t="s">
        <v>4610</v>
      </c>
      <c r="M294" s="945" t="s">
        <v>4699</v>
      </c>
      <c r="N294" s="958" t="s">
        <v>3726</v>
      </c>
      <c r="O294" s="233"/>
    </row>
    <row r="295" spans="1:15" s="182" customFormat="1" ht="32.25" customHeight="1" x14ac:dyDescent="0.15">
      <c r="A295" s="151" t="s">
        <v>6659</v>
      </c>
      <c r="B295" s="849" t="s">
        <v>6662</v>
      </c>
      <c r="C295" s="392" t="s">
        <v>3351</v>
      </c>
      <c r="D295" s="392" t="s">
        <v>3352</v>
      </c>
      <c r="E295" s="392" t="s">
        <v>3743</v>
      </c>
      <c r="F295" s="392" t="s">
        <v>3340</v>
      </c>
      <c r="G295" s="1004" t="s">
        <v>3367</v>
      </c>
      <c r="H295" s="509">
        <v>18161</v>
      </c>
      <c r="I295" s="194">
        <v>0</v>
      </c>
      <c r="J295" s="194">
        <v>9800</v>
      </c>
      <c r="K295" s="185">
        <v>0.1</v>
      </c>
      <c r="L295" s="183" t="s">
        <v>1143</v>
      </c>
      <c r="M295" s="945" t="s">
        <v>4699</v>
      </c>
      <c r="N295" s="958" t="s">
        <v>3726</v>
      </c>
      <c r="O295" s="233"/>
    </row>
    <row r="296" spans="1:15" s="182" customFormat="1" ht="21.75" customHeight="1" x14ac:dyDescent="0.15">
      <c r="A296" s="151" t="s">
        <v>6661</v>
      </c>
      <c r="B296" s="20" t="s">
        <v>6493</v>
      </c>
      <c r="C296" s="184" t="s">
        <v>4941</v>
      </c>
      <c r="D296" s="184" t="s">
        <v>4942</v>
      </c>
      <c r="E296" s="184" t="s">
        <v>6668</v>
      </c>
      <c r="F296" s="184" t="s">
        <v>5078</v>
      </c>
      <c r="G296" s="235" t="s">
        <v>6669</v>
      </c>
      <c r="H296" s="509">
        <v>22101</v>
      </c>
      <c r="I296" s="194">
        <v>0</v>
      </c>
      <c r="J296" s="194">
        <v>47500</v>
      </c>
      <c r="K296" s="185">
        <v>0.95</v>
      </c>
      <c r="L296" s="183" t="s">
        <v>4107</v>
      </c>
      <c r="M296" s="184" t="s">
        <v>5255</v>
      </c>
      <c r="N296" s="184" t="s">
        <v>5255</v>
      </c>
      <c r="O296" s="233"/>
    </row>
    <row r="297" spans="1:15" s="182" customFormat="1" ht="21.75" customHeight="1" x14ac:dyDescent="0.15">
      <c r="A297" s="151" t="s">
        <v>6661</v>
      </c>
      <c r="B297" s="20" t="s">
        <v>6493</v>
      </c>
      <c r="C297" s="184" t="s">
        <v>4941</v>
      </c>
      <c r="D297" s="184" t="s">
        <v>4942</v>
      </c>
      <c r="E297" s="184" t="s">
        <v>6668</v>
      </c>
      <c r="F297" s="184" t="s">
        <v>5078</v>
      </c>
      <c r="G297" s="235" t="s">
        <v>6669</v>
      </c>
      <c r="H297" s="509">
        <v>22101</v>
      </c>
      <c r="I297" s="194">
        <v>0</v>
      </c>
      <c r="J297" s="194">
        <v>2500</v>
      </c>
      <c r="K297" s="185">
        <v>0.05</v>
      </c>
      <c r="L297" s="183" t="s">
        <v>1143</v>
      </c>
      <c r="M297" s="184" t="s">
        <v>5255</v>
      </c>
      <c r="N297" s="184" t="s">
        <v>5255</v>
      </c>
      <c r="O297" s="233"/>
    </row>
    <row r="298" spans="1:15" s="182" customFormat="1" ht="21.75" customHeight="1" x14ac:dyDescent="0.15">
      <c r="A298" s="151" t="s">
        <v>6661</v>
      </c>
      <c r="B298" s="20" t="s">
        <v>6493</v>
      </c>
      <c r="C298" s="399" t="s">
        <v>3330</v>
      </c>
      <c r="D298" s="399" t="s">
        <v>3837</v>
      </c>
      <c r="E298" s="399" t="s">
        <v>6507</v>
      </c>
      <c r="F298" s="419" t="s">
        <v>3328</v>
      </c>
      <c r="G298" s="235" t="s">
        <v>6504</v>
      </c>
      <c r="H298" s="509">
        <v>23044</v>
      </c>
      <c r="I298" s="194">
        <v>0</v>
      </c>
      <c r="J298" s="194">
        <v>3807.5</v>
      </c>
      <c r="K298" s="185">
        <v>0.05</v>
      </c>
      <c r="L298" s="183" t="s">
        <v>1143</v>
      </c>
      <c r="M298" s="184" t="s">
        <v>5255</v>
      </c>
      <c r="N298" s="184" t="s">
        <v>5255</v>
      </c>
      <c r="O298" s="233"/>
    </row>
    <row r="299" spans="1:15" s="182" customFormat="1" ht="21.75" customHeight="1" x14ac:dyDescent="0.15">
      <c r="A299" s="151" t="s">
        <v>6670</v>
      </c>
      <c r="B299" s="20" t="s">
        <v>6492</v>
      </c>
      <c r="C299" s="184" t="s">
        <v>4941</v>
      </c>
      <c r="D299" s="184" t="s">
        <v>4942</v>
      </c>
      <c r="E299" s="184" t="s">
        <v>6503</v>
      </c>
      <c r="F299" s="419" t="s">
        <v>3328</v>
      </c>
      <c r="G299" s="235" t="s">
        <v>6504</v>
      </c>
      <c r="H299" s="509" t="s">
        <v>6500</v>
      </c>
      <c r="I299" s="194">
        <v>0</v>
      </c>
      <c r="J299" s="194">
        <v>3807.5</v>
      </c>
      <c r="K299" s="185">
        <v>0.05</v>
      </c>
      <c r="L299" s="183" t="s">
        <v>1143</v>
      </c>
      <c r="M299" s="184" t="s">
        <v>5255</v>
      </c>
      <c r="N299" s="184" t="s">
        <v>5255</v>
      </c>
      <c r="O299" s="233"/>
    </row>
    <row r="300" spans="1:15" s="182" customFormat="1" ht="21.75" customHeight="1" x14ac:dyDescent="0.15">
      <c r="A300" s="151" t="s">
        <v>6670</v>
      </c>
      <c r="B300" s="20" t="s">
        <v>6492</v>
      </c>
      <c r="C300" s="184" t="s">
        <v>4941</v>
      </c>
      <c r="D300" s="184" t="s">
        <v>4942</v>
      </c>
      <c r="E300" s="184" t="s">
        <v>6505</v>
      </c>
      <c r="F300" s="419" t="s">
        <v>3328</v>
      </c>
      <c r="G300" s="235" t="s">
        <v>6504</v>
      </c>
      <c r="H300" s="509" t="s">
        <v>6501</v>
      </c>
      <c r="I300" s="194">
        <v>0</v>
      </c>
      <c r="J300" s="194">
        <v>3807.5</v>
      </c>
      <c r="K300" s="185">
        <v>0.05</v>
      </c>
      <c r="L300" s="183" t="s">
        <v>1143</v>
      </c>
      <c r="M300" s="184" t="s">
        <v>5255</v>
      </c>
      <c r="N300" s="184" t="s">
        <v>5255</v>
      </c>
      <c r="O300" s="233"/>
    </row>
    <row r="301" spans="1:15" s="182" customFormat="1" ht="21.75" customHeight="1" x14ac:dyDescent="0.15">
      <c r="A301" s="151" t="s">
        <v>6670</v>
      </c>
      <c r="B301" s="20" t="s">
        <v>6492</v>
      </c>
      <c r="C301" s="184" t="s">
        <v>4941</v>
      </c>
      <c r="D301" s="184" t="s">
        <v>4942</v>
      </c>
      <c r="E301" s="184" t="s">
        <v>6506</v>
      </c>
      <c r="F301" s="419" t="s">
        <v>3328</v>
      </c>
      <c r="G301" s="235" t="s">
        <v>6504</v>
      </c>
      <c r="H301" s="509" t="s">
        <v>6502</v>
      </c>
      <c r="I301" s="194">
        <v>0</v>
      </c>
      <c r="J301" s="194">
        <v>4865</v>
      </c>
      <c r="K301" s="185">
        <v>0.05</v>
      </c>
      <c r="L301" s="183" t="s">
        <v>1143</v>
      </c>
      <c r="M301" s="184" t="s">
        <v>5255</v>
      </c>
      <c r="N301" s="184" t="s">
        <v>5255</v>
      </c>
      <c r="O301" s="233"/>
    </row>
    <row r="302" spans="1:15" s="182" customFormat="1" ht="41.25" customHeight="1" x14ac:dyDescent="0.15">
      <c r="A302" s="151" t="s">
        <v>6670</v>
      </c>
      <c r="B302" s="849" t="s">
        <v>6662</v>
      </c>
      <c r="C302" s="945" t="s">
        <v>3351</v>
      </c>
      <c r="D302" s="945" t="s">
        <v>3352</v>
      </c>
      <c r="E302" s="945" t="s">
        <v>4417</v>
      </c>
      <c r="F302" s="391" t="s">
        <v>3340</v>
      </c>
      <c r="G302" s="460" t="s">
        <v>3349</v>
      </c>
      <c r="H302" s="509">
        <v>17094</v>
      </c>
      <c r="I302" s="194">
        <v>0</v>
      </c>
      <c r="J302" s="194">
        <v>26400</v>
      </c>
      <c r="K302" s="185">
        <v>0.3</v>
      </c>
      <c r="L302" s="183" t="s">
        <v>5743</v>
      </c>
      <c r="M302" s="945" t="s">
        <v>4699</v>
      </c>
      <c r="N302" s="958" t="s">
        <v>3726</v>
      </c>
      <c r="O302" s="233"/>
    </row>
    <row r="303" spans="1:15" s="182" customFormat="1" ht="47.25" customHeight="1" x14ac:dyDescent="0.15">
      <c r="A303" s="151" t="s">
        <v>6670</v>
      </c>
      <c r="B303" s="849" t="s">
        <v>6662</v>
      </c>
      <c r="C303" s="945" t="s">
        <v>3351</v>
      </c>
      <c r="D303" s="945" t="s">
        <v>3352</v>
      </c>
      <c r="E303" s="945" t="s">
        <v>4417</v>
      </c>
      <c r="F303" s="952" t="s">
        <v>3340</v>
      </c>
      <c r="G303" s="460" t="s">
        <v>3381</v>
      </c>
      <c r="H303" s="509">
        <v>19075</v>
      </c>
      <c r="I303" s="194">
        <v>0</v>
      </c>
      <c r="J303" s="194">
        <v>44000</v>
      </c>
      <c r="K303" s="185">
        <v>0.5</v>
      </c>
      <c r="L303" s="183" t="s">
        <v>5743</v>
      </c>
      <c r="M303" s="945" t="s">
        <v>4699</v>
      </c>
      <c r="N303" s="958" t="s">
        <v>3726</v>
      </c>
      <c r="O303" s="233"/>
    </row>
    <row r="304" spans="1:15" s="182" customFormat="1" ht="21.75" customHeight="1" x14ac:dyDescent="0.15">
      <c r="A304" s="151" t="s">
        <v>6675</v>
      </c>
      <c r="B304" s="20" t="s">
        <v>331</v>
      </c>
      <c r="C304" s="399" t="s">
        <v>3346</v>
      </c>
      <c r="D304" s="399" t="s">
        <v>3354</v>
      </c>
      <c r="E304" s="399" t="s">
        <v>846</v>
      </c>
      <c r="F304" s="418" t="s">
        <v>3328</v>
      </c>
      <c r="G304" s="235" t="s">
        <v>6368</v>
      </c>
      <c r="H304" s="509" t="s">
        <v>6686</v>
      </c>
      <c r="I304" s="194">
        <v>0</v>
      </c>
      <c r="J304" s="194">
        <v>74000</v>
      </c>
      <c r="K304" s="185">
        <v>0.5</v>
      </c>
      <c r="L304" s="183" t="s">
        <v>5743</v>
      </c>
      <c r="M304" s="184" t="s">
        <v>5161</v>
      </c>
      <c r="N304" s="184" t="s">
        <v>3726</v>
      </c>
      <c r="O304" s="233"/>
    </row>
    <row r="305" spans="1:15" s="182" customFormat="1" ht="21.75" customHeight="1" x14ac:dyDescent="0.15">
      <c r="A305" s="151" t="s">
        <v>6671</v>
      </c>
      <c r="B305" s="20" t="s">
        <v>6366</v>
      </c>
      <c r="C305" s="184" t="s">
        <v>4982</v>
      </c>
      <c r="D305" s="184" t="s">
        <v>5018</v>
      </c>
      <c r="E305" s="184" t="s">
        <v>5934</v>
      </c>
      <c r="F305" s="184" t="s">
        <v>5078</v>
      </c>
      <c r="G305" s="235" t="s">
        <v>6368</v>
      </c>
      <c r="H305" s="509" t="s">
        <v>6687</v>
      </c>
      <c r="I305" s="194">
        <v>0</v>
      </c>
      <c r="J305" s="194">
        <v>74000</v>
      </c>
      <c r="K305" s="185">
        <v>0.5</v>
      </c>
      <c r="L305" s="183" t="s">
        <v>5743</v>
      </c>
      <c r="M305" s="184" t="s">
        <v>5161</v>
      </c>
      <c r="N305" s="184" t="s">
        <v>3726</v>
      </c>
      <c r="O305" s="233"/>
    </row>
    <row r="306" spans="1:15" s="182" customFormat="1" ht="21.75" customHeight="1" x14ac:dyDescent="0.15">
      <c r="A306" s="151" t="s">
        <v>6672</v>
      </c>
      <c r="B306" s="20" t="s">
        <v>1313</v>
      </c>
      <c r="C306" s="399" t="s">
        <v>3346</v>
      </c>
      <c r="D306" s="391" t="s">
        <v>3354</v>
      </c>
      <c r="E306" s="405" t="s">
        <v>3562</v>
      </c>
      <c r="F306" s="184" t="s">
        <v>3328</v>
      </c>
      <c r="G306" s="235" t="s">
        <v>6368</v>
      </c>
      <c r="H306" s="509" t="s">
        <v>6684</v>
      </c>
      <c r="I306" s="194">
        <v>0</v>
      </c>
      <c r="J306" s="194">
        <v>74000</v>
      </c>
      <c r="K306" s="185">
        <v>0.5</v>
      </c>
      <c r="L306" s="183" t="s">
        <v>5743</v>
      </c>
      <c r="M306" s="184" t="s">
        <v>5161</v>
      </c>
      <c r="N306" s="184" t="s">
        <v>3726</v>
      </c>
      <c r="O306" s="233"/>
    </row>
    <row r="307" spans="1:15" s="182" customFormat="1" ht="21.75" customHeight="1" x14ac:dyDescent="0.15">
      <c r="A307" s="151" t="s">
        <v>6672</v>
      </c>
      <c r="B307" s="20" t="s">
        <v>3555</v>
      </c>
      <c r="C307" s="399" t="s">
        <v>3346</v>
      </c>
      <c r="D307" s="399" t="s">
        <v>3354</v>
      </c>
      <c r="E307" s="399" t="s">
        <v>844</v>
      </c>
      <c r="F307" s="418" t="s">
        <v>3328</v>
      </c>
      <c r="G307" s="235" t="s">
        <v>6368</v>
      </c>
      <c r="H307" s="509" t="s">
        <v>6685</v>
      </c>
      <c r="I307" s="194">
        <v>0</v>
      </c>
      <c r="J307" s="194">
        <v>74000</v>
      </c>
      <c r="K307" s="185">
        <v>0.5</v>
      </c>
      <c r="L307" s="183" t="s">
        <v>5743</v>
      </c>
      <c r="M307" s="184" t="s">
        <v>5161</v>
      </c>
      <c r="N307" s="184" t="s">
        <v>3726</v>
      </c>
      <c r="O307" s="233"/>
    </row>
    <row r="308" spans="1:15" s="182" customFormat="1" ht="42.75" customHeight="1" x14ac:dyDescent="0.15">
      <c r="A308" s="151" t="s">
        <v>6672</v>
      </c>
      <c r="B308" s="849" t="s">
        <v>6125</v>
      </c>
      <c r="C308" s="392" t="s">
        <v>3351</v>
      </c>
      <c r="D308" s="945" t="s">
        <v>3352</v>
      </c>
      <c r="E308" s="454" t="s">
        <v>6688</v>
      </c>
      <c r="F308" s="945" t="s">
        <v>3344</v>
      </c>
      <c r="G308" s="460" t="s">
        <v>3341</v>
      </c>
      <c r="H308" s="946">
        <v>16057</v>
      </c>
      <c r="I308" s="194">
        <v>0</v>
      </c>
      <c r="J308" s="194">
        <v>32000</v>
      </c>
      <c r="K308" s="185">
        <v>0.2</v>
      </c>
      <c r="L308" s="183" t="s">
        <v>5743</v>
      </c>
      <c r="M308" s="392" t="s">
        <v>65</v>
      </c>
      <c r="N308" s="184" t="s">
        <v>3726</v>
      </c>
      <c r="O308" s="233"/>
    </row>
    <row r="309" spans="1:15" s="182" customFormat="1" ht="42.75" customHeight="1" x14ac:dyDescent="0.15">
      <c r="A309" s="151" t="s">
        <v>6672</v>
      </c>
      <c r="B309" s="849" t="s">
        <v>6125</v>
      </c>
      <c r="C309" s="224" t="s">
        <v>3351</v>
      </c>
      <c r="D309" s="224" t="s">
        <v>3352</v>
      </c>
      <c r="E309" s="394" t="s">
        <v>3643</v>
      </c>
      <c r="F309" s="403" t="s">
        <v>3340</v>
      </c>
      <c r="G309" s="239" t="s">
        <v>3349</v>
      </c>
      <c r="H309" s="509">
        <v>22093</v>
      </c>
      <c r="I309" s="194">
        <v>0</v>
      </c>
      <c r="J309" s="194">
        <v>35000</v>
      </c>
      <c r="K309" s="185">
        <v>0.5</v>
      </c>
      <c r="L309" s="183" t="s">
        <v>5743</v>
      </c>
      <c r="M309" s="184" t="s">
        <v>3726</v>
      </c>
      <c r="N309" s="184" t="s">
        <v>3726</v>
      </c>
      <c r="O309" s="233"/>
    </row>
    <row r="310" spans="1:15" s="182" customFormat="1" ht="21.75" customHeight="1" x14ac:dyDescent="0.15">
      <c r="A310" s="151" t="s">
        <v>6672</v>
      </c>
      <c r="B310" s="20" t="s">
        <v>1437</v>
      </c>
      <c r="C310" s="224" t="s">
        <v>3351</v>
      </c>
      <c r="D310" s="224" t="s">
        <v>3352</v>
      </c>
      <c r="E310" s="224" t="s">
        <v>3644</v>
      </c>
      <c r="F310" s="403" t="s">
        <v>3328</v>
      </c>
      <c r="G310" s="235" t="s">
        <v>3381</v>
      </c>
      <c r="H310" s="509">
        <v>21103</v>
      </c>
      <c r="I310" s="194">
        <v>0</v>
      </c>
      <c r="J310" s="194">
        <v>35000</v>
      </c>
      <c r="K310" s="185">
        <v>0.5</v>
      </c>
      <c r="L310" s="183" t="s">
        <v>5743</v>
      </c>
      <c r="M310" s="184" t="s">
        <v>3726</v>
      </c>
      <c r="N310" s="184" t="s">
        <v>3726</v>
      </c>
      <c r="O310" s="233"/>
    </row>
    <row r="311" spans="1:15" s="182" customFormat="1" ht="21.75" customHeight="1" x14ac:dyDescent="0.15">
      <c r="A311" s="151" t="s">
        <v>6672</v>
      </c>
      <c r="B311" s="20" t="s">
        <v>1437</v>
      </c>
      <c r="C311" s="224" t="s">
        <v>3351</v>
      </c>
      <c r="D311" s="224" t="s">
        <v>3352</v>
      </c>
      <c r="E311" s="394" t="s">
        <v>4451</v>
      </c>
      <c r="F311" s="403" t="s">
        <v>3328</v>
      </c>
      <c r="G311" s="239" t="s">
        <v>3349</v>
      </c>
      <c r="H311" s="509">
        <v>22095</v>
      </c>
      <c r="I311" s="194">
        <v>0</v>
      </c>
      <c r="J311" s="194">
        <v>35000</v>
      </c>
      <c r="K311" s="185">
        <v>0.5</v>
      </c>
      <c r="L311" s="183" t="s">
        <v>5743</v>
      </c>
      <c r="M311" s="184" t="s">
        <v>3726</v>
      </c>
      <c r="N311" s="184" t="s">
        <v>3726</v>
      </c>
      <c r="O311" s="233"/>
    </row>
    <row r="312" spans="1:15" s="182" customFormat="1" ht="21.75" customHeight="1" x14ac:dyDescent="0.15">
      <c r="A312" s="151" t="s">
        <v>6672</v>
      </c>
      <c r="B312" s="20" t="s">
        <v>1437</v>
      </c>
      <c r="C312" s="224" t="s">
        <v>3351</v>
      </c>
      <c r="D312" s="224" t="s">
        <v>3352</v>
      </c>
      <c r="E312" s="224" t="s">
        <v>3644</v>
      </c>
      <c r="F312" s="403" t="s">
        <v>3328</v>
      </c>
      <c r="G312" s="239" t="s">
        <v>3349</v>
      </c>
      <c r="H312" s="509">
        <v>22096</v>
      </c>
      <c r="I312" s="194">
        <v>0</v>
      </c>
      <c r="J312" s="194">
        <v>35000</v>
      </c>
      <c r="K312" s="185">
        <v>0.5</v>
      </c>
      <c r="L312" s="183" t="s">
        <v>5743</v>
      </c>
      <c r="M312" s="184" t="s">
        <v>3726</v>
      </c>
      <c r="N312" s="184" t="s">
        <v>3726</v>
      </c>
      <c r="O312" s="233"/>
    </row>
    <row r="313" spans="1:15" s="182" customFormat="1" ht="45" customHeight="1" x14ac:dyDescent="0.15">
      <c r="A313" s="151" t="s">
        <v>6672</v>
      </c>
      <c r="B313" s="849" t="s">
        <v>6540</v>
      </c>
      <c r="C313" s="224" t="s">
        <v>3351</v>
      </c>
      <c r="D313" s="224" t="s">
        <v>3352</v>
      </c>
      <c r="E313" s="394" t="s">
        <v>2784</v>
      </c>
      <c r="F313" s="403" t="s">
        <v>3328</v>
      </c>
      <c r="G313" s="235" t="s">
        <v>3381</v>
      </c>
      <c r="H313" s="509">
        <v>21095</v>
      </c>
      <c r="I313" s="194">
        <v>0</v>
      </c>
      <c r="J313" s="194">
        <v>35000</v>
      </c>
      <c r="K313" s="185">
        <v>0.5</v>
      </c>
      <c r="L313" s="183" t="s">
        <v>5743</v>
      </c>
      <c r="M313" s="184" t="s">
        <v>3726</v>
      </c>
      <c r="N313" s="184" t="s">
        <v>3726</v>
      </c>
      <c r="O313" s="233"/>
    </row>
    <row r="314" spans="1:15" s="182" customFormat="1" ht="21.75" customHeight="1" x14ac:dyDescent="0.15">
      <c r="A314" s="151" t="s">
        <v>6672</v>
      </c>
      <c r="B314" s="20" t="s">
        <v>6674</v>
      </c>
      <c r="C314" s="224" t="s">
        <v>3351</v>
      </c>
      <c r="D314" s="224" t="s">
        <v>3352</v>
      </c>
      <c r="E314" s="184" t="s">
        <v>6691</v>
      </c>
      <c r="F314" s="184" t="s">
        <v>3332</v>
      </c>
      <c r="G314" s="235" t="s">
        <v>6504</v>
      </c>
      <c r="H314" s="981" t="s">
        <v>6689</v>
      </c>
      <c r="I314" s="194">
        <v>0</v>
      </c>
      <c r="J314" s="194">
        <v>82175</v>
      </c>
      <c r="K314" s="185">
        <v>0.95</v>
      </c>
      <c r="L314" s="183" t="s">
        <v>6315</v>
      </c>
      <c r="M314" s="184" t="s">
        <v>3726</v>
      </c>
      <c r="N314" s="184" t="s">
        <v>3726</v>
      </c>
      <c r="O314" s="233"/>
    </row>
    <row r="315" spans="1:15" s="182" customFormat="1" ht="21.75" customHeight="1" x14ac:dyDescent="0.15">
      <c r="A315" s="151" t="s">
        <v>6672</v>
      </c>
      <c r="B315" s="20" t="s">
        <v>6674</v>
      </c>
      <c r="C315" s="224" t="s">
        <v>3351</v>
      </c>
      <c r="D315" s="224" t="s">
        <v>3352</v>
      </c>
      <c r="E315" s="184" t="s">
        <v>6692</v>
      </c>
      <c r="F315" s="184" t="s">
        <v>3332</v>
      </c>
      <c r="G315" s="235" t="s">
        <v>6504</v>
      </c>
      <c r="H315" s="981" t="s">
        <v>6690</v>
      </c>
      <c r="I315" s="194">
        <v>0</v>
      </c>
      <c r="J315" s="194">
        <v>82175</v>
      </c>
      <c r="K315" s="185">
        <v>0.95</v>
      </c>
      <c r="L315" s="183" t="s">
        <v>6315</v>
      </c>
      <c r="M315" s="184" t="s">
        <v>3726</v>
      </c>
      <c r="N315" s="184" t="s">
        <v>3726</v>
      </c>
      <c r="O315" s="233"/>
    </row>
    <row r="316" spans="1:15" s="182" customFormat="1" ht="46.5" customHeight="1" x14ac:dyDescent="0.15">
      <c r="A316" s="151" t="s">
        <v>6673</v>
      </c>
      <c r="B316" s="849" t="s">
        <v>6693</v>
      </c>
      <c r="C316" s="184" t="s">
        <v>4941</v>
      </c>
      <c r="D316" s="184" t="s">
        <v>4942</v>
      </c>
      <c r="E316" s="184" t="s">
        <v>6694</v>
      </c>
      <c r="F316" s="418" t="s">
        <v>3328</v>
      </c>
      <c r="G316" s="235" t="s">
        <v>5249</v>
      </c>
      <c r="H316" s="509">
        <v>22025</v>
      </c>
      <c r="I316" s="194">
        <v>0</v>
      </c>
      <c r="J316" s="194">
        <v>43000</v>
      </c>
      <c r="K316" s="185">
        <v>1</v>
      </c>
      <c r="L316" s="183" t="s">
        <v>806</v>
      </c>
      <c r="M316" s="184" t="s">
        <v>5255</v>
      </c>
      <c r="N316" s="184" t="s">
        <v>5255</v>
      </c>
      <c r="O316" s="233"/>
    </row>
    <row r="317" spans="1:15" s="182" customFormat="1" ht="21.75" customHeight="1" x14ac:dyDescent="0.15">
      <c r="A317" s="151" t="s">
        <v>6673</v>
      </c>
      <c r="B317" s="20" t="s">
        <v>1428</v>
      </c>
      <c r="C317" s="224" t="s">
        <v>3351</v>
      </c>
      <c r="D317" s="224" t="s">
        <v>3352</v>
      </c>
      <c r="E317" s="394" t="s">
        <v>2787</v>
      </c>
      <c r="F317" s="403" t="s">
        <v>3328</v>
      </c>
      <c r="G317" s="239" t="s">
        <v>3349</v>
      </c>
      <c r="H317" s="509">
        <v>22090</v>
      </c>
      <c r="I317" s="194">
        <v>0</v>
      </c>
      <c r="J317" s="194">
        <v>35000</v>
      </c>
      <c r="K317" s="185">
        <v>0.5</v>
      </c>
      <c r="L317" s="183" t="s">
        <v>5743</v>
      </c>
      <c r="M317" s="184" t="s">
        <v>3726</v>
      </c>
      <c r="N317" s="184" t="s">
        <v>3726</v>
      </c>
      <c r="O317" s="233"/>
    </row>
    <row r="318" spans="1:15" s="182" customFormat="1" ht="21.75" customHeight="1" x14ac:dyDescent="0.15">
      <c r="A318" s="151" t="s">
        <v>6676</v>
      </c>
      <c r="B318" s="20" t="s">
        <v>254</v>
      </c>
      <c r="C318" s="399" t="s">
        <v>3346</v>
      </c>
      <c r="D318" s="391" t="s">
        <v>3354</v>
      </c>
      <c r="E318" s="405" t="s">
        <v>921</v>
      </c>
      <c r="F318" s="184" t="s">
        <v>3328</v>
      </c>
      <c r="G318" s="235" t="s">
        <v>6368</v>
      </c>
      <c r="H318" s="509" t="s">
        <v>6682</v>
      </c>
      <c r="I318" s="194">
        <v>0</v>
      </c>
      <c r="J318" s="194">
        <v>74000</v>
      </c>
      <c r="K318" s="185">
        <v>0.5</v>
      </c>
      <c r="L318" s="183" t="s">
        <v>5743</v>
      </c>
      <c r="M318" s="184" t="s">
        <v>5161</v>
      </c>
      <c r="N318" s="184" t="s">
        <v>3726</v>
      </c>
      <c r="O318" s="233"/>
    </row>
    <row r="319" spans="1:15" s="182" customFormat="1" ht="21.75" customHeight="1" x14ac:dyDescent="0.15">
      <c r="A319" s="151" t="s">
        <v>6676</v>
      </c>
      <c r="B319" s="20" t="s">
        <v>254</v>
      </c>
      <c r="C319" s="399" t="s">
        <v>3346</v>
      </c>
      <c r="D319" s="391" t="s">
        <v>3354</v>
      </c>
      <c r="E319" s="405" t="s">
        <v>925</v>
      </c>
      <c r="F319" s="184" t="s">
        <v>3328</v>
      </c>
      <c r="G319" s="235" t="s">
        <v>6368</v>
      </c>
      <c r="H319" s="509" t="s">
        <v>6683</v>
      </c>
      <c r="I319" s="194">
        <v>0</v>
      </c>
      <c r="J319" s="194">
        <v>74000</v>
      </c>
      <c r="K319" s="185">
        <v>0.5</v>
      </c>
      <c r="L319" s="183" t="s">
        <v>5743</v>
      </c>
      <c r="M319" s="184" t="s">
        <v>5161</v>
      </c>
      <c r="N319" s="184" t="s">
        <v>3726</v>
      </c>
      <c r="O319" s="233"/>
    </row>
    <row r="320" spans="1:15" s="182" customFormat="1" ht="21.75" customHeight="1" x14ac:dyDescent="0.15">
      <c r="A320" s="151" t="s">
        <v>6676</v>
      </c>
      <c r="B320" s="20" t="s">
        <v>4296</v>
      </c>
      <c r="C320" s="399" t="s">
        <v>4982</v>
      </c>
      <c r="D320" s="399" t="s">
        <v>5153</v>
      </c>
      <c r="E320" s="399" t="s">
        <v>6123</v>
      </c>
      <c r="F320" s="184" t="s">
        <v>5078</v>
      </c>
      <c r="G320" s="235" t="s">
        <v>5030</v>
      </c>
      <c r="H320" s="509">
        <v>23057</v>
      </c>
      <c r="I320" s="194">
        <v>0</v>
      </c>
      <c r="J320" s="194">
        <v>78000</v>
      </c>
      <c r="K320" s="185">
        <v>1</v>
      </c>
      <c r="L320" s="183" t="s">
        <v>5743</v>
      </c>
      <c r="M320" s="184" t="s">
        <v>6038</v>
      </c>
      <c r="N320" s="184" t="s">
        <v>6038</v>
      </c>
      <c r="O320" s="233"/>
    </row>
    <row r="321" spans="1:15" s="182" customFormat="1" ht="21.75" customHeight="1" x14ac:dyDescent="0.15">
      <c r="A321" s="151" t="s">
        <v>6677</v>
      </c>
      <c r="B321" s="20" t="s">
        <v>2111</v>
      </c>
      <c r="C321" s="391" t="s">
        <v>3346</v>
      </c>
      <c r="D321" s="391" t="s">
        <v>3352</v>
      </c>
      <c r="E321" s="391" t="s">
        <v>3715</v>
      </c>
      <c r="F321" s="184" t="s">
        <v>3332</v>
      </c>
      <c r="G321" s="235" t="s">
        <v>5030</v>
      </c>
      <c r="H321" s="509">
        <v>23161</v>
      </c>
      <c r="I321" s="194">
        <v>0</v>
      </c>
      <c r="J321" s="194">
        <v>45500</v>
      </c>
      <c r="K321" s="185">
        <v>0.5</v>
      </c>
      <c r="L321" s="183" t="s">
        <v>5743</v>
      </c>
      <c r="M321" s="184" t="s">
        <v>693</v>
      </c>
      <c r="N321" s="184" t="s">
        <v>693</v>
      </c>
      <c r="O321" s="233"/>
    </row>
    <row r="322" spans="1:15" s="182" customFormat="1" ht="47.25" customHeight="1" x14ac:dyDescent="0.15">
      <c r="A322" s="151" t="s">
        <v>6678</v>
      </c>
      <c r="B322" s="849" t="s">
        <v>5970</v>
      </c>
      <c r="C322" s="399" t="s">
        <v>4982</v>
      </c>
      <c r="D322" s="399" t="s">
        <v>5018</v>
      </c>
      <c r="E322" s="399" t="s">
        <v>664</v>
      </c>
      <c r="F322" s="224" t="s">
        <v>3328</v>
      </c>
      <c r="G322" s="235" t="s">
        <v>6368</v>
      </c>
      <c r="H322" s="509" t="s">
        <v>6681</v>
      </c>
      <c r="I322" s="194">
        <v>0</v>
      </c>
      <c r="J322" s="194">
        <v>74000</v>
      </c>
      <c r="K322" s="185">
        <v>0.5</v>
      </c>
      <c r="L322" s="183" t="s">
        <v>5743</v>
      </c>
      <c r="M322" s="184" t="s">
        <v>5161</v>
      </c>
      <c r="N322" s="184" t="s">
        <v>3726</v>
      </c>
      <c r="O322" s="233"/>
    </row>
    <row r="323" spans="1:15" s="182" customFormat="1" ht="21.75" customHeight="1" x14ac:dyDescent="0.15">
      <c r="A323" s="151" t="s">
        <v>6678</v>
      </c>
      <c r="B323" s="20" t="s">
        <v>6679</v>
      </c>
      <c r="C323" s="399" t="s">
        <v>4963</v>
      </c>
      <c r="D323" s="399" t="s">
        <v>4964</v>
      </c>
      <c r="E323" s="399" t="s">
        <v>5909</v>
      </c>
      <c r="F323" s="403" t="s">
        <v>3328</v>
      </c>
      <c r="G323" s="235" t="s">
        <v>3329</v>
      </c>
      <c r="H323" s="509">
        <v>21108</v>
      </c>
      <c r="I323" s="194">
        <v>0</v>
      </c>
      <c r="J323" s="194">
        <v>172000</v>
      </c>
      <c r="K323" s="185">
        <v>0.4</v>
      </c>
      <c r="L323" s="183" t="s">
        <v>5768</v>
      </c>
      <c r="M323" s="945" t="s">
        <v>3434</v>
      </c>
      <c r="N323" s="945" t="s">
        <v>3957</v>
      </c>
      <c r="O323" s="233"/>
    </row>
    <row r="324" spans="1:15" s="182" customFormat="1" ht="21.75" customHeight="1" x14ac:dyDescent="0.15">
      <c r="A324" s="151" t="s">
        <v>6680</v>
      </c>
      <c r="B324" s="20" t="s">
        <v>1447</v>
      </c>
      <c r="C324" s="1005" t="s">
        <v>4963</v>
      </c>
      <c r="D324" s="1005" t="s">
        <v>5714</v>
      </c>
      <c r="E324" s="1005" t="s">
        <v>5715</v>
      </c>
      <c r="F324" s="224" t="s">
        <v>3328</v>
      </c>
      <c r="G324" s="239" t="s">
        <v>6695</v>
      </c>
      <c r="H324" s="509">
        <v>24064</v>
      </c>
      <c r="I324" s="194">
        <v>0</v>
      </c>
      <c r="J324" s="194">
        <v>45000</v>
      </c>
      <c r="K324" s="185" t="s">
        <v>6696</v>
      </c>
      <c r="L324" s="183" t="s">
        <v>806</v>
      </c>
      <c r="M324" s="184" t="s">
        <v>5765</v>
      </c>
      <c r="N324" s="184" t="s">
        <v>5765</v>
      </c>
      <c r="O324" s="233"/>
    </row>
    <row r="325" spans="1:15" s="182" customFormat="1" ht="21.75" customHeight="1" x14ac:dyDescent="0.15">
      <c r="A325" s="151" t="s">
        <v>6697</v>
      </c>
      <c r="B325" s="20" t="s">
        <v>226</v>
      </c>
      <c r="C325" s="399" t="s">
        <v>5567</v>
      </c>
      <c r="D325" s="399" t="s">
        <v>5422</v>
      </c>
      <c r="E325" s="399" t="s">
        <v>5774</v>
      </c>
      <c r="F325" s="184" t="s">
        <v>3328</v>
      </c>
      <c r="G325" s="239" t="s">
        <v>5240</v>
      </c>
      <c r="H325" s="509">
        <v>23112</v>
      </c>
      <c r="I325" s="194">
        <v>0</v>
      </c>
      <c r="J325" s="194">
        <v>840</v>
      </c>
      <c r="K325" s="185">
        <v>0.03</v>
      </c>
      <c r="L325" s="183" t="s">
        <v>5744</v>
      </c>
      <c r="M325" s="184" t="s">
        <v>693</v>
      </c>
      <c r="N325" s="184" t="s">
        <v>693</v>
      </c>
      <c r="O325" s="233"/>
    </row>
    <row r="326" spans="1:15" s="182" customFormat="1" ht="21.75" customHeight="1" x14ac:dyDescent="0.15">
      <c r="A326" s="151" t="s">
        <v>6698</v>
      </c>
      <c r="B326" s="20" t="s">
        <v>6699</v>
      </c>
      <c r="C326" s="399" t="s">
        <v>3346</v>
      </c>
      <c r="D326" s="399" t="s">
        <v>3354</v>
      </c>
      <c r="E326" s="399" t="s">
        <v>3675</v>
      </c>
      <c r="F326" s="224" t="s">
        <v>3328</v>
      </c>
      <c r="G326" s="235" t="s">
        <v>6368</v>
      </c>
      <c r="H326" s="509" t="s">
        <v>6700</v>
      </c>
      <c r="I326" s="194">
        <v>0</v>
      </c>
      <c r="J326" s="194">
        <v>74000</v>
      </c>
      <c r="K326" s="185">
        <v>0.5</v>
      </c>
      <c r="L326" s="183" t="s">
        <v>5743</v>
      </c>
      <c r="M326" s="184" t="s">
        <v>5161</v>
      </c>
      <c r="N326" s="184" t="s">
        <v>3726</v>
      </c>
      <c r="O326" s="233"/>
    </row>
    <row r="327" spans="1:15" s="182" customFormat="1" ht="21.75" customHeight="1" x14ac:dyDescent="0.15">
      <c r="A327" s="151" t="s">
        <v>6698</v>
      </c>
      <c r="B327" s="20" t="s">
        <v>6227</v>
      </c>
      <c r="C327" s="184" t="s">
        <v>4963</v>
      </c>
      <c r="D327" s="184" t="s">
        <v>5422</v>
      </c>
      <c r="E327" s="184" t="s">
        <v>5423</v>
      </c>
      <c r="F327" s="419" t="s">
        <v>3328</v>
      </c>
      <c r="G327" s="235" t="s">
        <v>6531</v>
      </c>
      <c r="H327" s="509">
        <v>23041</v>
      </c>
      <c r="I327" s="194">
        <v>0</v>
      </c>
      <c r="J327" s="194">
        <v>92000</v>
      </c>
      <c r="K327" s="185">
        <v>0.5</v>
      </c>
      <c r="L327" s="183" t="s">
        <v>5743</v>
      </c>
      <c r="M327" s="184" t="s">
        <v>693</v>
      </c>
      <c r="N327" s="184" t="s">
        <v>693</v>
      </c>
      <c r="O327" s="233"/>
    </row>
    <row r="328" spans="1:15" s="182" customFormat="1" ht="21.75" customHeight="1" x14ac:dyDescent="0.15">
      <c r="A328" s="151" t="s">
        <v>6701</v>
      </c>
      <c r="B328" s="20" t="s">
        <v>5949</v>
      </c>
      <c r="C328" s="571" t="s">
        <v>3346</v>
      </c>
      <c r="D328" s="571" t="s">
        <v>3354</v>
      </c>
      <c r="E328" s="422" t="s">
        <v>4723</v>
      </c>
      <c r="F328" s="224" t="s">
        <v>3328</v>
      </c>
      <c r="G328" s="235" t="s">
        <v>6368</v>
      </c>
      <c r="H328" s="509" t="s">
        <v>6704</v>
      </c>
      <c r="I328" s="194">
        <v>0</v>
      </c>
      <c r="J328" s="194">
        <v>74000</v>
      </c>
      <c r="K328" s="185">
        <v>0.5</v>
      </c>
      <c r="L328" s="183" t="s">
        <v>5743</v>
      </c>
      <c r="M328" s="184" t="s">
        <v>5161</v>
      </c>
      <c r="N328" s="184" t="s">
        <v>3726</v>
      </c>
      <c r="O328" s="233"/>
    </row>
    <row r="329" spans="1:15" s="182" customFormat="1" ht="21.75" customHeight="1" x14ac:dyDescent="0.15">
      <c r="A329" s="151" t="s">
        <v>6701</v>
      </c>
      <c r="B329" s="20" t="s">
        <v>6702</v>
      </c>
      <c r="C329" s="1006" t="s">
        <v>4982</v>
      </c>
      <c r="D329" s="1006" t="s">
        <v>6706</v>
      </c>
      <c r="E329" s="1006" t="s">
        <v>6707</v>
      </c>
      <c r="F329" s="184" t="s">
        <v>5078</v>
      </c>
      <c r="G329" s="235" t="s">
        <v>3329</v>
      </c>
      <c r="H329" s="509">
        <v>24073</v>
      </c>
      <c r="I329" s="194">
        <v>0</v>
      </c>
      <c r="J329" s="194">
        <v>162000</v>
      </c>
      <c r="K329" s="185">
        <v>0.3</v>
      </c>
      <c r="L329" s="183" t="s">
        <v>6708</v>
      </c>
      <c r="M329" s="184" t="s">
        <v>6038</v>
      </c>
      <c r="N329" s="184" t="s">
        <v>6038</v>
      </c>
      <c r="O329" s="233"/>
    </row>
    <row r="330" spans="1:15" s="182" customFormat="1" ht="21.75" customHeight="1" x14ac:dyDescent="0.15">
      <c r="A330" s="151" t="s">
        <v>6703</v>
      </c>
      <c r="B330" s="20" t="s">
        <v>5221</v>
      </c>
      <c r="C330" s="399" t="s">
        <v>3346</v>
      </c>
      <c r="D330" s="399" t="s">
        <v>3354</v>
      </c>
      <c r="E330" s="399" t="s">
        <v>845</v>
      </c>
      <c r="F330" s="418" t="s">
        <v>3328</v>
      </c>
      <c r="G330" s="235" t="s">
        <v>6368</v>
      </c>
      <c r="H330" s="509" t="s">
        <v>6705</v>
      </c>
      <c r="I330" s="194">
        <v>0</v>
      </c>
      <c r="J330" s="194">
        <v>74000</v>
      </c>
      <c r="K330" s="185">
        <v>0.5</v>
      </c>
      <c r="L330" s="183" t="s">
        <v>5743</v>
      </c>
      <c r="M330" s="184" t="s">
        <v>5161</v>
      </c>
      <c r="N330" s="184" t="s">
        <v>3726</v>
      </c>
      <c r="O330" s="233"/>
    </row>
    <row r="331" spans="1:15" s="182" customFormat="1" ht="21.75" customHeight="1" x14ac:dyDescent="0.15">
      <c r="A331" s="151" t="s">
        <v>6709</v>
      </c>
      <c r="B331" s="20" t="s">
        <v>6710</v>
      </c>
      <c r="C331" s="224" t="s">
        <v>3351</v>
      </c>
      <c r="D331" s="224" t="s">
        <v>3352</v>
      </c>
      <c r="E331" s="394" t="s">
        <v>6616</v>
      </c>
      <c r="F331" s="184" t="s">
        <v>5078</v>
      </c>
      <c r="G331" s="235" t="s">
        <v>6711</v>
      </c>
      <c r="H331" s="509">
        <v>23127</v>
      </c>
      <c r="I331" s="194">
        <v>0</v>
      </c>
      <c r="J331" s="194">
        <v>40800</v>
      </c>
      <c r="K331" s="185">
        <v>0.2</v>
      </c>
      <c r="L331" s="183" t="s">
        <v>5743</v>
      </c>
      <c r="M331" s="184" t="s">
        <v>5255</v>
      </c>
      <c r="N331" s="184" t="s">
        <v>5255</v>
      </c>
      <c r="O331" s="233"/>
    </row>
    <row r="332" spans="1:15" s="182" customFormat="1" ht="21.75" customHeight="1" x14ac:dyDescent="0.15">
      <c r="A332" s="151" t="s">
        <v>6712</v>
      </c>
      <c r="B332" s="20" t="s">
        <v>6721</v>
      </c>
      <c r="C332" s="224" t="s">
        <v>3351</v>
      </c>
      <c r="D332" s="224" t="s">
        <v>3352</v>
      </c>
      <c r="E332" s="394" t="s">
        <v>3689</v>
      </c>
      <c r="F332" s="184" t="s">
        <v>5078</v>
      </c>
      <c r="G332" s="235" t="s">
        <v>6711</v>
      </c>
      <c r="H332" s="509">
        <v>23126</v>
      </c>
      <c r="I332" s="194">
        <v>0</v>
      </c>
      <c r="J332" s="194">
        <v>40800</v>
      </c>
      <c r="K332" s="185">
        <v>0.2</v>
      </c>
      <c r="L332" s="183" t="s">
        <v>5743</v>
      </c>
      <c r="M332" s="184" t="s">
        <v>5255</v>
      </c>
      <c r="N332" s="184" t="s">
        <v>5255</v>
      </c>
      <c r="O332" s="233"/>
    </row>
    <row r="333" spans="1:15" s="182" customFormat="1" ht="21.75" customHeight="1" x14ac:dyDescent="0.15">
      <c r="A333" s="151" t="s">
        <v>6712</v>
      </c>
      <c r="B333" s="20" t="s">
        <v>5261</v>
      </c>
      <c r="C333" s="399" t="s">
        <v>3346</v>
      </c>
      <c r="D333" s="399" t="s">
        <v>3354</v>
      </c>
      <c r="E333" s="399" t="s">
        <v>844</v>
      </c>
      <c r="F333" s="184" t="s">
        <v>5762</v>
      </c>
      <c r="G333" s="235" t="s">
        <v>6591</v>
      </c>
      <c r="H333" s="509" t="s">
        <v>6716</v>
      </c>
      <c r="I333" s="194">
        <v>0</v>
      </c>
      <c r="J333" s="194">
        <v>57350</v>
      </c>
      <c r="K333" s="185">
        <v>0.5</v>
      </c>
      <c r="L333" s="183" t="s">
        <v>5768</v>
      </c>
      <c r="M333" s="184" t="s">
        <v>5255</v>
      </c>
      <c r="N333" s="184" t="s">
        <v>5255</v>
      </c>
      <c r="O333" s="233"/>
    </row>
    <row r="334" spans="1:15" s="182" customFormat="1" ht="21.75" customHeight="1" x14ac:dyDescent="0.15">
      <c r="A334" s="151" t="s">
        <v>6712</v>
      </c>
      <c r="B334" s="20" t="s">
        <v>5948</v>
      </c>
      <c r="C334" s="399" t="s">
        <v>4982</v>
      </c>
      <c r="D334" s="399" t="s">
        <v>5018</v>
      </c>
      <c r="E334" s="399" t="s">
        <v>5335</v>
      </c>
      <c r="F334" s="184" t="s">
        <v>5762</v>
      </c>
      <c r="G334" s="235" t="s">
        <v>6591</v>
      </c>
      <c r="H334" s="509" t="s">
        <v>6717</v>
      </c>
      <c r="I334" s="194">
        <v>0</v>
      </c>
      <c r="J334" s="194">
        <v>57350</v>
      </c>
      <c r="K334" s="185">
        <v>0.5</v>
      </c>
      <c r="L334" s="183" t="s">
        <v>5768</v>
      </c>
      <c r="M334" s="184" t="s">
        <v>5255</v>
      </c>
      <c r="N334" s="184" t="s">
        <v>5255</v>
      </c>
      <c r="O334" s="233"/>
    </row>
    <row r="335" spans="1:15" s="182" customFormat="1" ht="57" customHeight="1" x14ac:dyDescent="0.15">
      <c r="A335" s="151" t="s">
        <v>6714</v>
      </c>
      <c r="B335" s="849" t="s">
        <v>5970</v>
      </c>
      <c r="C335" s="399" t="s">
        <v>4982</v>
      </c>
      <c r="D335" s="399" t="s">
        <v>5018</v>
      </c>
      <c r="E335" s="399" t="s">
        <v>664</v>
      </c>
      <c r="F335" s="184" t="s">
        <v>5762</v>
      </c>
      <c r="G335" s="235" t="s">
        <v>6591</v>
      </c>
      <c r="H335" s="509" t="s">
        <v>6718</v>
      </c>
      <c r="I335" s="194">
        <v>0</v>
      </c>
      <c r="J335" s="194">
        <v>57350</v>
      </c>
      <c r="K335" s="185">
        <v>0.5</v>
      </c>
      <c r="L335" s="183" t="s">
        <v>5768</v>
      </c>
      <c r="M335" s="184" t="s">
        <v>5255</v>
      </c>
      <c r="N335" s="184" t="s">
        <v>5255</v>
      </c>
      <c r="O335" s="233"/>
    </row>
    <row r="336" spans="1:15" s="182" customFormat="1" ht="21.75" customHeight="1" x14ac:dyDescent="0.15">
      <c r="A336" s="151" t="s">
        <v>6715</v>
      </c>
      <c r="B336" s="20" t="s">
        <v>6713</v>
      </c>
      <c r="C336" s="945" t="s">
        <v>3371</v>
      </c>
      <c r="D336" s="945" t="s">
        <v>5541</v>
      </c>
      <c r="E336" s="952" t="s">
        <v>6719</v>
      </c>
      <c r="F336" s="184" t="s">
        <v>5078</v>
      </c>
      <c r="G336" s="235" t="s">
        <v>5658</v>
      </c>
      <c r="H336" s="509">
        <v>24079</v>
      </c>
      <c r="I336" s="194">
        <v>0</v>
      </c>
      <c r="J336" s="194">
        <v>128200</v>
      </c>
      <c r="K336" s="185">
        <v>1</v>
      </c>
      <c r="L336" s="183" t="s">
        <v>6720</v>
      </c>
      <c r="M336" s="184" t="s">
        <v>6038</v>
      </c>
      <c r="N336" s="184" t="s">
        <v>6038</v>
      </c>
      <c r="O336" s="233"/>
    </row>
    <row r="337" spans="1:15" s="182" customFormat="1" ht="21.75" customHeight="1" x14ac:dyDescent="0.15">
      <c r="A337" s="151" t="s">
        <v>6722</v>
      </c>
      <c r="B337" s="20" t="s">
        <v>6725</v>
      </c>
      <c r="C337" s="399" t="s">
        <v>4982</v>
      </c>
      <c r="D337" s="393" t="s">
        <v>3457</v>
      </c>
      <c r="E337" s="405" t="s">
        <v>6734</v>
      </c>
      <c r="F337" s="184" t="s">
        <v>4944</v>
      </c>
      <c r="G337" s="235" t="s">
        <v>5658</v>
      </c>
      <c r="H337" s="509">
        <v>24011</v>
      </c>
      <c r="I337" s="194">
        <v>0</v>
      </c>
      <c r="J337" s="194">
        <v>60000</v>
      </c>
      <c r="K337" s="185">
        <v>1</v>
      </c>
      <c r="L337" s="183" t="s">
        <v>5743</v>
      </c>
      <c r="M337" s="184" t="s">
        <v>662</v>
      </c>
      <c r="N337" s="184" t="s">
        <v>662</v>
      </c>
      <c r="O337" s="233"/>
    </row>
    <row r="338" spans="1:15" s="182" customFormat="1" ht="21.75" customHeight="1" x14ac:dyDescent="0.15">
      <c r="A338" s="151" t="s">
        <v>6723</v>
      </c>
      <c r="B338" s="20" t="s">
        <v>5885</v>
      </c>
      <c r="C338" s="945" t="s">
        <v>3346</v>
      </c>
      <c r="D338" s="945" t="s">
        <v>3360</v>
      </c>
      <c r="E338" s="391" t="s">
        <v>5896</v>
      </c>
      <c r="F338" s="391" t="s">
        <v>3355</v>
      </c>
      <c r="G338" s="430" t="s">
        <v>4017</v>
      </c>
      <c r="H338" s="509">
        <v>17051</v>
      </c>
      <c r="I338" s="194">
        <v>0</v>
      </c>
      <c r="J338" s="194">
        <v>23662.400000000001</v>
      </c>
      <c r="K338" s="185">
        <v>0.1</v>
      </c>
      <c r="L338" s="183" t="s">
        <v>5744</v>
      </c>
      <c r="M338" s="391" t="s">
        <v>3433</v>
      </c>
      <c r="N338" s="418" t="s">
        <v>3433</v>
      </c>
      <c r="O338" s="233"/>
    </row>
    <row r="339" spans="1:15" s="182" customFormat="1" ht="21.75" customHeight="1" x14ac:dyDescent="0.15">
      <c r="A339" s="151" t="s">
        <v>6723</v>
      </c>
      <c r="B339" s="20" t="s">
        <v>6209</v>
      </c>
      <c r="C339" s="184" t="s">
        <v>4982</v>
      </c>
      <c r="D339" s="184" t="s">
        <v>5541</v>
      </c>
      <c r="E339" s="184" t="s">
        <v>6747</v>
      </c>
      <c r="F339" s="184" t="s">
        <v>3355</v>
      </c>
      <c r="G339" s="235" t="s">
        <v>5086</v>
      </c>
      <c r="H339" s="509">
        <v>22121</v>
      </c>
      <c r="I339" s="194">
        <v>0</v>
      </c>
      <c r="J339" s="194">
        <v>70000</v>
      </c>
      <c r="K339" s="185">
        <v>1</v>
      </c>
      <c r="L339" s="183" t="s">
        <v>806</v>
      </c>
      <c r="M339" s="184" t="s">
        <v>5835</v>
      </c>
      <c r="N339" s="945" t="s">
        <v>3725</v>
      </c>
      <c r="O339" s="233"/>
    </row>
    <row r="340" spans="1:15" s="182" customFormat="1" ht="21.75" customHeight="1" x14ac:dyDescent="0.15">
      <c r="A340" s="151" t="s">
        <v>6723</v>
      </c>
      <c r="B340" s="20" t="s">
        <v>6209</v>
      </c>
      <c r="C340" s="945" t="s">
        <v>3371</v>
      </c>
      <c r="D340" s="945" t="s">
        <v>3547</v>
      </c>
      <c r="E340" s="952" t="s">
        <v>6750</v>
      </c>
      <c r="F340" s="952" t="s">
        <v>3332</v>
      </c>
      <c r="G340" s="430" t="s">
        <v>3529</v>
      </c>
      <c r="H340" s="509" t="s">
        <v>6748</v>
      </c>
      <c r="I340" s="194">
        <v>0</v>
      </c>
      <c r="J340" s="194">
        <v>185499</v>
      </c>
      <c r="K340" s="185">
        <v>0.9</v>
      </c>
      <c r="L340" s="183" t="s">
        <v>6535</v>
      </c>
      <c r="M340" s="945" t="s">
        <v>6752</v>
      </c>
      <c r="N340" s="945" t="s">
        <v>6752</v>
      </c>
      <c r="O340" s="233"/>
    </row>
    <row r="341" spans="1:15" s="182" customFormat="1" ht="21.75" customHeight="1" x14ac:dyDescent="0.15">
      <c r="A341" s="151" t="s">
        <v>6723</v>
      </c>
      <c r="B341" s="20" t="s">
        <v>6209</v>
      </c>
      <c r="C341" s="945" t="s">
        <v>3371</v>
      </c>
      <c r="D341" s="945" t="s">
        <v>3547</v>
      </c>
      <c r="E341" s="952" t="s">
        <v>6750</v>
      </c>
      <c r="F341" s="952" t="s">
        <v>3579</v>
      </c>
      <c r="G341" s="430" t="s">
        <v>6751</v>
      </c>
      <c r="H341" s="509" t="s">
        <v>6749</v>
      </c>
      <c r="I341" s="194">
        <v>0</v>
      </c>
      <c r="J341" s="194">
        <v>96210</v>
      </c>
      <c r="K341" s="185">
        <v>0.9</v>
      </c>
      <c r="L341" s="183" t="s">
        <v>6535</v>
      </c>
      <c r="M341" s="945" t="s">
        <v>6752</v>
      </c>
      <c r="N341" s="945" t="s">
        <v>6752</v>
      </c>
      <c r="O341" s="233"/>
    </row>
    <row r="342" spans="1:15" s="182" customFormat="1" ht="21.75" customHeight="1" x14ac:dyDescent="0.15">
      <c r="A342" s="151" t="s">
        <v>6724</v>
      </c>
      <c r="B342" s="20" t="s">
        <v>679</v>
      </c>
      <c r="C342" s="399" t="s">
        <v>3346</v>
      </c>
      <c r="D342" s="391" t="s">
        <v>3354</v>
      </c>
      <c r="E342" s="405" t="s">
        <v>921</v>
      </c>
      <c r="F342" s="184" t="s">
        <v>5762</v>
      </c>
      <c r="G342" s="235" t="s">
        <v>6591</v>
      </c>
      <c r="H342" s="509" t="s">
        <v>6735</v>
      </c>
      <c r="I342" s="194">
        <v>0</v>
      </c>
      <c r="J342" s="194">
        <v>57350</v>
      </c>
      <c r="K342" s="185">
        <v>0.5</v>
      </c>
      <c r="L342" s="183" t="s">
        <v>5768</v>
      </c>
      <c r="M342" s="184" t="s">
        <v>5255</v>
      </c>
      <c r="N342" s="184" t="s">
        <v>5255</v>
      </c>
      <c r="O342" s="233"/>
    </row>
    <row r="343" spans="1:15" s="182" customFormat="1" ht="21.75" customHeight="1" x14ac:dyDescent="0.15">
      <c r="A343" s="151" t="s">
        <v>6724</v>
      </c>
      <c r="B343" s="20" t="s">
        <v>679</v>
      </c>
      <c r="C343" s="399" t="s">
        <v>3346</v>
      </c>
      <c r="D343" s="391" t="s">
        <v>3354</v>
      </c>
      <c r="E343" s="405" t="s">
        <v>925</v>
      </c>
      <c r="F343" s="184" t="s">
        <v>5762</v>
      </c>
      <c r="G343" s="235" t="s">
        <v>6591</v>
      </c>
      <c r="H343" s="509" t="s">
        <v>6736</v>
      </c>
      <c r="I343" s="194">
        <v>0</v>
      </c>
      <c r="J343" s="194">
        <v>57350</v>
      </c>
      <c r="K343" s="185">
        <v>0.5</v>
      </c>
      <c r="L343" s="183" t="s">
        <v>5768</v>
      </c>
      <c r="M343" s="184" t="s">
        <v>5255</v>
      </c>
      <c r="N343" s="184" t="s">
        <v>5255</v>
      </c>
      <c r="O343" s="233"/>
    </row>
    <row r="344" spans="1:15" s="182" customFormat="1" ht="21.75" customHeight="1" x14ac:dyDescent="0.15">
      <c r="A344" s="151" t="s">
        <v>6726</v>
      </c>
      <c r="B344" s="20" t="s">
        <v>5870</v>
      </c>
      <c r="C344" s="184" t="s">
        <v>5567</v>
      </c>
      <c r="D344" s="184" t="s">
        <v>5422</v>
      </c>
      <c r="E344" s="184" t="s">
        <v>3440</v>
      </c>
      <c r="F344" s="184" t="s">
        <v>5078</v>
      </c>
      <c r="G344" s="239" t="s">
        <v>5240</v>
      </c>
      <c r="H344" s="509">
        <v>23120</v>
      </c>
      <c r="I344" s="194">
        <v>0</v>
      </c>
      <c r="J344" s="194">
        <v>27160</v>
      </c>
      <c r="K344" s="185">
        <v>0.97</v>
      </c>
      <c r="L344" s="183" t="s">
        <v>806</v>
      </c>
      <c r="M344" s="184" t="s">
        <v>693</v>
      </c>
      <c r="N344" s="184" t="s">
        <v>693</v>
      </c>
      <c r="O344" s="233"/>
    </row>
    <row r="345" spans="1:15" s="182" customFormat="1" ht="21.75" customHeight="1" x14ac:dyDescent="0.15">
      <c r="A345" s="151" t="s">
        <v>6726</v>
      </c>
      <c r="B345" s="20" t="s">
        <v>6656</v>
      </c>
      <c r="C345" s="224" t="s">
        <v>3351</v>
      </c>
      <c r="D345" s="224" t="s">
        <v>3352</v>
      </c>
      <c r="E345" s="184" t="s">
        <v>2795</v>
      </c>
      <c r="F345" s="403" t="s">
        <v>3328</v>
      </c>
      <c r="G345" s="239" t="s">
        <v>3349</v>
      </c>
      <c r="H345" s="509">
        <v>23098</v>
      </c>
      <c r="I345" s="194">
        <v>0</v>
      </c>
      <c r="J345" s="194">
        <v>35000</v>
      </c>
      <c r="K345" s="185">
        <v>0.5</v>
      </c>
      <c r="L345" s="183" t="s">
        <v>5743</v>
      </c>
      <c r="M345" s="184" t="s">
        <v>5255</v>
      </c>
      <c r="N345" s="184" t="s">
        <v>5255</v>
      </c>
      <c r="O345" s="233"/>
    </row>
    <row r="346" spans="1:15" s="182" customFormat="1" ht="21.75" customHeight="1" x14ac:dyDescent="0.15">
      <c r="A346" s="151" t="s">
        <v>6727</v>
      </c>
      <c r="B346" s="20" t="s">
        <v>6377</v>
      </c>
      <c r="C346" s="399" t="s">
        <v>4963</v>
      </c>
      <c r="D346" s="399" t="s">
        <v>5028</v>
      </c>
      <c r="E346" s="399" t="s">
        <v>6286</v>
      </c>
      <c r="F346" s="419" t="s">
        <v>3328</v>
      </c>
      <c r="G346" s="235" t="s">
        <v>5090</v>
      </c>
      <c r="H346" s="509">
        <v>23040</v>
      </c>
      <c r="I346" s="194">
        <v>52100</v>
      </c>
      <c r="J346" s="194">
        <v>0</v>
      </c>
      <c r="K346" s="185" t="s">
        <v>6737</v>
      </c>
      <c r="L346" s="183" t="s">
        <v>5768</v>
      </c>
      <c r="M346" s="184" t="s">
        <v>5765</v>
      </c>
      <c r="N346" s="184" t="s">
        <v>5765</v>
      </c>
      <c r="O346" s="1008" t="s">
        <v>6738</v>
      </c>
    </row>
    <row r="347" spans="1:15" s="182" customFormat="1" ht="39" customHeight="1" x14ac:dyDescent="0.15">
      <c r="A347" s="151" t="s">
        <v>6727</v>
      </c>
      <c r="B347" s="849" t="s">
        <v>6540</v>
      </c>
      <c r="C347" s="224" t="s">
        <v>3351</v>
      </c>
      <c r="D347" s="224" t="s">
        <v>3352</v>
      </c>
      <c r="E347" s="394" t="s">
        <v>2784</v>
      </c>
      <c r="F347" s="403" t="s">
        <v>3328</v>
      </c>
      <c r="G347" s="239" t="s">
        <v>3349</v>
      </c>
      <c r="H347" s="509">
        <v>22088</v>
      </c>
      <c r="I347" s="194">
        <v>0</v>
      </c>
      <c r="J347" s="194">
        <v>35000</v>
      </c>
      <c r="K347" s="185">
        <v>0.5</v>
      </c>
      <c r="L347" s="183" t="s">
        <v>5743</v>
      </c>
      <c r="M347" s="184" t="s">
        <v>5255</v>
      </c>
      <c r="N347" s="184" t="s">
        <v>5255</v>
      </c>
      <c r="O347" s="233"/>
    </row>
    <row r="348" spans="1:15" s="182" customFormat="1" ht="39" customHeight="1" x14ac:dyDescent="0.15">
      <c r="A348" s="151" t="s">
        <v>6727</v>
      </c>
      <c r="B348" s="849" t="s">
        <v>6540</v>
      </c>
      <c r="C348" s="224" t="s">
        <v>3351</v>
      </c>
      <c r="D348" s="224" t="s">
        <v>3352</v>
      </c>
      <c r="E348" s="394" t="s">
        <v>2784</v>
      </c>
      <c r="F348" s="403" t="s">
        <v>3328</v>
      </c>
      <c r="G348" s="239" t="s">
        <v>3349</v>
      </c>
      <c r="H348" s="509">
        <v>22088</v>
      </c>
      <c r="I348" s="194">
        <v>0</v>
      </c>
      <c r="J348" s="194">
        <v>35000</v>
      </c>
      <c r="K348" s="185">
        <v>0.5</v>
      </c>
      <c r="L348" s="183" t="s">
        <v>5743</v>
      </c>
      <c r="M348" s="184" t="s">
        <v>5255</v>
      </c>
      <c r="N348" s="184" t="s">
        <v>5255</v>
      </c>
      <c r="O348" s="233"/>
    </row>
    <row r="349" spans="1:15" s="182" customFormat="1" ht="21.75" customHeight="1" x14ac:dyDescent="0.15">
      <c r="A349" s="151" t="s">
        <v>6727</v>
      </c>
      <c r="B349" s="20" t="s">
        <v>6674</v>
      </c>
      <c r="C349" s="224" t="s">
        <v>3351</v>
      </c>
      <c r="D349" s="224" t="s">
        <v>3352</v>
      </c>
      <c r="E349" s="394" t="s">
        <v>2784</v>
      </c>
      <c r="F349" s="403" t="s">
        <v>3328</v>
      </c>
      <c r="G349" s="239" t="s">
        <v>3349</v>
      </c>
      <c r="H349" s="509">
        <v>23099</v>
      </c>
      <c r="I349" s="194">
        <v>0</v>
      </c>
      <c r="J349" s="194">
        <v>35000</v>
      </c>
      <c r="K349" s="185">
        <v>0.5</v>
      </c>
      <c r="L349" s="183" t="s">
        <v>5743</v>
      </c>
      <c r="M349" s="184" t="s">
        <v>5255</v>
      </c>
      <c r="N349" s="184" t="s">
        <v>5255</v>
      </c>
      <c r="O349" s="233"/>
    </row>
    <row r="350" spans="1:15" s="182" customFormat="1" ht="21.75" customHeight="1" x14ac:dyDescent="0.15">
      <c r="A350" s="151" t="s">
        <v>6727</v>
      </c>
      <c r="B350" s="20" t="s">
        <v>1437</v>
      </c>
      <c r="C350" s="224" t="s">
        <v>3351</v>
      </c>
      <c r="D350" s="224" t="s">
        <v>3352</v>
      </c>
      <c r="E350" s="184" t="s">
        <v>6742</v>
      </c>
      <c r="F350" s="403" t="s">
        <v>3328</v>
      </c>
      <c r="G350" s="235" t="s">
        <v>6504</v>
      </c>
      <c r="H350" s="981" t="s">
        <v>6739</v>
      </c>
      <c r="I350" s="194">
        <v>0</v>
      </c>
      <c r="J350" s="194">
        <v>82175</v>
      </c>
      <c r="K350" s="185">
        <v>0.95</v>
      </c>
      <c r="L350" s="183" t="s">
        <v>4107</v>
      </c>
      <c r="M350" s="184" t="s">
        <v>5255</v>
      </c>
      <c r="N350" s="184" t="s">
        <v>5255</v>
      </c>
      <c r="O350" s="233"/>
    </row>
    <row r="351" spans="1:15" s="182" customFormat="1" ht="21.75" customHeight="1" x14ac:dyDescent="0.15">
      <c r="A351" s="151" t="s">
        <v>6727</v>
      </c>
      <c r="B351" s="20" t="s">
        <v>1437</v>
      </c>
      <c r="C351" s="224" t="s">
        <v>3351</v>
      </c>
      <c r="D351" s="224" t="s">
        <v>3352</v>
      </c>
      <c r="E351" s="184" t="s">
        <v>6743</v>
      </c>
      <c r="F351" s="403" t="s">
        <v>3328</v>
      </c>
      <c r="G351" s="235" t="s">
        <v>6504</v>
      </c>
      <c r="H351" s="981" t="s">
        <v>6740</v>
      </c>
      <c r="I351" s="194">
        <v>0</v>
      </c>
      <c r="J351" s="194">
        <v>82175</v>
      </c>
      <c r="K351" s="185">
        <v>0.95</v>
      </c>
      <c r="L351" s="183" t="s">
        <v>4107</v>
      </c>
      <c r="M351" s="184" t="s">
        <v>5255</v>
      </c>
      <c r="N351" s="184" t="s">
        <v>5255</v>
      </c>
      <c r="O351" s="233"/>
    </row>
    <row r="352" spans="1:15" s="182" customFormat="1" ht="21.75" customHeight="1" x14ac:dyDescent="0.15">
      <c r="A352" s="151" t="s">
        <v>6727</v>
      </c>
      <c r="B352" s="20" t="s">
        <v>1437</v>
      </c>
      <c r="C352" s="224" t="s">
        <v>3351</v>
      </c>
      <c r="D352" s="224" t="s">
        <v>3352</v>
      </c>
      <c r="E352" s="184" t="s">
        <v>6744</v>
      </c>
      <c r="F352" s="403" t="s">
        <v>3328</v>
      </c>
      <c r="G352" s="235" t="s">
        <v>6504</v>
      </c>
      <c r="H352" s="981" t="s">
        <v>6741</v>
      </c>
      <c r="I352" s="194">
        <v>0</v>
      </c>
      <c r="J352" s="194">
        <v>52250</v>
      </c>
      <c r="K352" s="185">
        <v>0.95</v>
      </c>
      <c r="L352" s="183" t="s">
        <v>4107</v>
      </c>
      <c r="M352" s="184" t="s">
        <v>5255</v>
      </c>
      <c r="N352" s="184" t="s">
        <v>5255</v>
      </c>
      <c r="O352" s="233"/>
    </row>
    <row r="353" spans="1:15" s="182" customFormat="1" ht="21.75" customHeight="1" x14ac:dyDescent="0.15">
      <c r="A353" s="151" t="s">
        <v>6727</v>
      </c>
      <c r="B353" s="20" t="s">
        <v>1428</v>
      </c>
      <c r="C353" s="224" t="s">
        <v>3351</v>
      </c>
      <c r="D353" s="224" t="s">
        <v>3352</v>
      </c>
      <c r="E353" s="394" t="s">
        <v>2789</v>
      </c>
      <c r="F353" s="403" t="s">
        <v>3340</v>
      </c>
      <c r="G353" s="239" t="s">
        <v>3349</v>
      </c>
      <c r="H353" s="1007">
        <v>22092</v>
      </c>
      <c r="I353" s="194">
        <v>0</v>
      </c>
      <c r="J353" s="194">
        <v>35000</v>
      </c>
      <c r="K353" s="185">
        <v>0.5</v>
      </c>
      <c r="L353" s="183" t="s">
        <v>5743</v>
      </c>
      <c r="M353" s="184" t="s">
        <v>5255</v>
      </c>
      <c r="N353" s="184" t="s">
        <v>5255</v>
      </c>
      <c r="O353" s="233"/>
    </row>
    <row r="354" spans="1:15" s="182" customFormat="1" ht="21.75" customHeight="1" x14ac:dyDescent="0.15">
      <c r="A354" s="151" t="s">
        <v>6727</v>
      </c>
      <c r="B354" s="20" t="s">
        <v>1428</v>
      </c>
      <c r="C354" s="224" t="s">
        <v>3351</v>
      </c>
      <c r="D354" s="224" t="s">
        <v>3352</v>
      </c>
      <c r="E354" s="394" t="s">
        <v>2788</v>
      </c>
      <c r="F354" s="403" t="s">
        <v>3340</v>
      </c>
      <c r="G354" s="239" t="s">
        <v>3349</v>
      </c>
      <c r="H354" s="1007">
        <v>22099</v>
      </c>
      <c r="I354" s="194">
        <v>0</v>
      </c>
      <c r="J354" s="194">
        <v>35000</v>
      </c>
      <c r="K354" s="185">
        <v>0.5</v>
      </c>
      <c r="L354" s="183" t="s">
        <v>5743</v>
      </c>
      <c r="M354" s="184" t="s">
        <v>5255</v>
      </c>
      <c r="N354" s="184" t="s">
        <v>5255</v>
      </c>
      <c r="O354" s="233"/>
    </row>
    <row r="355" spans="1:15" s="182" customFormat="1" ht="21.75" customHeight="1" x14ac:dyDescent="0.15">
      <c r="A355" s="151" t="s">
        <v>6727</v>
      </c>
      <c r="B355" s="20" t="s">
        <v>6731</v>
      </c>
      <c r="C355" s="184" t="s">
        <v>4963</v>
      </c>
      <c r="D355" s="184" t="s">
        <v>4964</v>
      </c>
      <c r="E355" s="184" t="s">
        <v>4965</v>
      </c>
      <c r="F355" s="184" t="s">
        <v>5078</v>
      </c>
      <c r="G355" s="235" t="s">
        <v>4923</v>
      </c>
      <c r="H355" s="509">
        <v>24082</v>
      </c>
      <c r="I355" s="194">
        <v>0</v>
      </c>
      <c r="J355" s="194">
        <v>26000</v>
      </c>
      <c r="K355" s="185">
        <v>1</v>
      </c>
      <c r="L355" s="183" t="s">
        <v>806</v>
      </c>
      <c r="M355" s="184" t="s">
        <v>5765</v>
      </c>
      <c r="N355" s="184" t="s">
        <v>5765</v>
      </c>
      <c r="O355" s="233"/>
    </row>
    <row r="356" spans="1:15" s="182" customFormat="1" ht="21.75" customHeight="1" x14ac:dyDescent="0.15">
      <c r="A356" s="151" t="s">
        <v>6727</v>
      </c>
      <c r="B356" s="20" t="s">
        <v>1431</v>
      </c>
      <c r="C356" s="224" t="s">
        <v>3351</v>
      </c>
      <c r="D356" s="224" t="s">
        <v>3352</v>
      </c>
      <c r="E356" s="409" t="s">
        <v>2796</v>
      </c>
      <c r="F356" s="403" t="s">
        <v>3328</v>
      </c>
      <c r="G356" s="239" t="s">
        <v>3349</v>
      </c>
      <c r="H356" s="509">
        <v>23102</v>
      </c>
      <c r="I356" s="194">
        <v>0</v>
      </c>
      <c r="J356" s="194">
        <v>35000</v>
      </c>
      <c r="K356" s="185">
        <v>0.5</v>
      </c>
      <c r="L356" s="183" t="s">
        <v>5743</v>
      </c>
      <c r="M356" s="184" t="s">
        <v>5255</v>
      </c>
      <c r="N356" s="184" t="s">
        <v>5255</v>
      </c>
      <c r="O356" s="233"/>
    </row>
    <row r="357" spans="1:15" s="182" customFormat="1" ht="21.75" customHeight="1" x14ac:dyDescent="0.15">
      <c r="A357" s="151" t="s">
        <v>6728</v>
      </c>
      <c r="B357" s="20" t="s">
        <v>6376</v>
      </c>
      <c r="C357" s="184" t="s">
        <v>4941</v>
      </c>
      <c r="D357" s="184" t="s">
        <v>4942</v>
      </c>
      <c r="E357" s="184" t="s">
        <v>6415</v>
      </c>
      <c r="F357" s="184" t="s">
        <v>3328</v>
      </c>
      <c r="G357" s="235" t="s">
        <v>3329</v>
      </c>
      <c r="H357" s="509" t="s">
        <v>6460</v>
      </c>
      <c r="I357" s="194">
        <v>0</v>
      </c>
      <c r="J357" s="194">
        <v>30248.1</v>
      </c>
      <c r="K357" s="185" t="s">
        <v>6516</v>
      </c>
      <c r="L357" s="183" t="s">
        <v>4707</v>
      </c>
      <c r="M357" s="957" t="s">
        <v>3726</v>
      </c>
      <c r="N357" s="957" t="s">
        <v>3726</v>
      </c>
      <c r="O357" s="233"/>
    </row>
    <row r="358" spans="1:15" s="182" customFormat="1" ht="21.75" customHeight="1" x14ac:dyDescent="0.15">
      <c r="A358" s="151" t="s">
        <v>6728</v>
      </c>
      <c r="B358" s="20" t="s">
        <v>6376</v>
      </c>
      <c r="C358" s="184" t="s">
        <v>4941</v>
      </c>
      <c r="D358" s="184" t="s">
        <v>4942</v>
      </c>
      <c r="E358" s="184" t="s">
        <v>6417</v>
      </c>
      <c r="F358" s="184" t="s">
        <v>5078</v>
      </c>
      <c r="G358" s="235" t="s">
        <v>3329</v>
      </c>
      <c r="H358" s="509" t="s">
        <v>6461</v>
      </c>
      <c r="I358" s="194">
        <v>0</v>
      </c>
      <c r="J358" s="194">
        <v>33015.4</v>
      </c>
      <c r="K358" s="185" t="s">
        <v>6517</v>
      </c>
      <c r="L358" s="183" t="s">
        <v>4707</v>
      </c>
      <c r="M358" s="957" t="s">
        <v>3726</v>
      </c>
      <c r="N358" s="957" t="s">
        <v>3726</v>
      </c>
      <c r="O358" s="233"/>
    </row>
    <row r="359" spans="1:15" s="182" customFormat="1" ht="21.75" customHeight="1" x14ac:dyDescent="0.15">
      <c r="A359" s="151" t="s">
        <v>6728</v>
      </c>
      <c r="B359" s="20" t="s">
        <v>6376</v>
      </c>
      <c r="C359" s="184" t="s">
        <v>4941</v>
      </c>
      <c r="D359" s="184" t="s">
        <v>4942</v>
      </c>
      <c r="E359" s="184" t="s">
        <v>6418</v>
      </c>
      <c r="F359" s="184" t="s">
        <v>5078</v>
      </c>
      <c r="G359" s="235" t="s">
        <v>5090</v>
      </c>
      <c r="H359" s="509" t="s">
        <v>6462</v>
      </c>
      <c r="I359" s="194">
        <v>0</v>
      </c>
      <c r="J359" s="194">
        <v>33866.800000000003</v>
      </c>
      <c r="K359" s="185" t="s">
        <v>6517</v>
      </c>
      <c r="L359" s="183" t="s">
        <v>4707</v>
      </c>
      <c r="M359" s="957" t="s">
        <v>3726</v>
      </c>
      <c r="N359" s="957" t="s">
        <v>3726</v>
      </c>
      <c r="O359" s="233"/>
    </row>
    <row r="360" spans="1:15" s="182" customFormat="1" ht="21.75" customHeight="1" x14ac:dyDescent="0.15">
      <c r="A360" s="151" t="s">
        <v>6728</v>
      </c>
      <c r="B360" s="20" t="s">
        <v>6376</v>
      </c>
      <c r="C360" s="184" t="s">
        <v>4941</v>
      </c>
      <c r="D360" s="184" t="s">
        <v>4942</v>
      </c>
      <c r="E360" s="184" t="s">
        <v>6420</v>
      </c>
      <c r="F360" s="184" t="s">
        <v>5078</v>
      </c>
      <c r="G360" s="235" t="s">
        <v>5090</v>
      </c>
      <c r="H360" s="509" t="s">
        <v>6463</v>
      </c>
      <c r="I360" s="194">
        <v>0</v>
      </c>
      <c r="J360" s="194">
        <v>33866.800000000003</v>
      </c>
      <c r="K360" s="185" t="s">
        <v>6517</v>
      </c>
      <c r="L360" s="183" t="s">
        <v>4707</v>
      </c>
      <c r="M360" s="957" t="s">
        <v>3726</v>
      </c>
      <c r="N360" s="957" t="s">
        <v>3726</v>
      </c>
      <c r="O360" s="233"/>
    </row>
    <row r="361" spans="1:15" s="182" customFormat="1" ht="21.75" customHeight="1" x14ac:dyDescent="0.15">
      <c r="A361" s="151" t="s">
        <v>6728</v>
      </c>
      <c r="B361" s="20" t="s">
        <v>6376</v>
      </c>
      <c r="C361" s="184" t="s">
        <v>4941</v>
      </c>
      <c r="D361" s="184" t="s">
        <v>4942</v>
      </c>
      <c r="E361" s="184" t="s">
        <v>6421</v>
      </c>
      <c r="F361" s="184" t="s">
        <v>5078</v>
      </c>
      <c r="G361" s="235" t="s">
        <v>3375</v>
      </c>
      <c r="H361" s="509" t="s">
        <v>6464</v>
      </c>
      <c r="I361" s="194">
        <v>0</v>
      </c>
      <c r="J361" s="194">
        <v>42806.5</v>
      </c>
      <c r="K361" s="185" t="s">
        <v>6517</v>
      </c>
      <c r="L361" s="183" t="s">
        <v>4707</v>
      </c>
      <c r="M361" s="957" t="s">
        <v>3726</v>
      </c>
      <c r="N361" s="957" t="s">
        <v>3726</v>
      </c>
      <c r="O361" s="233"/>
    </row>
    <row r="362" spans="1:15" s="182" customFormat="1" ht="21.75" customHeight="1" x14ac:dyDescent="0.15">
      <c r="A362" s="151" t="s">
        <v>6728</v>
      </c>
      <c r="B362" s="20" t="s">
        <v>6376</v>
      </c>
      <c r="C362" s="184" t="s">
        <v>4941</v>
      </c>
      <c r="D362" s="184" t="s">
        <v>4942</v>
      </c>
      <c r="E362" s="184" t="s">
        <v>6423</v>
      </c>
      <c r="F362" s="184" t="s">
        <v>5078</v>
      </c>
      <c r="G362" s="235" t="s">
        <v>3329</v>
      </c>
      <c r="H362" s="509" t="s">
        <v>6465</v>
      </c>
      <c r="I362" s="194">
        <v>0</v>
      </c>
      <c r="J362" s="194">
        <v>32968.1</v>
      </c>
      <c r="K362" s="185" t="s">
        <v>6517</v>
      </c>
      <c r="L362" s="183" t="s">
        <v>4707</v>
      </c>
      <c r="M362" s="957" t="s">
        <v>3726</v>
      </c>
      <c r="N362" s="957" t="s">
        <v>3726</v>
      </c>
      <c r="O362" s="233"/>
    </row>
    <row r="363" spans="1:15" s="182" customFormat="1" ht="21.75" customHeight="1" x14ac:dyDescent="0.15">
      <c r="A363" s="151" t="s">
        <v>6728</v>
      </c>
      <c r="B363" s="20" t="s">
        <v>6376</v>
      </c>
      <c r="C363" s="184" t="s">
        <v>4941</v>
      </c>
      <c r="D363" s="184" t="s">
        <v>4942</v>
      </c>
      <c r="E363" s="184" t="s">
        <v>6424</v>
      </c>
      <c r="F363" s="184" t="s">
        <v>5078</v>
      </c>
      <c r="G363" s="235" t="s">
        <v>3329</v>
      </c>
      <c r="H363" s="509" t="s">
        <v>6466</v>
      </c>
      <c r="I363" s="194">
        <v>0</v>
      </c>
      <c r="J363" s="194">
        <v>27292.1</v>
      </c>
      <c r="K363" s="185" t="s">
        <v>6517</v>
      </c>
      <c r="L363" s="183" t="s">
        <v>4707</v>
      </c>
      <c r="M363" s="957" t="s">
        <v>3726</v>
      </c>
      <c r="N363" s="957" t="s">
        <v>3726</v>
      </c>
      <c r="O363" s="233"/>
    </row>
    <row r="364" spans="1:15" s="182" customFormat="1" ht="21.75" customHeight="1" x14ac:dyDescent="0.15">
      <c r="A364" s="151" t="s">
        <v>6728</v>
      </c>
      <c r="B364" s="20" t="s">
        <v>6376</v>
      </c>
      <c r="C364" s="184" t="s">
        <v>4941</v>
      </c>
      <c r="D364" s="184" t="s">
        <v>4942</v>
      </c>
      <c r="E364" s="184" t="s">
        <v>6425</v>
      </c>
      <c r="F364" s="184" t="s">
        <v>5078</v>
      </c>
      <c r="G364" s="235" t="s">
        <v>3329</v>
      </c>
      <c r="H364" s="509" t="s">
        <v>6467</v>
      </c>
      <c r="I364" s="194">
        <v>0</v>
      </c>
      <c r="J364" s="194">
        <v>32022.1</v>
      </c>
      <c r="K364" s="185" t="s">
        <v>6517</v>
      </c>
      <c r="L364" s="183" t="s">
        <v>4707</v>
      </c>
      <c r="M364" s="957" t="s">
        <v>3726</v>
      </c>
      <c r="N364" s="957" t="s">
        <v>3726</v>
      </c>
      <c r="O364" s="233"/>
    </row>
    <row r="365" spans="1:15" s="182" customFormat="1" ht="21.75" customHeight="1" x14ac:dyDescent="0.15">
      <c r="A365" s="151" t="s">
        <v>6728</v>
      </c>
      <c r="B365" s="20" t="s">
        <v>6376</v>
      </c>
      <c r="C365" s="184" t="s">
        <v>4941</v>
      </c>
      <c r="D365" s="184" t="s">
        <v>4942</v>
      </c>
      <c r="E365" s="184" t="s">
        <v>6426</v>
      </c>
      <c r="F365" s="184" t="s">
        <v>5078</v>
      </c>
      <c r="G365" s="235" t="s">
        <v>3329</v>
      </c>
      <c r="H365" s="509" t="s">
        <v>6468</v>
      </c>
      <c r="I365" s="194">
        <v>0</v>
      </c>
      <c r="J365" s="194">
        <v>33914.1</v>
      </c>
      <c r="K365" s="185" t="s">
        <v>6517</v>
      </c>
      <c r="L365" s="183" t="s">
        <v>4707</v>
      </c>
      <c r="M365" s="957" t="s">
        <v>3726</v>
      </c>
      <c r="N365" s="957" t="s">
        <v>3726</v>
      </c>
      <c r="O365" s="233"/>
    </row>
    <row r="366" spans="1:15" s="182" customFormat="1" ht="21.75" customHeight="1" x14ac:dyDescent="0.15">
      <c r="A366" s="151" t="s">
        <v>6729</v>
      </c>
      <c r="B366" s="20" t="s">
        <v>1447</v>
      </c>
      <c r="C366" s="1009" t="s">
        <v>4963</v>
      </c>
      <c r="D366" s="1009" t="s">
        <v>5714</v>
      </c>
      <c r="E366" s="1009" t="s">
        <v>5715</v>
      </c>
      <c r="F366" s="224" t="s">
        <v>3328</v>
      </c>
      <c r="G366" s="239" t="s">
        <v>6695</v>
      </c>
      <c r="H366" s="509">
        <v>24064</v>
      </c>
      <c r="I366" s="194">
        <v>0</v>
      </c>
      <c r="J366" s="194">
        <v>49354</v>
      </c>
      <c r="K366" s="185" t="s">
        <v>6745</v>
      </c>
      <c r="L366" s="183" t="s">
        <v>6746</v>
      </c>
      <c r="M366" s="184" t="s">
        <v>5765</v>
      </c>
      <c r="N366" s="184" t="s">
        <v>5765</v>
      </c>
      <c r="O366" s="233"/>
    </row>
    <row r="367" spans="1:15" s="182" customFormat="1" ht="21.75" customHeight="1" x14ac:dyDescent="0.15">
      <c r="A367" s="151" t="s">
        <v>6730</v>
      </c>
      <c r="B367" s="20" t="s">
        <v>1964</v>
      </c>
      <c r="C367" s="184" t="s">
        <v>6216</v>
      </c>
      <c r="D367" s="184" t="s">
        <v>5422</v>
      </c>
      <c r="E367" s="184" t="s">
        <v>6217</v>
      </c>
      <c r="F367" s="419" t="s">
        <v>3328</v>
      </c>
      <c r="G367" s="235" t="s">
        <v>3370</v>
      </c>
      <c r="H367" s="509">
        <v>22106</v>
      </c>
      <c r="I367" s="194">
        <v>0</v>
      </c>
      <c r="J367" s="194">
        <v>46800</v>
      </c>
      <c r="K367" s="185">
        <v>0.3</v>
      </c>
      <c r="L367" s="183" t="s">
        <v>5743</v>
      </c>
      <c r="M367" s="184" t="s">
        <v>6038</v>
      </c>
      <c r="N367" s="184" t="s">
        <v>6038</v>
      </c>
      <c r="O367" s="233"/>
    </row>
    <row r="368" spans="1:15" s="182" customFormat="1" ht="21.75" customHeight="1" x14ac:dyDescent="0.15">
      <c r="A368" s="151" t="s">
        <v>6732</v>
      </c>
      <c r="B368" s="20" t="s">
        <v>6733</v>
      </c>
      <c r="C368" s="1009" t="s">
        <v>3368</v>
      </c>
      <c r="D368" s="1009" t="s">
        <v>3369</v>
      </c>
      <c r="E368" s="1009" t="s">
        <v>3466</v>
      </c>
      <c r="F368" s="184" t="s">
        <v>5078</v>
      </c>
      <c r="G368" s="235" t="s">
        <v>4861</v>
      </c>
      <c r="H368" s="509">
        <v>24101</v>
      </c>
      <c r="I368" s="194">
        <v>0</v>
      </c>
      <c r="J368" s="194">
        <v>10000</v>
      </c>
      <c r="K368" s="185">
        <v>1</v>
      </c>
      <c r="L368" s="183" t="s">
        <v>806</v>
      </c>
      <c r="M368" s="184" t="s">
        <v>6038</v>
      </c>
      <c r="N368" s="184" t="s">
        <v>6038</v>
      </c>
      <c r="O368" s="233"/>
    </row>
    <row r="369" spans="1:15" s="182" customFormat="1" ht="21.75" customHeight="1" x14ac:dyDescent="0.15">
      <c r="A369" s="151" t="s">
        <v>6760</v>
      </c>
      <c r="B369" s="20" t="s">
        <v>3002</v>
      </c>
      <c r="C369" s="1011" t="s">
        <v>5213</v>
      </c>
      <c r="D369" s="1011" t="s">
        <v>5214</v>
      </c>
      <c r="E369" s="1011" t="s">
        <v>5215</v>
      </c>
      <c r="F369" s="184" t="s">
        <v>3340</v>
      </c>
      <c r="G369" s="235" t="s">
        <v>5030</v>
      </c>
      <c r="H369" s="509">
        <v>24078</v>
      </c>
      <c r="I369" s="194">
        <v>0</v>
      </c>
      <c r="J369" s="194">
        <v>37500</v>
      </c>
      <c r="K369" s="185">
        <v>0.5</v>
      </c>
      <c r="L369" s="183" t="s">
        <v>5743</v>
      </c>
      <c r="M369" s="184" t="s">
        <v>5255</v>
      </c>
      <c r="N369" s="184" t="s">
        <v>5255</v>
      </c>
      <c r="O369" s="233"/>
    </row>
    <row r="370" spans="1:15" s="182" customFormat="1" ht="21.75" customHeight="1" x14ac:dyDescent="0.15">
      <c r="A370" s="151" t="s">
        <v>6753</v>
      </c>
      <c r="B370" s="20" t="s">
        <v>192</v>
      </c>
      <c r="C370" s="399" t="s">
        <v>5567</v>
      </c>
      <c r="D370" s="399" t="s">
        <v>4942</v>
      </c>
      <c r="E370" s="399" t="s">
        <v>5728</v>
      </c>
      <c r="F370" s="184" t="s">
        <v>5078</v>
      </c>
      <c r="G370" s="235" t="s">
        <v>3370</v>
      </c>
      <c r="H370" s="509">
        <v>23045</v>
      </c>
      <c r="I370" s="194">
        <v>0</v>
      </c>
      <c r="J370" s="194">
        <v>87500</v>
      </c>
      <c r="K370" s="185">
        <v>0.5</v>
      </c>
      <c r="L370" s="183" t="s">
        <v>5743</v>
      </c>
      <c r="M370" s="184" t="s">
        <v>5765</v>
      </c>
      <c r="N370" s="184" t="s">
        <v>5765</v>
      </c>
      <c r="O370" s="233"/>
    </row>
    <row r="371" spans="1:15" s="182" customFormat="1" ht="21.75" customHeight="1" x14ac:dyDescent="0.15">
      <c r="A371" s="151" t="s">
        <v>6754</v>
      </c>
      <c r="B371" s="20" t="s">
        <v>627</v>
      </c>
      <c r="C371" s="1010" t="s">
        <v>3376</v>
      </c>
      <c r="D371" s="368" t="s">
        <v>3516</v>
      </c>
      <c r="E371" s="30" t="s">
        <v>6326</v>
      </c>
      <c r="F371" s="184" t="s">
        <v>3332</v>
      </c>
      <c r="G371" s="235" t="s">
        <v>6218</v>
      </c>
      <c r="H371" s="509">
        <v>24055</v>
      </c>
      <c r="I371" s="194">
        <v>0</v>
      </c>
      <c r="J371" s="194">
        <v>35000</v>
      </c>
      <c r="K371" s="185">
        <v>1</v>
      </c>
      <c r="L371" s="183" t="s">
        <v>806</v>
      </c>
      <c r="M371" s="184" t="s">
        <v>5771</v>
      </c>
      <c r="N371" s="184" t="s">
        <v>5771</v>
      </c>
      <c r="O371" s="233"/>
    </row>
    <row r="372" spans="1:15" s="182" customFormat="1" ht="21.75" customHeight="1" x14ac:dyDescent="0.15">
      <c r="A372" s="151" t="s">
        <v>6754</v>
      </c>
      <c r="B372" s="20" t="s">
        <v>1562</v>
      </c>
      <c r="C372" s="1010" t="s">
        <v>3376</v>
      </c>
      <c r="D372" s="1010" t="s">
        <v>3682</v>
      </c>
      <c r="E372" s="180" t="s">
        <v>3683</v>
      </c>
      <c r="F372" s="184" t="s">
        <v>3332</v>
      </c>
      <c r="G372" s="235" t="s">
        <v>6218</v>
      </c>
      <c r="H372" s="509">
        <v>24056</v>
      </c>
      <c r="I372" s="194">
        <v>0</v>
      </c>
      <c r="J372" s="194">
        <v>35000</v>
      </c>
      <c r="K372" s="185">
        <v>1</v>
      </c>
      <c r="L372" s="183" t="s">
        <v>806</v>
      </c>
      <c r="M372" s="184" t="s">
        <v>5771</v>
      </c>
      <c r="N372" s="184" t="s">
        <v>5771</v>
      </c>
      <c r="O372" s="233"/>
    </row>
    <row r="373" spans="1:15" s="182" customFormat="1" ht="21.75" customHeight="1" x14ac:dyDescent="0.15">
      <c r="A373" s="151" t="s">
        <v>6754</v>
      </c>
      <c r="B373" s="20" t="s">
        <v>1869</v>
      </c>
      <c r="C373" s="1010" t="s">
        <v>3376</v>
      </c>
      <c r="D373" s="1010" t="s">
        <v>3682</v>
      </c>
      <c r="E373" s="184" t="s">
        <v>4243</v>
      </c>
      <c r="F373" s="184" t="s">
        <v>3332</v>
      </c>
      <c r="G373" s="235" t="s">
        <v>6218</v>
      </c>
      <c r="H373" s="509">
        <v>24057</v>
      </c>
      <c r="I373" s="194">
        <v>0</v>
      </c>
      <c r="J373" s="194">
        <v>35000</v>
      </c>
      <c r="K373" s="185">
        <v>1</v>
      </c>
      <c r="L373" s="183" t="s">
        <v>806</v>
      </c>
      <c r="M373" s="184" t="s">
        <v>5771</v>
      </c>
      <c r="N373" s="184" t="s">
        <v>5771</v>
      </c>
      <c r="O373" s="233"/>
    </row>
    <row r="374" spans="1:15" s="182" customFormat="1" ht="21.75" customHeight="1" x14ac:dyDescent="0.15">
      <c r="A374" s="151" t="s">
        <v>6754</v>
      </c>
      <c r="B374" s="20" t="s">
        <v>2690</v>
      </c>
      <c r="C374" s="1010" t="s">
        <v>3376</v>
      </c>
      <c r="D374" s="1010" t="s">
        <v>3682</v>
      </c>
      <c r="E374" s="184" t="s">
        <v>4245</v>
      </c>
      <c r="F374" s="184" t="s">
        <v>3332</v>
      </c>
      <c r="G374" s="235" t="s">
        <v>6218</v>
      </c>
      <c r="H374" s="509">
        <v>24058</v>
      </c>
      <c r="I374" s="194">
        <v>0</v>
      </c>
      <c r="J374" s="194">
        <v>35000</v>
      </c>
      <c r="K374" s="185">
        <v>1</v>
      </c>
      <c r="L374" s="183" t="s">
        <v>806</v>
      </c>
      <c r="M374" s="184" t="s">
        <v>5771</v>
      </c>
      <c r="N374" s="184" t="s">
        <v>5771</v>
      </c>
      <c r="O374" s="233"/>
    </row>
    <row r="375" spans="1:15" s="182" customFormat="1" ht="21.75" customHeight="1" x14ac:dyDescent="0.15">
      <c r="A375" s="151" t="s">
        <v>6755</v>
      </c>
      <c r="B375" s="20" t="s">
        <v>6758</v>
      </c>
      <c r="C375" s="399" t="s">
        <v>5088</v>
      </c>
      <c r="D375" s="399" t="s">
        <v>3415</v>
      </c>
      <c r="E375" s="399" t="s">
        <v>5089</v>
      </c>
      <c r="F375" s="184" t="s">
        <v>5078</v>
      </c>
      <c r="G375" s="235" t="s">
        <v>5090</v>
      </c>
      <c r="H375" s="509">
        <v>21120</v>
      </c>
      <c r="I375" s="194">
        <v>0</v>
      </c>
      <c r="J375" s="194">
        <v>13254.5</v>
      </c>
      <c r="K375" s="185">
        <v>0.05</v>
      </c>
      <c r="L375" s="183" t="s">
        <v>5744</v>
      </c>
      <c r="M375" s="184" t="s">
        <v>5771</v>
      </c>
      <c r="N375" s="184" t="s">
        <v>5771</v>
      </c>
      <c r="O375" s="233"/>
    </row>
    <row r="376" spans="1:15" s="182" customFormat="1" ht="21.75" customHeight="1" x14ac:dyDescent="0.15">
      <c r="A376" s="151" t="s">
        <v>6755</v>
      </c>
      <c r="B376" s="20" t="s">
        <v>6758</v>
      </c>
      <c r="C376" s="399" t="s">
        <v>5088</v>
      </c>
      <c r="D376" s="399" t="s">
        <v>3415</v>
      </c>
      <c r="E376" s="399" t="s">
        <v>5089</v>
      </c>
      <c r="F376" s="184" t="s">
        <v>5078</v>
      </c>
      <c r="G376" s="235" t="s">
        <v>5599</v>
      </c>
      <c r="H376" s="509">
        <v>21147</v>
      </c>
      <c r="I376" s="194">
        <v>0</v>
      </c>
      <c r="J376" s="194">
        <v>37959</v>
      </c>
      <c r="K376" s="185">
        <v>0.03</v>
      </c>
      <c r="L376" s="183" t="s">
        <v>5744</v>
      </c>
      <c r="M376" s="184" t="s">
        <v>5771</v>
      </c>
      <c r="N376" s="184" t="s">
        <v>5771</v>
      </c>
      <c r="O376" s="233"/>
    </row>
    <row r="377" spans="1:15" s="182" customFormat="1" ht="21.75" customHeight="1" x14ac:dyDescent="0.15">
      <c r="A377" s="151" t="s">
        <v>6755</v>
      </c>
      <c r="B377" s="20" t="s">
        <v>4204</v>
      </c>
      <c r="C377" s="945" t="s">
        <v>3346</v>
      </c>
      <c r="D377" s="945" t="s">
        <v>3481</v>
      </c>
      <c r="E377" s="945" t="s">
        <v>4692</v>
      </c>
      <c r="F377" s="945" t="s">
        <v>3340</v>
      </c>
      <c r="G377" s="460" t="s">
        <v>3566</v>
      </c>
      <c r="H377" s="509">
        <v>20142</v>
      </c>
      <c r="I377" s="194">
        <v>0</v>
      </c>
      <c r="J377" s="194">
        <v>93500</v>
      </c>
      <c r="K377" s="185" t="s">
        <v>6375</v>
      </c>
      <c r="L377" s="183" t="s">
        <v>5743</v>
      </c>
      <c r="M377" s="945" t="s">
        <v>3434</v>
      </c>
      <c r="N377" s="945" t="s">
        <v>3434</v>
      </c>
      <c r="O377" s="233"/>
    </row>
    <row r="378" spans="1:15" s="182" customFormat="1" ht="21.75" customHeight="1" x14ac:dyDescent="0.15">
      <c r="A378" s="151" t="s">
        <v>6756</v>
      </c>
      <c r="B378" s="20" t="s">
        <v>331</v>
      </c>
      <c r="C378" s="399" t="s">
        <v>3346</v>
      </c>
      <c r="D378" s="399" t="s">
        <v>3354</v>
      </c>
      <c r="E378" s="399" t="s">
        <v>846</v>
      </c>
      <c r="F378" s="184" t="s">
        <v>5762</v>
      </c>
      <c r="G378" s="235" t="s">
        <v>6591</v>
      </c>
      <c r="H378" s="509" t="s">
        <v>6759</v>
      </c>
      <c r="I378" s="194">
        <v>0</v>
      </c>
      <c r="J378" s="194">
        <v>57350</v>
      </c>
      <c r="K378" s="185">
        <v>0.5</v>
      </c>
      <c r="L378" s="183" t="s">
        <v>5768</v>
      </c>
      <c r="M378" s="184" t="s">
        <v>5255</v>
      </c>
      <c r="N378" s="184" t="s">
        <v>5255</v>
      </c>
      <c r="O378" s="233"/>
    </row>
    <row r="379" spans="1:15" s="182" customFormat="1" ht="21.75" customHeight="1" x14ac:dyDescent="0.15">
      <c r="A379" s="151" t="s">
        <v>6757</v>
      </c>
      <c r="B379" s="20" t="s">
        <v>6758</v>
      </c>
      <c r="C379" s="945" t="s">
        <v>5088</v>
      </c>
      <c r="D379" s="945" t="s">
        <v>3415</v>
      </c>
      <c r="E379" s="952" t="s">
        <v>5089</v>
      </c>
      <c r="F379" s="952" t="s">
        <v>3332</v>
      </c>
      <c r="G379" s="430" t="s">
        <v>3381</v>
      </c>
      <c r="H379" s="509">
        <v>23140</v>
      </c>
      <c r="I379" s="194">
        <v>0</v>
      </c>
      <c r="J379" s="194">
        <v>29100</v>
      </c>
      <c r="K379" s="185">
        <v>0.97</v>
      </c>
      <c r="L379" s="183" t="s">
        <v>5768</v>
      </c>
      <c r="M379" s="184" t="s">
        <v>5771</v>
      </c>
      <c r="N379" s="184" t="s">
        <v>5771</v>
      </c>
      <c r="O379" s="233"/>
    </row>
    <row r="380" spans="1:15" s="182" customFormat="1" ht="21.75" customHeight="1" x14ac:dyDescent="0.15">
      <c r="A380" s="151" t="s">
        <v>6761</v>
      </c>
      <c r="B380" s="20" t="s">
        <v>6762</v>
      </c>
      <c r="C380" s="184" t="s">
        <v>4941</v>
      </c>
      <c r="D380" s="184" t="s">
        <v>5098</v>
      </c>
      <c r="E380" s="184" t="s">
        <v>5415</v>
      </c>
      <c r="F380" s="418" t="s">
        <v>3328</v>
      </c>
      <c r="G380" s="239" t="s">
        <v>3566</v>
      </c>
      <c r="H380" s="509">
        <v>23026</v>
      </c>
      <c r="I380" s="194">
        <v>0</v>
      </c>
      <c r="J380" s="194">
        <v>70000</v>
      </c>
      <c r="K380" s="185" t="s">
        <v>6375</v>
      </c>
      <c r="L380" s="183" t="s">
        <v>5743</v>
      </c>
      <c r="M380" s="184" t="s">
        <v>5771</v>
      </c>
      <c r="N380" s="184" t="s">
        <v>5771</v>
      </c>
      <c r="O380" s="233"/>
    </row>
    <row r="381" spans="1:15" s="182" customFormat="1" ht="21.75" customHeight="1" x14ac:dyDescent="0.15">
      <c r="A381" s="151" t="s">
        <v>6763</v>
      </c>
      <c r="B381" s="20" t="s">
        <v>5831</v>
      </c>
      <c r="C381" s="391" t="s">
        <v>3337</v>
      </c>
      <c r="D381" s="393" t="s">
        <v>3702</v>
      </c>
      <c r="E381" s="391" t="s">
        <v>4589</v>
      </c>
      <c r="F381" s="184" t="s">
        <v>4944</v>
      </c>
      <c r="G381" s="235" t="s">
        <v>6198</v>
      </c>
      <c r="H381" s="509">
        <v>23175</v>
      </c>
      <c r="I381" s="194">
        <v>0</v>
      </c>
      <c r="J381" s="194">
        <v>20000</v>
      </c>
      <c r="K381" s="185">
        <v>1</v>
      </c>
      <c r="L381" s="183" t="s">
        <v>6764</v>
      </c>
      <c r="M381" s="184" t="s">
        <v>5255</v>
      </c>
      <c r="N381" s="184" t="s">
        <v>5255</v>
      </c>
      <c r="O381" s="233"/>
    </row>
    <row r="382" spans="1:15" s="182" customFormat="1" ht="21.75" customHeight="1" x14ac:dyDescent="0.15">
      <c r="A382" s="151" t="s">
        <v>6765</v>
      </c>
      <c r="B382" s="20" t="s">
        <v>5968</v>
      </c>
      <c r="C382" s="391" t="s">
        <v>3346</v>
      </c>
      <c r="D382" s="393" t="s">
        <v>3354</v>
      </c>
      <c r="E382" s="394" t="s">
        <v>4130</v>
      </c>
      <c r="F382" s="224" t="s">
        <v>3328</v>
      </c>
      <c r="G382" s="235" t="s">
        <v>6368</v>
      </c>
      <c r="H382" s="509" t="s">
        <v>6443</v>
      </c>
      <c r="I382" s="194">
        <v>0</v>
      </c>
      <c r="J382" s="194">
        <v>74000</v>
      </c>
      <c r="K382" s="185">
        <v>0.5</v>
      </c>
      <c r="L382" s="183" t="s">
        <v>5743</v>
      </c>
      <c r="M382" s="184" t="s">
        <v>5161</v>
      </c>
      <c r="N382" s="184" t="s">
        <v>5255</v>
      </c>
      <c r="O382" s="233"/>
    </row>
    <row r="383" spans="1:15" s="182" customFormat="1" ht="21.75" customHeight="1" x14ac:dyDescent="0.15">
      <c r="A383" s="151" t="s">
        <v>6766</v>
      </c>
      <c r="B383" s="20" t="s">
        <v>6767</v>
      </c>
      <c r="C383" s="945" t="s">
        <v>3414</v>
      </c>
      <c r="D383" s="945" t="s">
        <v>3360</v>
      </c>
      <c r="E383" s="945" t="s">
        <v>4938</v>
      </c>
      <c r="F383" s="945" t="s">
        <v>3328</v>
      </c>
      <c r="G383" s="460" t="s">
        <v>3453</v>
      </c>
      <c r="H383" s="509">
        <v>20090</v>
      </c>
      <c r="I383" s="194">
        <v>0</v>
      </c>
      <c r="J383" s="194">
        <v>43290</v>
      </c>
      <c r="K383" s="185">
        <v>0.1</v>
      </c>
      <c r="L383" s="183" t="s">
        <v>5744</v>
      </c>
      <c r="M383" s="945" t="s">
        <v>4708</v>
      </c>
      <c r="N383" s="945" t="s">
        <v>4708</v>
      </c>
      <c r="O383" s="233"/>
    </row>
    <row r="384" spans="1:15" s="182" customFormat="1" ht="21.75" customHeight="1" x14ac:dyDescent="0.15">
      <c r="A384" s="151" t="s">
        <v>6766</v>
      </c>
      <c r="B384" s="20" t="s">
        <v>6770</v>
      </c>
      <c r="C384" s="184" t="s">
        <v>4982</v>
      </c>
      <c r="D384" s="184" t="s">
        <v>5018</v>
      </c>
      <c r="E384" s="184" t="s">
        <v>6771</v>
      </c>
      <c r="F384" s="184" t="s">
        <v>6254</v>
      </c>
      <c r="G384" s="235" t="s">
        <v>6255</v>
      </c>
      <c r="H384" s="509">
        <v>23179</v>
      </c>
      <c r="I384" s="194">
        <v>500000</v>
      </c>
      <c r="J384" s="194">
        <v>0</v>
      </c>
      <c r="K384" s="185" t="s">
        <v>6772</v>
      </c>
      <c r="L384" s="183" t="s">
        <v>806</v>
      </c>
      <c r="M384" s="184" t="s">
        <v>6773</v>
      </c>
      <c r="N384" s="184" t="s">
        <v>693</v>
      </c>
      <c r="O384" s="1014" t="s">
        <v>6782</v>
      </c>
    </row>
    <row r="385" spans="1:15" s="182" customFormat="1" ht="21.75" customHeight="1" x14ac:dyDescent="0.15">
      <c r="A385" s="151" t="s">
        <v>6766</v>
      </c>
      <c r="B385" s="20" t="s">
        <v>6768</v>
      </c>
      <c r="C385" s="184" t="s">
        <v>4963</v>
      </c>
      <c r="D385" s="184" t="s">
        <v>5028</v>
      </c>
      <c r="E385" s="184" t="s">
        <v>6779</v>
      </c>
      <c r="F385" s="184" t="s">
        <v>3340</v>
      </c>
      <c r="G385" s="235" t="s">
        <v>3345</v>
      </c>
      <c r="H385" s="509" t="s">
        <v>6774</v>
      </c>
      <c r="I385" s="194">
        <v>750</v>
      </c>
      <c r="J385" s="194">
        <v>0</v>
      </c>
      <c r="K385" s="711">
        <v>5.0000000000000001E-3</v>
      </c>
      <c r="L385" s="183" t="s">
        <v>6144</v>
      </c>
      <c r="M385" s="184" t="s">
        <v>5765</v>
      </c>
      <c r="N385" s="184" t="s">
        <v>5765</v>
      </c>
      <c r="O385" s="1014" t="s">
        <v>6783</v>
      </c>
    </row>
    <row r="386" spans="1:15" s="182" customFormat="1" ht="21.75" customHeight="1" x14ac:dyDescent="0.15">
      <c r="A386" s="151" t="s">
        <v>6766</v>
      </c>
      <c r="B386" s="20" t="s">
        <v>6768</v>
      </c>
      <c r="C386" s="184" t="s">
        <v>4963</v>
      </c>
      <c r="D386" s="184" t="s">
        <v>5028</v>
      </c>
      <c r="E386" s="184" t="s">
        <v>6780</v>
      </c>
      <c r="F386" s="184" t="s">
        <v>3340</v>
      </c>
      <c r="G386" s="235" t="s">
        <v>3345</v>
      </c>
      <c r="H386" s="509" t="s">
        <v>6775</v>
      </c>
      <c r="I386" s="194">
        <v>750</v>
      </c>
      <c r="J386" s="194">
        <v>0</v>
      </c>
      <c r="K386" s="711">
        <v>5.0000000000000001E-3</v>
      </c>
      <c r="L386" s="183" t="s">
        <v>6144</v>
      </c>
      <c r="M386" s="184" t="s">
        <v>5765</v>
      </c>
      <c r="N386" s="184" t="s">
        <v>5765</v>
      </c>
      <c r="O386" s="1014" t="s">
        <v>6783</v>
      </c>
    </row>
    <row r="387" spans="1:15" s="182" customFormat="1" ht="21.75" customHeight="1" x14ac:dyDescent="0.15">
      <c r="A387" s="151" t="s">
        <v>6766</v>
      </c>
      <c r="B387" s="20" t="s">
        <v>6768</v>
      </c>
      <c r="C387" s="184" t="s">
        <v>4963</v>
      </c>
      <c r="D387" s="184" t="s">
        <v>5028</v>
      </c>
      <c r="E387" s="184" t="s">
        <v>6779</v>
      </c>
      <c r="F387" s="184" t="s">
        <v>3340</v>
      </c>
      <c r="G387" s="235" t="s">
        <v>3345</v>
      </c>
      <c r="H387" s="509" t="s">
        <v>6774</v>
      </c>
      <c r="I387" s="194">
        <v>29250</v>
      </c>
      <c r="J387" s="194">
        <v>0</v>
      </c>
      <c r="K387" s="711">
        <v>0.19500000000000001</v>
      </c>
      <c r="L387" s="183" t="s">
        <v>6781</v>
      </c>
      <c r="M387" s="184" t="s">
        <v>5765</v>
      </c>
      <c r="N387" s="184" t="s">
        <v>5765</v>
      </c>
      <c r="O387" s="1014" t="s">
        <v>6784</v>
      </c>
    </row>
    <row r="388" spans="1:15" s="182" customFormat="1" ht="21.75" customHeight="1" x14ac:dyDescent="0.15">
      <c r="A388" s="151" t="s">
        <v>6766</v>
      </c>
      <c r="B388" s="20" t="s">
        <v>6768</v>
      </c>
      <c r="C388" s="184" t="s">
        <v>4963</v>
      </c>
      <c r="D388" s="184" t="s">
        <v>5028</v>
      </c>
      <c r="E388" s="184" t="s">
        <v>6780</v>
      </c>
      <c r="F388" s="184" t="s">
        <v>3340</v>
      </c>
      <c r="G388" s="235" t="s">
        <v>3345</v>
      </c>
      <c r="H388" s="509" t="s">
        <v>6775</v>
      </c>
      <c r="I388" s="194">
        <v>29250</v>
      </c>
      <c r="J388" s="194">
        <v>0</v>
      </c>
      <c r="K388" s="711">
        <v>0.19500000000000001</v>
      </c>
      <c r="L388" s="183" t="s">
        <v>6781</v>
      </c>
      <c r="M388" s="184" t="s">
        <v>5765</v>
      </c>
      <c r="N388" s="184" t="s">
        <v>5765</v>
      </c>
      <c r="O388" s="1014" t="s">
        <v>6784</v>
      </c>
    </row>
    <row r="389" spans="1:15" s="182" customFormat="1" ht="21.75" customHeight="1" x14ac:dyDescent="0.15">
      <c r="A389" s="151" t="s">
        <v>6766</v>
      </c>
      <c r="B389" s="20" t="s">
        <v>6769</v>
      </c>
      <c r="C389" s="1013" t="s">
        <v>4982</v>
      </c>
      <c r="D389" s="1013" t="s">
        <v>5018</v>
      </c>
      <c r="E389" s="1013" t="s">
        <v>6776</v>
      </c>
      <c r="F389" s="184" t="s">
        <v>5078</v>
      </c>
      <c r="G389" s="235" t="s">
        <v>6777</v>
      </c>
      <c r="H389" s="509">
        <v>24128</v>
      </c>
      <c r="I389" s="194">
        <v>0</v>
      </c>
      <c r="J389" s="194">
        <v>48000</v>
      </c>
      <c r="K389" s="185">
        <v>1</v>
      </c>
      <c r="L389" s="183" t="s">
        <v>806</v>
      </c>
      <c r="M389" s="184" t="s">
        <v>5255</v>
      </c>
      <c r="N389" s="184" t="s">
        <v>5255</v>
      </c>
      <c r="O389" s="233"/>
    </row>
    <row r="390" spans="1:15" s="182" customFormat="1" ht="21.75" customHeight="1" x14ac:dyDescent="0.15">
      <c r="A390" s="151" t="s">
        <v>6766</v>
      </c>
      <c r="B390" s="20" t="s">
        <v>6769</v>
      </c>
      <c r="C390" s="1013" t="s">
        <v>4982</v>
      </c>
      <c r="D390" s="1013" t="s">
        <v>5018</v>
      </c>
      <c r="E390" s="1013" t="s">
        <v>6778</v>
      </c>
      <c r="F390" s="184" t="s">
        <v>5078</v>
      </c>
      <c r="G390" s="235" t="s">
        <v>6777</v>
      </c>
      <c r="H390" s="509">
        <v>24129</v>
      </c>
      <c r="I390" s="194">
        <v>0</v>
      </c>
      <c r="J390" s="194">
        <v>48000</v>
      </c>
      <c r="K390" s="185">
        <v>1</v>
      </c>
      <c r="L390" s="183" t="s">
        <v>806</v>
      </c>
      <c r="M390" s="184" t="s">
        <v>5255</v>
      </c>
      <c r="N390" s="184" t="s">
        <v>5255</v>
      </c>
      <c r="O390" s="233"/>
    </row>
    <row r="391" spans="1:15" s="182" customFormat="1" ht="21.75" customHeight="1" x14ac:dyDescent="0.15">
      <c r="A391" s="151" t="s">
        <v>6785</v>
      </c>
      <c r="B391" s="20" t="s">
        <v>5870</v>
      </c>
      <c r="C391" s="184" t="s">
        <v>5567</v>
      </c>
      <c r="D391" s="184" t="s">
        <v>5422</v>
      </c>
      <c r="E391" s="184" t="s">
        <v>3440</v>
      </c>
      <c r="F391" s="184" t="s">
        <v>5078</v>
      </c>
      <c r="G391" s="235" t="s">
        <v>5030</v>
      </c>
      <c r="H391" s="509">
        <v>24036</v>
      </c>
      <c r="I391" s="194">
        <v>0</v>
      </c>
      <c r="J391" s="194">
        <v>125000</v>
      </c>
      <c r="K391" s="185">
        <v>0.5</v>
      </c>
      <c r="L391" s="183" t="s">
        <v>5743</v>
      </c>
      <c r="M391" s="184" t="s">
        <v>693</v>
      </c>
      <c r="N391" s="184" t="s">
        <v>693</v>
      </c>
      <c r="O391" s="233"/>
    </row>
    <row r="392" spans="1:15" s="182" customFormat="1" ht="21.75" customHeight="1" x14ac:dyDescent="0.15">
      <c r="A392" s="151" t="s">
        <v>6786</v>
      </c>
      <c r="B392" s="20" t="s">
        <v>6308</v>
      </c>
      <c r="C392" s="399" t="s">
        <v>4982</v>
      </c>
      <c r="D392" s="399" t="s">
        <v>5098</v>
      </c>
      <c r="E392" s="399" t="s">
        <v>6319</v>
      </c>
      <c r="F392" s="184" t="s">
        <v>6254</v>
      </c>
      <c r="G392" s="235" t="s">
        <v>5300</v>
      </c>
      <c r="H392" s="509">
        <v>23156</v>
      </c>
      <c r="I392" s="194">
        <v>0</v>
      </c>
      <c r="J392" s="194">
        <v>48190</v>
      </c>
      <c r="K392" s="185">
        <v>0.05</v>
      </c>
      <c r="L392" s="183" t="s">
        <v>6622</v>
      </c>
      <c r="M392" s="184" t="s">
        <v>662</v>
      </c>
      <c r="N392" s="184" t="s">
        <v>662</v>
      </c>
      <c r="O392" s="233"/>
    </row>
    <row r="393" spans="1:15" s="182" customFormat="1" ht="21.75" customHeight="1" x14ac:dyDescent="0.15">
      <c r="A393" s="151" t="s">
        <v>6787</v>
      </c>
      <c r="B393" s="20" t="s">
        <v>6699</v>
      </c>
      <c r="C393" s="399" t="s">
        <v>3346</v>
      </c>
      <c r="D393" s="399" t="s">
        <v>3354</v>
      </c>
      <c r="E393" s="399" t="s">
        <v>3675</v>
      </c>
      <c r="F393" s="184" t="s">
        <v>5762</v>
      </c>
      <c r="G393" s="235" t="s">
        <v>6591</v>
      </c>
      <c r="H393" s="509" t="s">
        <v>6789</v>
      </c>
      <c r="I393" s="194">
        <v>0</v>
      </c>
      <c r="J393" s="194">
        <v>57350</v>
      </c>
      <c r="K393" s="185">
        <v>0.5</v>
      </c>
      <c r="L393" s="183" t="s">
        <v>5768</v>
      </c>
      <c r="M393" s="184" t="s">
        <v>5255</v>
      </c>
      <c r="N393" s="184" t="s">
        <v>5255</v>
      </c>
      <c r="O393" s="233"/>
    </row>
    <row r="394" spans="1:15" s="182" customFormat="1" ht="21.75" customHeight="1" x14ac:dyDescent="0.15">
      <c r="A394" s="151" t="s">
        <v>6788</v>
      </c>
      <c r="B394" s="20" t="s">
        <v>6308</v>
      </c>
      <c r="C394" s="399" t="s">
        <v>4982</v>
      </c>
      <c r="D394" s="399" t="s">
        <v>5098</v>
      </c>
      <c r="E394" s="399" t="s">
        <v>6319</v>
      </c>
      <c r="F394" s="184" t="s">
        <v>6254</v>
      </c>
      <c r="G394" s="235" t="s">
        <v>5300</v>
      </c>
      <c r="H394" s="509">
        <v>23156</v>
      </c>
      <c r="I394" s="194">
        <v>0</v>
      </c>
      <c r="J394" s="194">
        <v>272220</v>
      </c>
      <c r="K394" s="185" t="s">
        <v>6803</v>
      </c>
      <c r="L394" s="183" t="s">
        <v>6804</v>
      </c>
      <c r="M394" s="184" t="s">
        <v>662</v>
      </c>
      <c r="N394" s="184" t="s">
        <v>662</v>
      </c>
      <c r="O394" s="233"/>
    </row>
    <row r="395" spans="1:15" s="182" customFormat="1" ht="21.75" customHeight="1" x14ac:dyDescent="0.15">
      <c r="A395" s="151" t="s">
        <v>6790</v>
      </c>
      <c r="B395" s="20" t="s">
        <v>6084</v>
      </c>
      <c r="C395" s="184" t="s">
        <v>4963</v>
      </c>
      <c r="D395" s="184" t="s">
        <v>5028</v>
      </c>
      <c r="E395" s="184" t="s">
        <v>5722</v>
      </c>
      <c r="F395" s="224" t="s">
        <v>3328</v>
      </c>
      <c r="G395" s="239" t="s">
        <v>3349</v>
      </c>
      <c r="H395" s="509">
        <v>23092</v>
      </c>
      <c r="I395" s="194">
        <v>0</v>
      </c>
      <c r="J395" s="194">
        <v>100000</v>
      </c>
      <c r="K395" s="185">
        <v>1</v>
      </c>
      <c r="L395" s="183" t="s">
        <v>5743</v>
      </c>
      <c r="M395" s="184" t="s">
        <v>5765</v>
      </c>
      <c r="N395" s="184" t="s">
        <v>5765</v>
      </c>
      <c r="O395" s="233"/>
    </row>
    <row r="396" spans="1:15" s="182" customFormat="1" ht="21.75" customHeight="1" x14ac:dyDescent="0.15">
      <c r="A396" s="151" t="s">
        <v>6791</v>
      </c>
      <c r="B396" s="277" t="s">
        <v>5454</v>
      </c>
      <c r="C396" s="184" t="s">
        <v>4941</v>
      </c>
      <c r="D396" s="184" t="s">
        <v>5901</v>
      </c>
      <c r="E396" s="184" t="s">
        <v>918</v>
      </c>
      <c r="F396" s="184" t="s">
        <v>5078</v>
      </c>
      <c r="G396" s="235" t="s">
        <v>6711</v>
      </c>
      <c r="H396" s="509">
        <v>22124</v>
      </c>
      <c r="I396" s="194">
        <v>0</v>
      </c>
      <c r="J396" s="194">
        <v>72000</v>
      </c>
      <c r="K396" s="185">
        <v>0.3</v>
      </c>
      <c r="L396" s="183" t="s">
        <v>5743</v>
      </c>
      <c r="M396" s="184" t="s">
        <v>5255</v>
      </c>
      <c r="N396" s="184" t="s">
        <v>5255</v>
      </c>
      <c r="O396" s="233"/>
    </row>
    <row r="397" spans="1:15" s="182" customFormat="1" ht="21.75" customHeight="1" x14ac:dyDescent="0.15">
      <c r="A397" s="151" t="s">
        <v>6791</v>
      </c>
      <c r="B397" s="20" t="s">
        <v>5888</v>
      </c>
      <c r="C397" s="184" t="s">
        <v>4941</v>
      </c>
      <c r="D397" s="184" t="s">
        <v>5901</v>
      </c>
      <c r="E397" s="184" t="s">
        <v>918</v>
      </c>
      <c r="F397" s="184" t="s">
        <v>5078</v>
      </c>
      <c r="G397" s="235" t="s">
        <v>6711</v>
      </c>
      <c r="H397" s="509">
        <v>22124</v>
      </c>
      <c r="I397" s="194">
        <v>0</v>
      </c>
      <c r="J397" s="194">
        <v>72000</v>
      </c>
      <c r="K397" s="185">
        <v>0.3</v>
      </c>
      <c r="L397" s="183" t="s">
        <v>5743</v>
      </c>
      <c r="M397" s="184" t="s">
        <v>5255</v>
      </c>
      <c r="N397" s="184" t="s">
        <v>5255</v>
      </c>
      <c r="O397" s="233"/>
    </row>
    <row r="398" spans="1:15" s="182" customFormat="1" ht="21.75" customHeight="1" x14ac:dyDescent="0.15">
      <c r="A398" s="151" t="s">
        <v>6791</v>
      </c>
      <c r="B398" s="20" t="s">
        <v>6308</v>
      </c>
      <c r="C398" s="399" t="s">
        <v>4982</v>
      </c>
      <c r="D398" s="399" t="s">
        <v>5098</v>
      </c>
      <c r="E398" s="399" t="s">
        <v>6320</v>
      </c>
      <c r="F398" s="184" t="s">
        <v>6254</v>
      </c>
      <c r="G398" s="235" t="s">
        <v>5300</v>
      </c>
      <c r="H398" s="509">
        <v>23157</v>
      </c>
      <c r="I398" s="194">
        <v>0</v>
      </c>
      <c r="J398" s="194">
        <v>31125</v>
      </c>
      <c r="K398" s="185">
        <v>0.05</v>
      </c>
      <c r="L398" s="183" t="s">
        <v>6622</v>
      </c>
      <c r="M398" s="184" t="s">
        <v>662</v>
      </c>
      <c r="N398" s="184" t="s">
        <v>662</v>
      </c>
      <c r="O398" s="233"/>
    </row>
    <row r="399" spans="1:15" s="182" customFormat="1" ht="21.75" customHeight="1" x14ac:dyDescent="0.15">
      <c r="A399" s="151" t="s">
        <v>6792</v>
      </c>
      <c r="B399" s="20" t="s">
        <v>6085</v>
      </c>
      <c r="C399" s="184" t="s">
        <v>3985</v>
      </c>
      <c r="D399" s="184" t="s">
        <v>3572</v>
      </c>
      <c r="E399" s="184" t="s">
        <v>5697</v>
      </c>
      <c r="F399" s="224" t="s">
        <v>3328</v>
      </c>
      <c r="G399" s="239" t="s">
        <v>3349</v>
      </c>
      <c r="H399" s="509">
        <v>23094</v>
      </c>
      <c r="I399" s="194">
        <v>0</v>
      </c>
      <c r="J399" s="194">
        <v>100000</v>
      </c>
      <c r="K399" s="185">
        <v>1</v>
      </c>
      <c r="L399" s="183" t="s">
        <v>5743</v>
      </c>
      <c r="M399" s="184" t="s">
        <v>5765</v>
      </c>
      <c r="N399" s="184" t="s">
        <v>5765</v>
      </c>
      <c r="O399" s="233"/>
    </row>
    <row r="400" spans="1:15" s="182" customFormat="1" ht="21.75" customHeight="1" x14ac:dyDescent="0.15">
      <c r="A400" s="151" t="s">
        <v>6793</v>
      </c>
      <c r="B400" s="20" t="s">
        <v>6794</v>
      </c>
      <c r="C400" s="399" t="s">
        <v>4941</v>
      </c>
      <c r="D400" s="399" t="s">
        <v>4942</v>
      </c>
      <c r="E400" s="399" t="s">
        <v>5657</v>
      </c>
      <c r="F400" s="184" t="s">
        <v>5078</v>
      </c>
      <c r="G400" s="239" t="s">
        <v>3566</v>
      </c>
      <c r="H400" s="509">
        <v>23131</v>
      </c>
      <c r="I400" s="194">
        <v>0</v>
      </c>
      <c r="J400" s="194">
        <v>40800</v>
      </c>
      <c r="K400" s="185">
        <v>0.6</v>
      </c>
      <c r="L400" s="183" t="s">
        <v>6812</v>
      </c>
      <c r="M400" s="184" t="s">
        <v>5255</v>
      </c>
      <c r="N400" s="184" t="s">
        <v>5255</v>
      </c>
      <c r="O400" s="233"/>
    </row>
    <row r="401" spans="1:15" s="182" customFormat="1" ht="21.75" customHeight="1" x14ac:dyDescent="0.15">
      <c r="A401" s="151" t="s">
        <v>6795</v>
      </c>
      <c r="B401" s="20" t="s">
        <v>6156</v>
      </c>
      <c r="C401" s="184" t="s">
        <v>4963</v>
      </c>
      <c r="D401" s="184" t="s">
        <v>5028</v>
      </c>
      <c r="E401" s="184" t="s">
        <v>5029</v>
      </c>
      <c r="F401" s="224" t="s">
        <v>3328</v>
      </c>
      <c r="G401" s="239" t="s">
        <v>3349</v>
      </c>
      <c r="H401" s="509">
        <v>23093</v>
      </c>
      <c r="I401" s="194">
        <v>0</v>
      </c>
      <c r="J401" s="194">
        <v>110000</v>
      </c>
      <c r="K401" s="185">
        <v>1</v>
      </c>
      <c r="L401" s="183" t="s">
        <v>5743</v>
      </c>
      <c r="M401" s="184" t="s">
        <v>5765</v>
      </c>
      <c r="N401" s="184" t="s">
        <v>5765</v>
      </c>
      <c r="O401" s="233"/>
    </row>
    <row r="402" spans="1:15" s="182" customFormat="1" ht="21.75" customHeight="1" x14ac:dyDescent="0.15">
      <c r="A402" s="151" t="s">
        <v>6796</v>
      </c>
      <c r="B402" s="20" t="s">
        <v>666</v>
      </c>
      <c r="C402" s="1016" t="s">
        <v>3376</v>
      </c>
      <c r="D402" s="368" t="s">
        <v>3516</v>
      </c>
      <c r="E402" s="30" t="s">
        <v>6326</v>
      </c>
      <c r="F402" s="184" t="s">
        <v>3400</v>
      </c>
      <c r="G402" s="235" t="s">
        <v>6809</v>
      </c>
      <c r="H402" s="509">
        <v>24136</v>
      </c>
      <c r="I402" s="194">
        <v>0</v>
      </c>
      <c r="J402" s="194">
        <v>83025</v>
      </c>
      <c r="K402" s="185">
        <v>0.9</v>
      </c>
      <c r="L402" s="183" t="s">
        <v>5768</v>
      </c>
      <c r="M402" s="184" t="s">
        <v>5771</v>
      </c>
      <c r="N402" s="184" t="s">
        <v>5771</v>
      </c>
      <c r="O402" s="226" t="s">
        <v>6808</v>
      </c>
    </row>
    <row r="403" spans="1:15" s="182" customFormat="1" ht="21.75" customHeight="1" x14ac:dyDescent="0.15">
      <c r="A403" s="151" t="s">
        <v>6796</v>
      </c>
      <c r="B403" s="20" t="s">
        <v>6128</v>
      </c>
      <c r="C403" s="1016" t="s">
        <v>3376</v>
      </c>
      <c r="D403" s="1016" t="s">
        <v>3682</v>
      </c>
      <c r="E403" s="184" t="s">
        <v>4243</v>
      </c>
      <c r="F403" s="184" t="s">
        <v>3400</v>
      </c>
      <c r="G403" s="235" t="s">
        <v>6809</v>
      </c>
      <c r="H403" s="509">
        <v>24137</v>
      </c>
      <c r="I403" s="194">
        <v>0</v>
      </c>
      <c r="J403" s="194">
        <v>83025</v>
      </c>
      <c r="K403" s="185">
        <v>0.9</v>
      </c>
      <c r="L403" s="183" t="s">
        <v>5768</v>
      </c>
      <c r="M403" s="184" t="s">
        <v>5771</v>
      </c>
      <c r="N403" s="184" t="s">
        <v>5771</v>
      </c>
      <c r="O403" s="226" t="s">
        <v>6808</v>
      </c>
    </row>
    <row r="404" spans="1:15" s="182" customFormat="1" ht="21.75" customHeight="1" x14ac:dyDescent="0.15">
      <c r="A404" s="151" t="s">
        <v>6796</v>
      </c>
      <c r="B404" s="20" t="s">
        <v>6797</v>
      </c>
      <c r="C404" s="1016" t="s">
        <v>3376</v>
      </c>
      <c r="D404" s="1016" t="s">
        <v>3682</v>
      </c>
      <c r="E404" s="1016" t="s">
        <v>6811</v>
      </c>
      <c r="F404" s="184" t="s">
        <v>3400</v>
      </c>
      <c r="G404" s="235" t="s">
        <v>6809</v>
      </c>
      <c r="H404" s="509">
        <v>24139</v>
      </c>
      <c r="I404" s="194">
        <v>0</v>
      </c>
      <c r="J404" s="194">
        <v>83025</v>
      </c>
      <c r="K404" s="185">
        <v>0.9</v>
      </c>
      <c r="L404" s="183" t="s">
        <v>5768</v>
      </c>
      <c r="M404" s="184" t="s">
        <v>5771</v>
      </c>
      <c r="N404" s="184" t="s">
        <v>5771</v>
      </c>
      <c r="O404" s="226" t="s">
        <v>6808</v>
      </c>
    </row>
    <row r="405" spans="1:15" s="182" customFormat="1" ht="21.75" customHeight="1" x14ac:dyDescent="0.15">
      <c r="A405" s="151" t="s">
        <v>6796</v>
      </c>
      <c r="B405" s="20" t="s">
        <v>5224</v>
      </c>
      <c r="C405" s="1017" t="s">
        <v>3371</v>
      </c>
      <c r="D405" s="1017" t="s">
        <v>3405</v>
      </c>
      <c r="E405" s="1017" t="s">
        <v>4325</v>
      </c>
      <c r="F405" s="184" t="s">
        <v>5078</v>
      </c>
      <c r="G405" s="235" t="s">
        <v>6813</v>
      </c>
      <c r="H405" s="509">
        <v>24135</v>
      </c>
      <c r="I405" s="194">
        <v>0</v>
      </c>
      <c r="J405" s="194">
        <v>45000</v>
      </c>
      <c r="K405" s="185">
        <v>1</v>
      </c>
      <c r="L405" s="183" t="s">
        <v>806</v>
      </c>
      <c r="M405" s="184" t="s">
        <v>6038</v>
      </c>
      <c r="N405" s="184" t="s">
        <v>6038</v>
      </c>
      <c r="O405" s="233"/>
    </row>
    <row r="406" spans="1:15" s="182" customFormat="1" ht="21.75" customHeight="1" x14ac:dyDescent="0.15">
      <c r="A406" s="151" t="s">
        <v>6798</v>
      </c>
      <c r="B406" s="20" t="s">
        <v>5806</v>
      </c>
      <c r="C406" s="399" t="s">
        <v>5567</v>
      </c>
      <c r="D406" s="399" t="s">
        <v>5422</v>
      </c>
      <c r="E406" s="399" t="s">
        <v>5568</v>
      </c>
      <c r="F406" s="184" t="s">
        <v>5078</v>
      </c>
      <c r="G406" s="235" t="s">
        <v>5030</v>
      </c>
      <c r="H406" s="509">
        <v>22130</v>
      </c>
      <c r="I406" s="194">
        <v>0</v>
      </c>
      <c r="J406" s="194">
        <v>92000</v>
      </c>
      <c r="K406" s="185">
        <v>1</v>
      </c>
      <c r="L406" s="183" t="s">
        <v>5743</v>
      </c>
      <c r="M406" s="184" t="s">
        <v>693</v>
      </c>
      <c r="N406" s="184" t="s">
        <v>693</v>
      </c>
      <c r="O406" s="233"/>
    </row>
    <row r="407" spans="1:15" s="182" customFormat="1" ht="21.75" customHeight="1" x14ac:dyDescent="0.15">
      <c r="A407" s="151" t="s">
        <v>6799</v>
      </c>
      <c r="B407" s="20" t="s">
        <v>6801</v>
      </c>
      <c r="C407" s="945" t="s">
        <v>3351</v>
      </c>
      <c r="D407" s="945" t="s">
        <v>3457</v>
      </c>
      <c r="E407" s="945" t="s">
        <v>4445</v>
      </c>
      <c r="F407" s="945" t="s">
        <v>3328</v>
      </c>
      <c r="G407" s="460" t="s">
        <v>3749</v>
      </c>
      <c r="H407" s="509">
        <v>20119</v>
      </c>
      <c r="I407" s="194">
        <v>0</v>
      </c>
      <c r="J407" s="194">
        <v>51000</v>
      </c>
      <c r="K407" s="185">
        <v>0.1</v>
      </c>
      <c r="L407" s="183" t="s">
        <v>5744</v>
      </c>
      <c r="M407" s="184" t="s">
        <v>5771</v>
      </c>
      <c r="N407" s="184" t="s">
        <v>5771</v>
      </c>
      <c r="O407" s="233"/>
    </row>
    <row r="408" spans="1:15" s="182" customFormat="1" ht="21.75" customHeight="1" x14ac:dyDescent="0.15">
      <c r="A408" s="151" t="s">
        <v>6799</v>
      </c>
      <c r="B408" s="20" t="s">
        <v>6308</v>
      </c>
      <c r="C408" s="399" t="s">
        <v>4982</v>
      </c>
      <c r="D408" s="399" t="s">
        <v>5098</v>
      </c>
      <c r="E408" s="399" t="s">
        <v>6320</v>
      </c>
      <c r="F408" s="184" t="s">
        <v>6254</v>
      </c>
      <c r="G408" s="235" t="s">
        <v>5300</v>
      </c>
      <c r="H408" s="509">
        <v>23157</v>
      </c>
      <c r="I408" s="194">
        <v>0</v>
      </c>
      <c r="J408" s="194">
        <v>113250</v>
      </c>
      <c r="K408" s="185" t="s">
        <v>6805</v>
      </c>
      <c r="L408" s="183" t="s">
        <v>6806</v>
      </c>
      <c r="M408" s="184" t="s">
        <v>662</v>
      </c>
      <c r="N408" s="184" t="s">
        <v>662</v>
      </c>
      <c r="O408" s="233"/>
    </row>
    <row r="409" spans="1:15" s="182" customFormat="1" ht="21.75" customHeight="1" x14ac:dyDescent="0.15">
      <c r="A409" s="151" t="s">
        <v>6799</v>
      </c>
      <c r="B409" s="20" t="s">
        <v>6308</v>
      </c>
      <c r="C409" s="399" t="s">
        <v>4982</v>
      </c>
      <c r="D409" s="399" t="s">
        <v>5098</v>
      </c>
      <c r="E409" s="399" t="s">
        <v>6320</v>
      </c>
      <c r="F409" s="184" t="s">
        <v>6254</v>
      </c>
      <c r="G409" s="235" t="s">
        <v>5300</v>
      </c>
      <c r="H409" s="509">
        <v>23157</v>
      </c>
      <c r="I409" s="194">
        <v>0</v>
      </c>
      <c r="J409" s="194">
        <v>72150</v>
      </c>
      <c r="K409" s="185" t="s">
        <v>6807</v>
      </c>
      <c r="L409" s="183" t="s">
        <v>6804</v>
      </c>
      <c r="M409" s="184" t="s">
        <v>662</v>
      </c>
      <c r="N409" s="184" t="s">
        <v>662</v>
      </c>
      <c r="O409" s="233"/>
    </row>
    <row r="410" spans="1:15" s="182" customFormat="1" ht="21.75" customHeight="1" x14ac:dyDescent="0.15">
      <c r="A410" s="151" t="s">
        <v>6800</v>
      </c>
      <c r="B410" s="20" t="s">
        <v>6802</v>
      </c>
      <c r="C410" s="1016" t="s">
        <v>3376</v>
      </c>
      <c r="D410" s="1016" t="s">
        <v>3682</v>
      </c>
      <c r="E410" s="1016" t="s">
        <v>6810</v>
      </c>
      <c r="F410" s="184" t="s">
        <v>3400</v>
      </c>
      <c r="G410" s="235" t="s">
        <v>6809</v>
      </c>
      <c r="H410" s="509">
        <v>24138</v>
      </c>
      <c r="I410" s="194">
        <v>0</v>
      </c>
      <c r="J410" s="194">
        <v>83025</v>
      </c>
      <c r="K410" s="185">
        <v>0.9</v>
      </c>
      <c r="L410" s="183" t="s">
        <v>5768</v>
      </c>
      <c r="M410" s="184" t="s">
        <v>5771</v>
      </c>
      <c r="N410" s="184" t="s">
        <v>5771</v>
      </c>
      <c r="O410" s="226" t="s">
        <v>6808</v>
      </c>
    </row>
    <row r="411" spans="1:15" s="182" customFormat="1" ht="21.75" customHeight="1" x14ac:dyDescent="0.15">
      <c r="A411" s="151" t="s">
        <v>6800</v>
      </c>
      <c r="B411" s="20" t="s">
        <v>6814</v>
      </c>
      <c r="C411" s="184" t="s">
        <v>4963</v>
      </c>
      <c r="D411" s="184" t="s">
        <v>5153</v>
      </c>
      <c r="E411" s="184" t="s">
        <v>6815</v>
      </c>
      <c r="F411" s="184" t="s">
        <v>3332</v>
      </c>
      <c r="G411" s="235" t="s">
        <v>6816</v>
      </c>
      <c r="H411" s="509">
        <v>24059</v>
      </c>
      <c r="I411" s="194">
        <v>0</v>
      </c>
      <c r="J411" s="194">
        <v>8500</v>
      </c>
      <c r="K411" s="185">
        <v>1</v>
      </c>
      <c r="L411" s="183" t="s">
        <v>806</v>
      </c>
      <c r="M411" s="184" t="s">
        <v>5765</v>
      </c>
      <c r="N411" s="184" t="s">
        <v>5765</v>
      </c>
      <c r="O411" s="226"/>
    </row>
    <row r="412" spans="1:15" s="182" customFormat="1" ht="21.75" customHeight="1" x14ac:dyDescent="0.15">
      <c r="A412" s="151" t="s">
        <v>6800</v>
      </c>
      <c r="B412" s="20" t="s">
        <v>6770</v>
      </c>
      <c r="C412" s="184" t="s">
        <v>4982</v>
      </c>
      <c r="D412" s="184" t="s">
        <v>5018</v>
      </c>
      <c r="E412" s="184" t="s">
        <v>6771</v>
      </c>
      <c r="F412" s="184" t="s">
        <v>6254</v>
      </c>
      <c r="G412" s="235" t="s">
        <v>6255</v>
      </c>
      <c r="H412" s="1015">
        <v>23179</v>
      </c>
      <c r="I412" s="194">
        <v>200000</v>
      </c>
      <c r="J412" s="194">
        <v>0</v>
      </c>
      <c r="K412" s="185" t="s">
        <v>6817</v>
      </c>
      <c r="L412" s="183" t="s">
        <v>806</v>
      </c>
      <c r="M412" s="184" t="s">
        <v>693</v>
      </c>
      <c r="N412" s="184" t="s">
        <v>693</v>
      </c>
      <c r="O412" s="1018" t="s">
        <v>6818</v>
      </c>
    </row>
    <row r="413" spans="1:15" s="182" customFormat="1" ht="24.75" customHeight="1" x14ac:dyDescent="0.15">
      <c r="A413" s="151" t="s">
        <v>6800</v>
      </c>
      <c r="B413" s="849" t="s">
        <v>6819</v>
      </c>
      <c r="C413" s="399" t="s">
        <v>4982</v>
      </c>
      <c r="D413" s="184" t="s">
        <v>5422</v>
      </c>
      <c r="E413" s="399" t="s">
        <v>5569</v>
      </c>
      <c r="F413" s="184" t="s">
        <v>4944</v>
      </c>
      <c r="G413" s="235" t="s">
        <v>5827</v>
      </c>
      <c r="H413" s="509" t="s">
        <v>6522</v>
      </c>
      <c r="I413" s="194">
        <v>5116.6499999999996</v>
      </c>
      <c r="J413" s="194">
        <v>0</v>
      </c>
      <c r="K413" s="185" t="s">
        <v>6822</v>
      </c>
      <c r="L413" s="183" t="s">
        <v>5743</v>
      </c>
      <c r="M413" s="184" t="s">
        <v>693</v>
      </c>
      <c r="N413" s="184" t="s">
        <v>693</v>
      </c>
      <c r="O413" s="1019" t="s">
        <v>6823</v>
      </c>
    </row>
    <row r="414" spans="1:15" s="182" customFormat="1" ht="24.75" customHeight="1" x14ac:dyDescent="0.15">
      <c r="A414" s="151" t="s">
        <v>6800</v>
      </c>
      <c r="B414" s="849" t="s">
        <v>6820</v>
      </c>
      <c r="C414" s="399" t="s">
        <v>4982</v>
      </c>
      <c r="D414" s="184" t="s">
        <v>5422</v>
      </c>
      <c r="E414" s="399" t="s">
        <v>5569</v>
      </c>
      <c r="F414" s="184" t="s">
        <v>4944</v>
      </c>
      <c r="G414" s="235" t="s">
        <v>5827</v>
      </c>
      <c r="H414" s="509" t="s">
        <v>6522</v>
      </c>
      <c r="I414" s="194">
        <v>60683.35</v>
      </c>
      <c r="J414" s="194">
        <v>0</v>
      </c>
      <c r="K414" s="185" t="s">
        <v>6821</v>
      </c>
      <c r="L414" s="183" t="s">
        <v>5743</v>
      </c>
      <c r="M414" s="184" t="s">
        <v>693</v>
      </c>
      <c r="N414" s="184" t="s">
        <v>693</v>
      </c>
      <c r="O414" s="1019" t="s">
        <v>6824</v>
      </c>
    </row>
    <row r="415" spans="1:15" s="182" customFormat="1" ht="21.75" customHeight="1" x14ac:dyDescent="0.15">
      <c r="A415" s="151" t="s">
        <v>6825</v>
      </c>
      <c r="B415" s="20" t="s">
        <v>6308</v>
      </c>
      <c r="C415" s="399" t="s">
        <v>4982</v>
      </c>
      <c r="D415" s="399" t="s">
        <v>5098</v>
      </c>
      <c r="E415" s="399" t="s">
        <v>6318</v>
      </c>
      <c r="F415" s="184" t="s">
        <v>6254</v>
      </c>
      <c r="G415" s="235" t="s">
        <v>5300</v>
      </c>
      <c r="H415" s="509">
        <v>23155</v>
      </c>
      <c r="I415" s="194">
        <v>0</v>
      </c>
      <c r="J415" s="194">
        <v>5275</v>
      </c>
      <c r="K415" s="185">
        <v>0.05</v>
      </c>
      <c r="L415" s="183" t="s">
        <v>6622</v>
      </c>
      <c r="M415" s="184" t="s">
        <v>662</v>
      </c>
      <c r="N415" s="184" t="s">
        <v>662</v>
      </c>
      <c r="O415" s="233"/>
    </row>
    <row r="416" spans="1:15" s="182" customFormat="1" ht="21.75" customHeight="1" x14ac:dyDescent="0.15">
      <c r="A416" s="151" t="s">
        <v>6826</v>
      </c>
      <c r="B416" s="20" t="s">
        <v>6308</v>
      </c>
      <c r="C416" s="399" t="s">
        <v>4982</v>
      </c>
      <c r="D416" s="399" t="s">
        <v>5098</v>
      </c>
      <c r="E416" s="399" t="s">
        <v>6318</v>
      </c>
      <c r="F416" s="184" t="s">
        <v>6254</v>
      </c>
      <c r="G416" s="235" t="s">
        <v>5300</v>
      </c>
      <c r="H416" s="509">
        <v>23155</v>
      </c>
      <c r="I416" s="194">
        <v>0</v>
      </c>
      <c r="J416" s="194">
        <v>8300</v>
      </c>
      <c r="K416" s="185" t="s">
        <v>6827</v>
      </c>
      <c r="L416" s="183" t="s">
        <v>6806</v>
      </c>
      <c r="M416" s="184" t="s">
        <v>662</v>
      </c>
      <c r="N416" s="184" t="s">
        <v>662</v>
      </c>
      <c r="O416" s="233"/>
    </row>
    <row r="417" spans="1:15" s="182" customFormat="1" ht="21.75" customHeight="1" x14ac:dyDescent="0.15">
      <c r="A417" s="151" t="s">
        <v>6826</v>
      </c>
      <c r="B417" s="20" t="s">
        <v>6308</v>
      </c>
      <c r="C417" s="399" t="s">
        <v>4982</v>
      </c>
      <c r="D417" s="399" t="s">
        <v>5098</v>
      </c>
      <c r="E417" s="399" t="s">
        <v>6318</v>
      </c>
      <c r="F417" s="184" t="s">
        <v>6254</v>
      </c>
      <c r="G417" s="235" t="s">
        <v>5300</v>
      </c>
      <c r="H417" s="509">
        <v>23155</v>
      </c>
      <c r="I417" s="194">
        <v>0</v>
      </c>
      <c r="J417" s="194">
        <v>94000</v>
      </c>
      <c r="K417" s="185" t="s">
        <v>6828</v>
      </c>
      <c r="L417" s="183" t="s">
        <v>6804</v>
      </c>
      <c r="M417" s="184" t="s">
        <v>662</v>
      </c>
      <c r="N417" s="184" t="s">
        <v>662</v>
      </c>
      <c r="O417" s="233"/>
    </row>
    <row r="418" spans="1:15" s="182" customFormat="1" ht="21.75" customHeight="1" x14ac:dyDescent="0.15">
      <c r="A418" s="151" t="s">
        <v>6829</v>
      </c>
      <c r="B418" s="20" t="s">
        <v>6075</v>
      </c>
      <c r="C418" s="1020" t="s">
        <v>5567</v>
      </c>
      <c r="D418" s="1020" t="s">
        <v>5422</v>
      </c>
      <c r="E418" s="1020" t="s">
        <v>5774</v>
      </c>
      <c r="F418" s="184" t="s">
        <v>5078</v>
      </c>
      <c r="G418" s="239" t="s">
        <v>5480</v>
      </c>
      <c r="H418" s="509" t="s">
        <v>6832</v>
      </c>
      <c r="I418" s="194">
        <v>0</v>
      </c>
      <c r="J418" s="194">
        <v>46000</v>
      </c>
      <c r="K418" s="185">
        <v>0.5</v>
      </c>
      <c r="L418" s="183" t="s">
        <v>5743</v>
      </c>
      <c r="M418" s="184" t="s">
        <v>693</v>
      </c>
      <c r="N418" s="184" t="s">
        <v>693</v>
      </c>
      <c r="O418" s="233"/>
    </row>
    <row r="419" spans="1:15" s="182" customFormat="1" ht="21.75" customHeight="1" x14ac:dyDescent="0.15">
      <c r="A419" s="151" t="s">
        <v>6829</v>
      </c>
      <c r="B419" s="20" t="s">
        <v>6075</v>
      </c>
      <c r="C419" s="1020" t="s">
        <v>5567</v>
      </c>
      <c r="D419" s="1020" t="s">
        <v>5422</v>
      </c>
      <c r="E419" s="1020" t="s">
        <v>5774</v>
      </c>
      <c r="F419" s="184" t="s">
        <v>5078</v>
      </c>
      <c r="G419" s="239" t="s">
        <v>5480</v>
      </c>
      <c r="H419" s="509" t="s">
        <v>6832</v>
      </c>
      <c r="I419" s="194">
        <v>0</v>
      </c>
      <c r="J419" s="194">
        <v>249294.6</v>
      </c>
      <c r="K419" s="185">
        <v>0.9</v>
      </c>
      <c r="L419" s="183" t="s">
        <v>5768</v>
      </c>
      <c r="M419" s="184" t="s">
        <v>693</v>
      </c>
      <c r="N419" s="184" t="s">
        <v>693</v>
      </c>
      <c r="O419" s="233"/>
    </row>
    <row r="420" spans="1:15" s="182" customFormat="1" ht="21.75" customHeight="1" x14ac:dyDescent="0.15">
      <c r="A420" s="151" t="s">
        <v>6829</v>
      </c>
      <c r="B420" s="20" t="s">
        <v>6075</v>
      </c>
      <c r="C420" s="1020" t="s">
        <v>5567</v>
      </c>
      <c r="D420" s="1020" t="s">
        <v>5422</v>
      </c>
      <c r="E420" s="1020" t="s">
        <v>5774</v>
      </c>
      <c r="F420" s="184" t="s">
        <v>3400</v>
      </c>
      <c r="G420" s="235" t="s">
        <v>6834</v>
      </c>
      <c r="H420" s="509" t="s">
        <v>6833</v>
      </c>
      <c r="I420" s="194">
        <v>0</v>
      </c>
      <c r="J420" s="194">
        <v>77508.899999999994</v>
      </c>
      <c r="K420" s="185">
        <v>0.9</v>
      </c>
      <c r="L420" s="183" t="s">
        <v>5768</v>
      </c>
      <c r="M420" s="184" t="s">
        <v>693</v>
      </c>
      <c r="N420" s="184" t="s">
        <v>693</v>
      </c>
      <c r="O420" s="233"/>
    </row>
    <row r="421" spans="1:15" s="182" customFormat="1" ht="21.75" customHeight="1" x14ac:dyDescent="0.15">
      <c r="A421" s="151" t="s">
        <v>6829</v>
      </c>
      <c r="B421" s="20" t="s">
        <v>6075</v>
      </c>
      <c r="C421" s="1020" t="s">
        <v>5567</v>
      </c>
      <c r="D421" s="1020" t="s">
        <v>5422</v>
      </c>
      <c r="E421" s="1020" t="s">
        <v>5774</v>
      </c>
      <c r="F421" s="184" t="s">
        <v>5762</v>
      </c>
      <c r="G421" s="235" t="s">
        <v>5763</v>
      </c>
      <c r="H421" s="509" t="s">
        <v>6835</v>
      </c>
      <c r="I421" s="194">
        <v>0</v>
      </c>
      <c r="J421" s="194">
        <v>66742.2</v>
      </c>
      <c r="K421" s="185">
        <v>0.9</v>
      </c>
      <c r="L421" s="183" t="s">
        <v>5768</v>
      </c>
      <c r="M421" s="184" t="s">
        <v>693</v>
      </c>
      <c r="N421" s="184" t="s">
        <v>693</v>
      </c>
      <c r="O421" s="233"/>
    </row>
    <row r="422" spans="1:15" s="182" customFormat="1" ht="21.75" customHeight="1" x14ac:dyDescent="0.15">
      <c r="A422" s="151" t="s">
        <v>6830</v>
      </c>
      <c r="B422" s="20" t="s">
        <v>6831</v>
      </c>
      <c r="C422" s="1020" t="s">
        <v>4963</v>
      </c>
      <c r="D422" s="1020" t="s">
        <v>5028</v>
      </c>
      <c r="E422" s="1020" t="s">
        <v>6286</v>
      </c>
      <c r="F422" s="184" t="s">
        <v>5078</v>
      </c>
      <c r="G422" s="235" t="s">
        <v>6836</v>
      </c>
      <c r="H422" s="509">
        <v>24088</v>
      </c>
      <c r="I422" s="194">
        <v>0</v>
      </c>
      <c r="J422" s="194">
        <v>20000</v>
      </c>
      <c r="K422" s="185">
        <v>1</v>
      </c>
      <c r="L422" s="183" t="s">
        <v>806</v>
      </c>
      <c r="M422" s="184" t="s">
        <v>5765</v>
      </c>
      <c r="N422" s="184" t="s">
        <v>5765</v>
      </c>
      <c r="O422" s="233"/>
    </row>
    <row r="423" spans="1:15" s="182" customFormat="1" ht="21.75" customHeight="1" x14ac:dyDescent="0.15">
      <c r="A423" s="151" t="s">
        <v>6837</v>
      </c>
      <c r="B423" s="20" t="s">
        <v>6839</v>
      </c>
      <c r="C423" s="399" t="s">
        <v>4941</v>
      </c>
      <c r="D423" s="399" t="s">
        <v>4942</v>
      </c>
      <c r="E423" s="399" t="s">
        <v>6554</v>
      </c>
      <c r="F423" s="403" t="s">
        <v>3328</v>
      </c>
      <c r="G423" s="235" t="s">
        <v>5658</v>
      </c>
      <c r="H423" s="509">
        <v>21115</v>
      </c>
      <c r="I423" s="194">
        <v>0</v>
      </c>
      <c r="J423" s="194">
        <v>14000</v>
      </c>
      <c r="K423" s="185">
        <v>0.35</v>
      </c>
      <c r="L423" s="183" t="s">
        <v>5744</v>
      </c>
      <c r="M423" s="184" t="s">
        <v>5255</v>
      </c>
      <c r="N423" s="184" t="s">
        <v>5255</v>
      </c>
      <c r="O423" s="233"/>
    </row>
    <row r="424" spans="1:15" s="182" customFormat="1" ht="21.75" customHeight="1" x14ac:dyDescent="0.15">
      <c r="A424" s="151" t="s">
        <v>6838</v>
      </c>
      <c r="B424" s="20" t="s">
        <v>6840</v>
      </c>
      <c r="C424" s="184" t="s">
        <v>4941</v>
      </c>
      <c r="D424" s="184" t="s">
        <v>4942</v>
      </c>
      <c r="E424" s="184" t="s">
        <v>6415</v>
      </c>
      <c r="F424" s="184" t="s">
        <v>3328</v>
      </c>
      <c r="G424" s="235" t="s">
        <v>3329</v>
      </c>
      <c r="H424" s="509" t="s">
        <v>6460</v>
      </c>
      <c r="I424" s="194">
        <v>0</v>
      </c>
      <c r="J424" s="194">
        <v>22105.9</v>
      </c>
      <c r="K424" s="185" t="s">
        <v>6882</v>
      </c>
      <c r="L424" s="183" t="s">
        <v>4707</v>
      </c>
      <c r="M424" s="957" t="s">
        <v>3726</v>
      </c>
      <c r="N424" s="957" t="s">
        <v>3726</v>
      </c>
      <c r="O424" s="233"/>
    </row>
    <row r="425" spans="1:15" s="182" customFormat="1" ht="21.75" customHeight="1" x14ac:dyDescent="0.15">
      <c r="A425" s="151" t="s">
        <v>6838</v>
      </c>
      <c r="B425" s="20" t="s">
        <v>6840</v>
      </c>
      <c r="C425" s="184" t="s">
        <v>4941</v>
      </c>
      <c r="D425" s="184" t="s">
        <v>4942</v>
      </c>
      <c r="E425" s="184" t="s">
        <v>6417</v>
      </c>
      <c r="F425" s="184" t="s">
        <v>5078</v>
      </c>
      <c r="G425" s="235" t="s">
        <v>3329</v>
      </c>
      <c r="H425" s="509" t="s">
        <v>6461</v>
      </c>
      <c r="I425" s="194">
        <v>0</v>
      </c>
      <c r="J425" s="194">
        <v>24220.6</v>
      </c>
      <c r="K425" s="185" t="s">
        <v>6882</v>
      </c>
      <c r="L425" s="183" t="s">
        <v>4707</v>
      </c>
      <c r="M425" s="957" t="s">
        <v>3726</v>
      </c>
      <c r="N425" s="957" t="s">
        <v>3726</v>
      </c>
      <c r="O425" s="233"/>
    </row>
    <row r="426" spans="1:15" s="182" customFormat="1" ht="21.75" customHeight="1" x14ac:dyDescent="0.15">
      <c r="A426" s="151" t="s">
        <v>6838</v>
      </c>
      <c r="B426" s="20" t="s">
        <v>6840</v>
      </c>
      <c r="C426" s="184" t="s">
        <v>4941</v>
      </c>
      <c r="D426" s="184" t="s">
        <v>4942</v>
      </c>
      <c r="E426" s="184" t="s">
        <v>6418</v>
      </c>
      <c r="F426" s="184" t="s">
        <v>5078</v>
      </c>
      <c r="G426" s="235" t="s">
        <v>5090</v>
      </c>
      <c r="H426" s="509" t="s">
        <v>6462</v>
      </c>
      <c r="I426" s="194">
        <v>0</v>
      </c>
      <c r="J426" s="194">
        <v>24845.200000000001</v>
      </c>
      <c r="K426" s="185" t="s">
        <v>6882</v>
      </c>
      <c r="L426" s="183" t="s">
        <v>4707</v>
      </c>
      <c r="M426" s="957" t="s">
        <v>3726</v>
      </c>
      <c r="N426" s="957" t="s">
        <v>3726</v>
      </c>
      <c r="O426" s="233"/>
    </row>
    <row r="427" spans="1:15" s="182" customFormat="1" ht="21.75" customHeight="1" x14ac:dyDescent="0.15">
      <c r="A427" s="151" t="s">
        <v>6838</v>
      </c>
      <c r="B427" s="20" t="s">
        <v>6840</v>
      </c>
      <c r="C427" s="184" t="s">
        <v>4941</v>
      </c>
      <c r="D427" s="184" t="s">
        <v>4942</v>
      </c>
      <c r="E427" s="184" t="s">
        <v>6420</v>
      </c>
      <c r="F427" s="184" t="s">
        <v>5078</v>
      </c>
      <c r="G427" s="235" t="s">
        <v>5090</v>
      </c>
      <c r="H427" s="509" t="s">
        <v>6463</v>
      </c>
      <c r="I427" s="194">
        <v>0</v>
      </c>
      <c r="J427" s="194">
        <v>24845.200000000001</v>
      </c>
      <c r="K427" s="185" t="s">
        <v>6882</v>
      </c>
      <c r="L427" s="183" t="s">
        <v>4707</v>
      </c>
      <c r="M427" s="957" t="s">
        <v>3726</v>
      </c>
      <c r="N427" s="957" t="s">
        <v>3726</v>
      </c>
      <c r="O427" s="233"/>
    </row>
    <row r="428" spans="1:15" s="182" customFormat="1" ht="21.75" customHeight="1" x14ac:dyDescent="0.15">
      <c r="A428" s="151" t="s">
        <v>6838</v>
      </c>
      <c r="B428" s="20" t="s">
        <v>6840</v>
      </c>
      <c r="C428" s="184" t="s">
        <v>4941</v>
      </c>
      <c r="D428" s="184" t="s">
        <v>4942</v>
      </c>
      <c r="E428" s="184" t="s">
        <v>6421</v>
      </c>
      <c r="F428" s="184" t="s">
        <v>5078</v>
      </c>
      <c r="G428" s="235" t="s">
        <v>3375</v>
      </c>
      <c r="H428" s="509" t="s">
        <v>6464</v>
      </c>
      <c r="I428" s="194">
        <v>0</v>
      </c>
      <c r="J428" s="194">
        <v>31403.5</v>
      </c>
      <c r="K428" s="185" t="s">
        <v>6882</v>
      </c>
      <c r="L428" s="183" t="s">
        <v>4707</v>
      </c>
      <c r="M428" s="957" t="s">
        <v>3726</v>
      </c>
      <c r="N428" s="957" t="s">
        <v>3726</v>
      </c>
      <c r="O428" s="233"/>
    </row>
    <row r="429" spans="1:15" s="182" customFormat="1" ht="21.75" customHeight="1" x14ac:dyDescent="0.15">
      <c r="A429" s="151" t="s">
        <v>6838</v>
      </c>
      <c r="B429" s="20" t="s">
        <v>6840</v>
      </c>
      <c r="C429" s="184" t="s">
        <v>4941</v>
      </c>
      <c r="D429" s="184" t="s">
        <v>4942</v>
      </c>
      <c r="E429" s="184" t="s">
        <v>6423</v>
      </c>
      <c r="F429" s="184" t="s">
        <v>5078</v>
      </c>
      <c r="G429" s="235" t="s">
        <v>3329</v>
      </c>
      <c r="H429" s="509" t="s">
        <v>6465</v>
      </c>
      <c r="I429" s="194">
        <v>0</v>
      </c>
      <c r="J429" s="194">
        <v>24185.9</v>
      </c>
      <c r="K429" s="185" t="s">
        <v>6882</v>
      </c>
      <c r="L429" s="183" t="s">
        <v>4707</v>
      </c>
      <c r="M429" s="957" t="s">
        <v>3726</v>
      </c>
      <c r="N429" s="957" t="s">
        <v>3726</v>
      </c>
      <c r="O429" s="233"/>
    </row>
    <row r="430" spans="1:15" s="182" customFormat="1" ht="21.75" customHeight="1" x14ac:dyDescent="0.15">
      <c r="A430" s="151" t="s">
        <v>6838</v>
      </c>
      <c r="B430" s="20" t="s">
        <v>6840</v>
      </c>
      <c r="C430" s="184" t="s">
        <v>4941</v>
      </c>
      <c r="D430" s="184" t="s">
        <v>4942</v>
      </c>
      <c r="E430" s="184" t="s">
        <v>6424</v>
      </c>
      <c r="F430" s="184" t="s">
        <v>5078</v>
      </c>
      <c r="G430" s="235" t="s">
        <v>3329</v>
      </c>
      <c r="H430" s="509" t="s">
        <v>6466</v>
      </c>
      <c r="I430" s="194">
        <v>0</v>
      </c>
      <c r="J430" s="194">
        <v>20021.900000000001</v>
      </c>
      <c r="K430" s="185" t="s">
        <v>6882</v>
      </c>
      <c r="L430" s="183" t="s">
        <v>4707</v>
      </c>
      <c r="M430" s="957" t="s">
        <v>3726</v>
      </c>
      <c r="N430" s="957" t="s">
        <v>3726</v>
      </c>
      <c r="O430" s="233"/>
    </row>
    <row r="431" spans="1:15" s="182" customFormat="1" ht="21.75" customHeight="1" x14ac:dyDescent="0.15">
      <c r="A431" s="151" t="s">
        <v>6838</v>
      </c>
      <c r="B431" s="20" t="s">
        <v>6840</v>
      </c>
      <c r="C431" s="184" t="s">
        <v>4941</v>
      </c>
      <c r="D431" s="184" t="s">
        <v>4942</v>
      </c>
      <c r="E431" s="184" t="s">
        <v>6425</v>
      </c>
      <c r="F431" s="184" t="s">
        <v>5078</v>
      </c>
      <c r="G431" s="235" t="s">
        <v>3329</v>
      </c>
      <c r="H431" s="509" t="s">
        <v>6467</v>
      </c>
      <c r="I431" s="194">
        <v>0</v>
      </c>
      <c r="J431" s="194">
        <v>23491.9</v>
      </c>
      <c r="K431" s="185" t="s">
        <v>6882</v>
      </c>
      <c r="L431" s="183" t="s">
        <v>4707</v>
      </c>
      <c r="M431" s="957" t="s">
        <v>3726</v>
      </c>
      <c r="N431" s="957" t="s">
        <v>3726</v>
      </c>
      <c r="O431" s="233"/>
    </row>
    <row r="432" spans="1:15" s="182" customFormat="1" ht="21.75" customHeight="1" x14ac:dyDescent="0.15">
      <c r="A432" s="151" t="s">
        <v>6838</v>
      </c>
      <c r="B432" s="20" t="s">
        <v>6840</v>
      </c>
      <c r="C432" s="184" t="s">
        <v>4941</v>
      </c>
      <c r="D432" s="184" t="s">
        <v>4942</v>
      </c>
      <c r="E432" s="184" t="s">
        <v>6426</v>
      </c>
      <c r="F432" s="184" t="s">
        <v>5078</v>
      </c>
      <c r="G432" s="235" t="s">
        <v>3329</v>
      </c>
      <c r="H432" s="509" t="s">
        <v>6468</v>
      </c>
      <c r="I432" s="194">
        <v>0</v>
      </c>
      <c r="J432" s="194">
        <v>24879.9</v>
      </c>
      <c r="K432" s="185" t="s">
        <v>6882</v>
      </c>
      <c r="L432" s="183" t="s">
        <v>4707</v>
      </c>
      <c r="M432" s="957" t="s">
        <v>3726</v>
      </c>
      <c r="N432" s="957" t="s">
        <v>3726</v>
      </c>
      <c r="O432" s="233"/>
    </row>
    <row r="433" spans="1:15" s="182" customFormat="1" ht="21.75" customHeight="1" x14ac:dyDescent="0.15">
      <c r="A433" s="151" t="s">
        <v>6841</v>
      </c>
      <c r="B433" s="226" t="s">
        <v>6842</v>
      </c>
      <c r="C433" s="184" t="s">
        <v>4963</v>
      </c>
      <c r="D433" s="184" t="s">
        <v>5018</v>
      </c>
      <c r="E433" s="184" t="s">
        <v>6881</v>
      </c>
      <c r="F433" s="184" t="s">
        <v>5078</v>
      </c>
      <c r="G433" s="235" t="s">
        <v>5658</v>
      </c>
      <c r="H433" s="509">
        <v>24069</v>
      </c>
      <c r="I433" s="194">
        <v>0</v>
      </c>
      <c r="J433" s="194">
        <v>50000</v>
      </c>
      <c r="K433" s="185" t="s">
        <v>6375</v>
      </c>
      <c r="L433" s="183" t="s">
        <v>806</v>
      </c>
      <c r="M433" s="184" t="s">
        <v>5765</v>
      </c>
      <c r="N433" s="184" t="s">
        <v>5765</v>
      </c>
      <c r="O433" s="233"/>
    </row>
    <row r="434" spans="1:15" s="182" customFormat="1" ht="21.75" customHeight="1" x14ac:dyDescent="0.15">
      <c r="A434" s="151" t="s">
        <v>6841</v>
      </c>
      <c r="B434" s="20" t="s">
        <v>5919</v>
      </c>
      <c r="C434" s="399" t="s">
        <v>5148</v>
      </c>
      <c r="D434" s="399" t="s">
        <v>6321</v>
      </c>
      <c r="E434" s="399" t="s">
        <v>6322</v>
      </c>
      <c r="F434" s="184" t="s">
        <v>5078</v>
      </c>
      <c r="G434" s="235" t="s">
        <v>6323</v>
      </c>
      <c r="H434" s="509">
        <v>22183</v>
      </c>
      <c r="I434" s="194">
        <v>0</v>
      </c>
      <c r="J434" s="194">
        <v>115000</v>
      </c>
      <c r="K434" s="185">
        <v>0.5</v>
      </c>
      <c r="L434" s="183" t="s">
        <v>5743</v>
      </c>
      <c r="M434" s="184" t="s">
        <v>5771</v>
      </c>
      <c r="N434" s="184" t="s">
        <v>5771</v>
      </c>
      <c r="O434" s="233"/>
    </row>
    <row r="435" spans="1:15" s="182" customFormat="1" ht="21.75" customHeight="1" x14ac:dyDescent="0.15">
      <c r="A435" s="151" t="s">
        <v>6844</v>
      </c>
      <c r="B435" s="20" t="s">
        <v>6843</v>
      </c>
      <c r="C435" s="1021" t="s">
        <v>5567</v>
      </c>
      <c r="D435" s="1021" t="s">
        <v>5153</v>
      </c>
      <c r="E435" s="1021" t="s">
        <v>6851</v>
      </c>
      <c r="F435" s="184" t="s">
        <v>5078</v>
      </c>
      <c r="G435" s="235" t="s">
        <v>5030</v>
      </c>
      <c r="H435" s="509">
        <v>24156</v>
      </c>
      <c r="I435" s="194">
        <v>0</v>
      </c>
      <c r="J435" s="194">
        <v>38094</v>
      </c>
      <c r="K435" s="185">
        <v>0.6</v>
      </c>
      <c r="L435" s="183" t="s">
        <v>5743</v>
      </c>
      <c r="M435" s="184" t="s">
        <v>6038</v>
      </c>
      <c r="N435" s="184" t="s">
        <v>6038</v>
      </c>
      <c r="O435" s="233"/>
    </row>
    <row r="436" spans="1:15" s="182" customFormat="1" ht="42.75" customHeight="1" x14ac:dyDescent="0.15">
      <c r="A436" s="151" t="s">
        <v>6845</v>
      </c>
      <c r="B436" s="849" t="s">
        <v>6854</v>
      </c>
      <c r="C436" s="945" t="s">
        <v>3346</v>
      </c>
      <c r="D436" s="945" t="s">
        <v>3354</v>
      </c>
      <c r="E436" s="945" t="s">
        <v>6853</v>
      </c>
      <c r="F436" s="392" t="s">
        <v>3328</v>
      </c>
      <c r="G436" s="460" t="s">
        <v>4476</v>
      </c>
      <c r="H436" s="972" t="s">
        <v>6852</v>
      </c>
      <c r="I436" s="194">
        <v>0</v>
      </c>
      <c r="J436" s="194">
        <v>53811.96</v>
      </c>
      <c r="K436" s="185">
        <v>1</v>
      </c>
      <c r="L436" s="183" t="s">
        <v>806</v>
      </c>
      <c r="M436" s="945" t="s">
        <v>3433</v>
      </c>
      <c r="N436" s="945" t="s">
        <v>3726</v>
      </c>
      <c r="O436" s="233"/>
    </row>
    <row r="437" spans="1:15" s="182" customFormat="1" ht="21.75" customHeight="1" x14ac:dyDescent="0.15">
      <c r="A437" s="151" t="s">
        <v>6846</v>
      </c>
      <c r="B437" s="20" t="s">
        <v>5852</v>
      </c>
      <c r="C437" s="399" t="s">
        <v>5156</v>
      </c>
      <c r="D437" s="399" t="s">
        <v>5153</v>
      </c>
      <c r="E437" s="399" t="s">
        <v>5863</v>
      </c>
      <c r="F437" s="184" t="s">
        <v>5078</v>
      </c>
      <c r="G437" s="235" t="s">
        <v>6855</v>
      </c>
      <c r="H437" s="509">
        <v>23062</v>
      </c>
      <c r="I437" s="194">
        <v>0</v>
      </c>
      <c r="J437" s="194">
        <v>218850</v>
      </c>
      <c r="K437" s="185" t="s">
        <v>6375</v>
      </c>
      <c r="L437" s="183" t="s">
        <v>5743</v>
      </c>
      <c r="M437" s="184" t="s">
        <v>5771</v>
      </c>
      <c r="N437" s="184" t="s">
        <v>5771</v>
      </c>
      <c r="O437" s="233"/>
    </row>
    <row r="438" spans="1:15" s="182" customFormat="1" ht="21.75" customHeight="1" x14ac:dyDescent="0.15">
      <c r="A438" s="151" t="s">
        <v>6846</v>
      </c>
      <c r="B438" s="20" t="s">
        <v>5848</v>
      </c>
      <c r="C438" s="224" t="s">
        <v>3334</v>
      </c>
      <c r="D438" s="224" t="s">
        <v>3326</v>
      </c>
      <c r="E438" s="224" t="s">
        <v>3942</v>
      </c>
      <c r="F438" s="403" t="s">
        <v>3328</v>
      </c>
      <c r="G438" s="235" t="s">
        <v>6855</v>
      </c>
      <c r="H438" s="509">
        <v>23061</v>
      </c>
      <c r="I438" s="194">
        <v>0</v>
      </c>
      <c r="J438" s="194">
        <v>91450</v>
      </c>
      <c r="K438" s="185" t="s">
        <v>6375</v>
      </c>
      <c r="L438" s="183" t="s">
        <v>5743</v>
      </c>
      <c r="M438" s="184" t="s">
        <v>5771</v>
      </c>
      <c r="N438" s="184" t="s">
        <v>5771</v>
      </c>
      <c r="O438" s="233"/>
    </row>
    <row r="439" spans="1:15" s="182" customFormat="1" ht="21.75" customHeight="1" x14ac:dyDescent="0.15">
      <c r="A439" s="151" t="s">
        <v>6846</v>
      </c>
      <c r="B439" s="20" t="s">
        <v>6847</v>
      </c>
      <c r="C439" s="184" t="s">
        <v>4941</v>
      </c>
      <c r="D439" s="184" t="s">
        <v>4942</v>
      </c>
      <c r="E439" s="399" t="s">
        <v>6552</v>
      </c>
      <c r="F439" s="184" t="s">
        <v>5078</v>
      </c>
      <c r="G439" s="235" t="s">
        <v>6504</v>
      </c>
      <c r="H439" s="509">
        <v>23142</v>
      </c>
      <c r="I439" s="194">
        <v>0</v>
      </c>
      <c r="J439" s="194">
        <v>3150</v>
      </c>
      <c r="K439" s="185">
        <v>0.05</v>
      </c>
      <c r="L439" s="183" t="s">
        <v>5744</v>
      </c>
      <c r="M439" s="184" t="s">
        <v>5255</v>
      </c>
      <c r="N439" s="184" t="s">
        <v>5255</v>
      </c>
      <c r="O439" s="233"/>
    </row>
    <row r="440" spans="1:15" s="182" customFormat="1" ht="21.75" customHeight="1" x14ac:dyDescent="0.15">
      <c r="A440" s="151" t="s">
        <v>6846</v>
      </c>
      <c r="B440" s="20" t="s">
        <v>6839</v>
      </c>
      <c r="C440" s="399" t="s">
        <v>4941</v>
      </c>
      <c r="D440" s="399" t="s">
        <v>4942</v>
      </c>
      <c r="E440" s="399" t="s">
        <v>6554</v>
      </c>
      <c r="F440" s="403" t="s">
        <v>3328</v>
      </c>
      <c r="G440" s="239" t="s">
        <v>5240</v>
      </c>
      <c r="H440" s="509">
        <v>22062</v>
      </c>
      <c r="I440" s="194">
        <v>0</v>
      </c>
      <c r="J440" s="194">
        <v>25000</v>
      </c>
      <c r="K440" s="185">
        <v>1</v>
      </c>
      <c r="L440" s="183" t="s">
        <v>806</v>
      </c>
      <c r="M440" s="184" t="s">
        <v>5255</v>
      </c>
      <c r="N440" s="184" t="s">
        <v>5255</v>
      </c>
      <c r="O440" s="233"/>
    </row>
    <row r="441" spans="1:15" s="182" customFormat="1" ht="21.75" customHeight="1" x14ac:dyDescent="0.15">
      <c r="A441" s="151" t="s">
        <v>6846</v>
      </c>
      <c r="B441" s="20" t="s">
        <v>6839</v>
      </c>
      <c r="C441" s="399" t="s">
        <v>4941</v>
      </c>
      <c r="D441" s="399" t="s">
        <v>4942</v>
      </c>
      <c r="E441" s="399" t="s">
        <v>6554</v>
      </c>
      <c r="F441" s="403" t="s">
        <v>3328</v>
      </c>
      <c r="G441" s="239" t="s">
        <v>3349</v>
      </c>
      <c r="H441" s="509">
        <v>22097</v>
      </c>
      <c r="I441" s="194">
        <v>0</v>
      </c>
      <c r="J441" s="194">
        <v>35000</v>
      </c>
      <c r="K441" s="185">
        <v>0.5</v>
      </c>
      <c r="L441" s="183" t="s">
        <v>5744</v>
      </c>
      <c r="M441" s="184" t="s">
        <v>5255</v>
      </c>
      <c r="N441" s="184" t="s">
        <v>5255</v>
      </c>
      <c r="O441" s="233"/>
    </row>
    <row r="442" spans="1:15" s="182" customFormat="1" ht="39.75" customHeight="1" x14ac:dyDescent="0.15">
      <c r="A442" s="151" t="s">
        <v>6848</v>
      </c>
      <c r="B442" s="20" t="s">
        <v>6770</v>
      </c>
      <c r="C442" s="184" t="s">
        <v>4982</v>
      </c>
      <c r="D442" s="184" t="s">
        <v>5018</v>
      </c>
      <c r="E442" s="184" t="s">
        <v>6771</v>
      </c>
      <c r="F442" s="184" t="s">
        <v>6254</v>
      </c>
      <c r="G442" s="235" t="s">
        <v>6255</v>
      </c>
      <c r="H442" s="509">
        <v>23179</v>
      </c>
      <c r="I442" s="194">
        <v>93440</v>
      </c>
      <c r="J442" s="194">
        <v>0</v>
      </c>
      <c r="K442" s="185" t="s">
        <v>6856</v>
      </c>
      <c r="L442" s="183" t="s">
        <v>806</v>
      </c>
      <c r="M442" s="184" t="s">
        <v>693</v>
      </c>
      <c r="N442" s="184" t="s">
        <v>693</v>
      </c>
      <c r="O442" s="1022" t="s">
        <v>6859</v>
      </c>
    </row>
    <row r="443" spans="1:15" s="182" customFormat="1" ht="39.75" customHeight="1" x14ac:dyDescent="0.15">
      <c r="A443" s="151" t="s">
        <v>6848</v>
      </c>
      <c r="B443" s="20" t="s">
        <v>6770</v>
      </c>
      <c r="C443" s="945" t="s">
        <v>3371</v>
      </c>
      <c r="D443" s="945" t="s">
        <v>3415</v>
      </c>
      <c r="E443" s="952" t="s">
        <v>6857</v>
      </c>
      <c r="F443" s="952" t="s">
        <v>5198</v>
      </c>
      <c r="G443" s="430" t="s">
        <v>5530</v>
      </c>
      <c r="H443" s="509">
        <v>24020</v>
      </c>
      <c r="I443" s="194">
        <v>706560</v>
      </c>
      <c r="J443" s="194">
        <v>0</v>
      </c>
      <c r="K443" s="185" t="s">
        <v>6858</v>
      </c>
      <c r="L443" s="183" t="s">
        <v>6622</v>
      </c>
      <c r="M443" s="184" t="s">
        <v>693</v>
      </c>
      <c r="N443" s="184" t="s">
        <v>693</v>
      </c>
      <c r="O443" s="1022" t="s">
        <v>6859</v>
      </c>
    </row>
    <row r="444" spans="1:15" s="182" customFormat="1" ht="21.75" customHeight="1" x14ac:dyDescent="0.15">
      <c r="A444" s="151" t="s">
        <v>6848</v>
      </c>
      <c r="B444" s="20" t="s">
        <v>5797</v>
      </c>
      <c r="C444" s="184" t="s">
        <v>4982</v>
      </c>
      <c r="D444" s="184" t="s">
        <v>5098</v>
      </c>
      <c r="E444" s="184" t="s">
        <v>6019</v>
      </c>
      <c r="F444" s="184" t="s">
        <v>5078</v>
      </c>
      <c r="G444" s="235" t="s">
        <v>6020</v>
      </c>
      <c r="H444" s="509" t="s">
        <v>6860</v>
      </c>
      <c r="I444" s="194">
        <v>0</v>
      </c>
      <c r="J444" s="194">
        <v>42900</v>
      </c>
      <c r="K444" s="185">
        <v>0.1</v>
      </c>
      <c r="L444" s="183" t="s">
        <v>5744</v>
      </c>
      <c r="M444" s="184" t="s">
        <v>5835</v>
      </c>
      <c r="N444" s="184" t="s">
        <v>5835</v>
      </c>
      <c r="O444" s="233"/>
    </row>
    <row r="445" spans="1:15" s="182" customFormat="1" ht="21.75" customHeight="1" x14ac:dyDescent="0.15">
      <c r="A445" s="151" t="s">
        <v>6848</v>
      </c>
      <c r="B445" s="20" t="s">
        <v>5797</v>
      </c>
      <c r="C445" s="184" t="s">
        <v>4982</v>
      </c>
      <c r="D445" s="184" t="s">
        <v>5098</v>
      </c>
      <c r="E445" s="184" t="s">
        <v>6019</v>
      </c>
      <c r="F445" s="184" t="s">
        <v>3400</v>
      </c>
      <c r="G445" s="235" t="s">
        <v>5086</v>
      </c>
      <c r="H445" s="509" t="s">
        <v>6861</v>
      </c>
      <c r="I445" s="194">
        <v>0</v>
      </c>
      <c r="J445" s="194">
        <v>10000</v>
      </c>
      <c r="K445" s="185">
        <v>0.1</v>
      </c>
      <c r="L445" s="183" t="s">
        <v>5744</v>
      </c>
      <c r="M445" s="184" t="s">
        <v>5835</v>
      </c>
      <c r="N445" s="184" t="s">
        <v>5835</v>
      </c>
      <c r="O445" s="233"/>
    </row>
    <row r="446" spans="1:15" s="182" customFormat="1" ht="21.75" customHeight="1" x14ac:dyDescent="0.15">
      <c r="A446" s="151" t="s">
        <v>6848</v>
      </c>
      <c r="B446" s="20" t="s">
        <v>5797</v>
      </c>
      <c r="C446" s="184" t="s">
        <v>4982</v>
      </c>
      <c r="D446" s="184" t="s">
        <v>5098</v>
      </c>
      <c r="E446" s="184" t="s">
        <v>6019</v>
      </c>
      <c r="F446" s="184" t="s">
        <v>5762</v>
      </c>
      <c r="G446" s="235" t="s">
        <v>5763</v>
      </c>
      <c r="H446" s="509" t="s">
        <v>6862</v>
      </c>
      <c r="I446" s="194">
        <v>0</v>
      </c>
      <c r="J446" s="194">
        <v>12600</v>
      </c>
      <c r="K446" s="185">
        <v>0.1</v>
      </c>
      <c r="L446" s="183" t="s">
        <v>5744</v>
      </c>
      <c r="M446" s="184" t="s">
        <v>5835</v>
      </c>
      <c r="N446" s="184" t="s">
        <v>5835</v>
      </c>
      <c r="O446" s="233"/>
    </row>
    <row r="447" spans="1:15" s="182" customFormat="1" ht="21.75" customHeight="1" x14ac:dyDescent="0.15">
      <c r="A447" s="151" t="s">
        <v>6848</v>
      </c>
      <c r="B447" s="20" t="s">
        <v>6850</v>
      </c>
      <c r="C447" s="391" t="s">
        <v>3337</v>
      </c>
      <c r="D447" s="393" t="s">
        <v>3702</v>
      </c>
      <c r="E447" s="391" t="s">
        <v>4679</v>
      </c>
      <c r="F447" s="184" t="s">
        <v>5078</v>
      </c>
      <c r="G447" s="235" t="s">
        <v>6198</v>
      </c>
      <c r="H447" s="509">
        <v>23173</v>
      </c>
      <c r="I447" s="194">
        <v>0</v>
      </c>
      <c r="J447" s="194">
        <v>20000</v>
      </c>
      <c r="K447" s="185">
        <v>1</v>
      </c>
      <c r="L447" s="183" t="s">
        <v>806</v>
      </c>
      <c r="M447" s="184" t="s">
        <v>5255</v>
      </c>
      <c r="N447" s="184" t="s">
        <v>5255</v>
      </c>
      <c r="O447" s="233"/>
    </row>
    <row r="448" spans="1:15" s="182" customFormat="1" ht="21.75" customHeight="1" x14ac:dyDescent="0.15">
      <c r="A448" s="151" t="s">
        <v>6849</v>
      </c>
      <c r="B448" s="20" t="s">
        <v>6069</v>
      </c>
      <c r="C448" s="184" t="s">
        <v>4941</v>
      </c>
      <c r="D448" s="184" t="s">
        <v>5541</v>
      </c>
      <c r="E448" s="184" t="s">
        <v>6070</v>
      </c>
      <c r="F448" s="184" t="s">
        <v>5078</v>
      </c>
      <c r="G448" s="235" t="s">
        <v>3329</v>
      </c>
      <c r="H448" s="981">
        <v>22139</v>
      </c>
      <c r="I448" s="194">
        <v>0</v>
      </c>
      <c r="J448" s="194">
        <v>80000</v>
      </c>
      <c r="K448" s="185">
        <v>0.5</v>
      </c>
      <c r="L448" s="183" t="s">
        <v>5744</v>
      </c>
      <c r="M448" s="184" t="s">
        <v>5255</v>
      </c>
      <c r="N448" s="184" t="s">
        <v>5255</v>
      </c>
      <c r="O448" s="233"/>
    </row>
    <row r="449" spans="1:15" s="182" customFormat="1" ht="21.75" customHeight="1" x14ac:dyDescent="0.15">
      <c r="A449" s="151" t="s">
        <v>6863</v>
      </c>
      <c r="B449" s="20" t="s">
        <v>6864</v>
      </c>
      <c r="C449" s="1026" t="s">
        <v>4982</v>
      </c>
      <c r="D449" s="1026" t="s">
        <v>5018</v>
      </c>
      <c r="E449" s="1026" t="s">
        <v>6776</v>
      </c>
      <c r="F449" s="184" t="s">
        <v>6254</v>
      </c>
      <c r="G449" s="235" t="s">
        <v>6877</v>
      </c>
      <c r="H449" s="509" t="s">
        <v>6876</v>
      </c>
      <c r="I449" s="194">
        <v>0</v>
      </c>
      <c r="J449" s="194">
        <v>193702.5</v>
      </c>
      <c r="K449" s="185">
        <v>0.9</v>
      </c>
      <c r="L449" s="183" t="s">
        <v>5768</v>
      </c>
      <c r="M449" s="184" t="s">
        <v>6106</v>
      </c>
      <c r="N449" s="184" t="s">
        <v>5255</v>
      </c>
      <c r="O449" s="233"/>
    </row>
    <row r="450" spans="1:15" s="182" customFormat="1" ht="21.75" customHeight="1" x14ac:dyDescent="0.15">
      <c r="A450" s="151" t="s">
        <v>6863</v>
      </c>
      <c r="B450" s="20" t="s">
        <v>6864</v>
      </c>
      <c r="C450" s="1026" t="s">
        <v>4982</v>
      </c>
      <c r="D450" s="1026" t="s">
        <v>5018</v>
      </c>
      <c r="E450" s="1026" t="s">
        <v>6778</v>
      </c>
      <c r="F450" s="184" t="s">
        <v>6254</v>
      </c>
      <c r="G450" s="235" t="s">
        <v>6877</v>
      </c>
      <c r="H450" s="981" t="s">
        <v>6878</v>
      </c>
      <c r="I450" s="194">
        <v>0</v>
      </c>
      <c r="J450" s="194">
        <v>6297.5</v>
      </c>
      <c r="K450" s="185" t="s">
        <v>6879</v>
      </c>
      <c r="L450" s="183" t="s">
        <v>5768</v>
      </c>
      <c r="M450" s="184" t="s">
        <v>6106</v>
      </c>
      <c r="N450" s="184" t="s">
        <v>5255</v>
      </c>
      <c r="O450" s="233"/>
    </row>
    <row r="451" spans="1:15" s="182" customFormat="1" ht="21.75" customHeight="1" x14ac:dyDescent="0.15">
      <c r="A451" s="151" t="s">
        <v>6863</v>
      </c>
      <c r="B451" s="20" t="s">
        <v>5291</v>
      </c>
      <c r="C451" s="399" t="s">
        <v>4982</v>
      </c>
      <c r="D451" s="399" t="s">
        <v>5294</v>
      </c>
      <c r="E451" s="399" t="s">
        <v>5295</v>
      </c>
      <c r="F451" s="184" t="s">
        <v>3328</v>
      </c>
      <c r="G451" s="235" t="s">
        <v>5030</v>
      </c>
      <c r="H451" s="509">
        <v>23124</v>
      </c>
      <c r="I451" s="194">
        <v>0</v>
      </c>
      <c r="J451" s="194">
        <v>30000</v>
      </c>
      <c r="K451" s="185">
        <v>0.5</v>
      </c>
      <c r="L451" s="183" t="s">
        <v>5743</v>
      </c>
      <c r="M451" s="184" t="s">
        <v>6038</v>
      </c>
      <c r="N451" s="184" t="s">
        <v>6038</v>
      </c>
      <c r="O451" s="233"/>
    </row>
    <row r="452" spans="1:15" s="182" customFormat="1" ht="31.5" customHeight="1" x14ac:dyDescent="0.15">
      <c r="A452" s="151" t="s">
        <v>6863</v>
      </c>
      <c r="B452" s="849" t="s">
        <v>6854</v>
      </c>
      <c r="C452" s="945" t="s">
        <v>3346</v>
      </c>
      <c r="D452" s="945" t="s">
        <v>3354</v>
      </c>
      <c r="E452" s="945" t="s">
        <v>6853</v>
      </c>
      <c r="F452" s="392" t="s">
        <v>3328</v>
      </c>
      <c r="G452" s="460" t="s">
        <v>3611</v>
      </c>
      <c r="H452" s="509">
        <v>20081</v>
      </c>
      <c r="I452" s="194">
        <v>0</v>
      </c>
      <c r="J452" s="194">
        <v>238500</v>
      </c>
      <c r="K452" s="185">
        <v>0.9</v>
      </c>
      <c r="L452" s="183" t="s">
        <v>6869</v>
      </c>
      <c r="M452" s="945" t="s">
        <v>3433</v>
      </c>
      <c r="N452" s="945" t="s">
        <v>3726</v>
      </c>
      <c r="O452" s="233"/>
    </row>
    <row r="453" spans="1:15" s="182" customFormat="1" ht="21.75" customHeight="1" x14ac:dyDescent="0.15">
      <c r="A453" s="151" t="s">
        <v>6865</v>
      </c>
      <c r="B453" s="20" t="s">
        <v>6864</v>
      </c>
      <c r="C453" s="1026" t="s">
        <v>4982</v>
      </c>
      <c r="D453" s="1026" t="s">
        <v>5018</v>
      </c>
      <c r="E453" s="1026" t="s">
        <v>6778</v>
      </c>
      <c r="F453" s="184" t="s">
        <v>6254</v>
      </c>
      <c r="G453" s="235" t="s">
        <v>6877</v>
      </c>
      <c r="H453" s="981" t="s">
        <v>6878</v>
      </c>
      <c r="I453" s="194">
        <v>0</v>
      </c>
      <c r="J453" s="194">
        <v>196449.1</v>
      </c>
      <c r="K453" s="185" t="s">
        <v>6880</v>
      </c>
      <c r="L453" s="183" t="s">
        <v>5768</v>
      </c>
      <c r="M453" s="184" t="s">
        <v>6106</v>
      </c>
      <c r="N453" s="184" t="s">
        <v>5255</v>
      </c>
      <c r="O453" s="233"/>
    </row>
    <row r="454" spans="1:15" s="182" customFormat="1" ht="21.75" customHeight="1" x14ac:dyDescent="0.15">
      <c r="A454" s="151" t="s">
        <v>6865</v>
      </c>
      <c r="B454" s="20" t="s">
        <v>6243</v>
      </c>
      <c r="C454" s="399" t="s">
        <v>3384</v>
      </c>
      <c r="D454" s="399" t="s">
        <v>3347</v>
      </c>
      <c r="E454" s="399" t="s">
        <v>3952</v>
      </c>
      <c r="F454" s="184" t="s">
        <v>5078</v>
      </c>
      <c r="G454" s="235" t="s">
        <v>3349</v>
      </c>
      <c r="H454" s="509">
        <v>22168</v>
      </c>
      <c r="I454" s="194">
        <v>0</v>
      </c>
      <c r="J454" s="194">
        <v>97000</v>
      </c>
      <c r="K454" s="185">
        <v>1</v>
      </c>
      <c r="L454" s="183" t="s">
        <v>5743</v>
      </c>
      <c r="M454" s="184" t="s">
        <v>5771</v>
      </c>
      <c r="N454" s="184" t="s">
        <v>5771</v>
      </c>
      <c r="O454" s="233"/>
    </row>
    <row r="455" spans="1:15" s="182" customFormat="1" ht="21.75" customHeight="1" x14ac:dyDescent="0.15">
      <c r="A455" s="151" t="s">
        <v>6865</v>
      </c>
      <c r="B455" s="20" t="s">
        <v>5849</v>
      </c>
      <c r="C455" s="1024" t="s">
        <v>5148</v>
      </c>
      <c r="D455" s="1024" t="s">
        <v>5853</v>
      </c>
      <c r="E455" s="1024" t="s">
        <v>5854</v>
      </c>
      <c r="F455" s="184" t="s">
        <v>5078</v>
      </c>
      <c r="G455" s="235" t="s">
        <v>3863</v>
      </c>
      <c r="H455" s="509">
        <v>24167</v>
      </c>
      <c r="I455" s="194">
        <v>0</v>
      </c>
      <c r="J455" s="194">
        <v>124110</v>
      </c>
      <c r="K455" s="185">
        <v>0.9</v>
      </c>
      <c r="L455" s="183" t="s">
        <v>5768</v>
      </c>
      <c r="M455" s="184" t="s">
        <v>5771</v>
      </c>
      <c r="N455" s="184" t="s">
        <v>5771</v>
      </c>
      <c r="O455" s="233"/>
    </row>
    <row r="456" spans="1:15" s="182" customFormat="1" ht="21.75" customHeight="1" x14ac:dyDescent="0.15">
      <c r="A456" s="151" t="s">
        <v>6865</v>
      </c>
      <c r="B456" s="20" t="s">
        <v>6077</v>
      </c>
      <c r="C456" s="236" t="s">
        <v>3346</v>
      </c>
      <c r="D456" s="1025" t="s">
        <v>3457</v>
      </c>
      <c r="E456" s="180" t="s">
        <v>4080</v>
      </c>
      <c r="F456" s="184" t="s">
        <v>4944</v>
      </c>
      <c r="G456" s="235" t="s">
        <v>3349</v>
      </c>
      <c r="H456" s="509">
        <v>24154</v>
      </c>
      <c r="I456" s="194">
        <v>0</v>
      </c>
      <c r="J456" s="194">
        <v>80000</v>
      </c>
      <c r="K456" s="185">
        <v>1</v>
      </c>
      <c r="L456" s="183" t="s">
        <v>5743</v>
      </c>
      <c r="M456" s="945" t="s">
        <v>6038</v>
      </c>
      <c r="N456" s="945" t="s">
        <v>6038</v>
      </c>
      <c r="O456" s="233"/>
    </row>
    <row r="457" spans="1:15" s="182" customFormat="1" ht="21.75" customHeight="1" x14ac:dyDescent="0.15">
      <c r="A457" s="151" t="s">
        <v>6866</v>
      </c>
      <c r="B457" s="20" t="s">
        <v>5933</v>
      </c>
      <c r="C457" s="184" t="s">
        <v>4941</v>
      </c>
      <c r="D457" s="184" t="s">
        <v>5018</v>
      </c>
      <c r="E457" s="399" t="s">
        <v>6870</v>
      </c>
      <c r="F457" s="184" t="s">
        <v>4944</v>
      </c>
      <c r="G457" s="239" t="s">
        <v>4498</v>
      </c>
      <c r="H457" s="509">
        <v>22050</v>
      </c>
      <c r="I457" s="194">
        <v>0</v>
      </c>
      <c r="J457" s="194">
        <v>28350</v>
      </c>
      <c r="K457" s="185">
        <v>0.9</v>
      </c>
      <c r="L457" s="183" t="s">
        <v>5768</v>
      </c>
      <c r="M457" s="184" t="s">
        <v>5255</v>
      </c>
      <c r="N457" s="184" t="s">
        <v>5255</v>
      </c>
      <c r="O457" s="233"/>
    </row>
    <row r="458" spans="1:15" s="182" customFormat="1" ht="21.75" customHeight="1" x14ac:dyDescent="0.15">
      <c r="A458" s="151" t="s">
        <v>6866</v>
      </c>
      <c r="B458" s="20" t="s">
        <v>5189</v>
      </c>
      <c r="C458" s="399" t="s">
        <v>4963</v>
      </c>
      <c r="D458" s="399" t="s">
        <v>5018</v>
      </c>
      <c r="E458" s="399" t="s">
        <v>5906</v>
      </c>
      <c r="F458" s="184" t="s">
        <v>5078</v>
      </c>
      <c r="G458" s="235" t="s">
        <v>5795</v>
      </c>
      <c r="H458" s="509">
        <v>23011</v>
      </c>
      <c r="I458" s="194">
        <v>0</v>
      </c>
      <c r="J458" s="194">
        <v>230000</v>
      </c>
      <c r="K458" s="185">
        <v>1</v>
      </c>
      <c r="L458" s="183" t="s">
        <v>5743</v>
      </c>
      <c r="M458" s="184" t="s">
        <v>5765</v>
      </c>
      <c r="N458" s="184" t="s">
        <v>5765</v>
      </c>
      <c r="O458" s="233"/>
    </row>
    <row r="459" spans="1:15" s="182" customFormat="1" ht="21.75" customHeight="1" x14ac:dyDescent="0.15">
      <c r="A459" s="151" t="s">
        <v>6866</v>
      </c>
      <c r="B459" s="20" t="s">
        <v>6840</v>
      </c>
      <c r="C459" s="184" t="s">
        <v>4941</v>
      </c>
      <c r="D459" s="184" t="s">
        <v>4942</v>
      </c>
      <c r="E459" s="184" t="s">
        <v>6415</v>
      </c>
      <c r="F459" s="184" t="s">
        <v>3328</v>
      </c>
      <c r="G459" s="235" t="s">
        <v>3329</v>
      </c>
      <c r="H459" s="509" t="s">
        <v>6460</v>
      </c>
      <c r="I459" s="194">
        <v>0</v>
      </c>
      <c r="J459" s="194">
        <v>30248.1</v>
      </c>
      <c r="K459" s="185" t="s">
        <v>6516</v>
      </c>
      <c r="L459" s="183" t="s">
        <v>4707</v>
      </c>
      <c r="M459" s="957" t="s">
        <v>3726</v>
      </c>
      <c r="N459" s="957" t="s">
        <v>3726</v>
      </c>
      <c r="O459" s="233"/>
    </row>
    <row r="460" spans="1:15" s="182" customFormat="1" ht="21.75" customHeight="1" x14ac:dyDescent="0.15">
      <c r="A460" s="151" t="s">
        <v>6866</v>
      </c>
      <c r="B460" s="20" t="s">
        <v>6840</v>
      </c>
      <c r="C460" s="184" t="s">
        <v>4941</v>
      </c>
      <c r="D460" s="184" t="s">
        <v>4942</v>
      </c>
      <c r="E460" s="184" t="s">
        <v>6417</v>
      </c>
      <c r="F460" s="184" t="s">
        <v>5078</v>
      </c>
      <c r="G460" s="235" t="s">
        <v>3329</v>
      </c>
      <c r="H460" s="509" t="s">
        <v>6461</v>
      </c>
      <c r="I460" s="194">
        <v>0</v>
      </c>
      <c r="J460" s="194">
        <v>33015.4</v>
      </c>
      <c r="K460" s="185" t="s">
        <v>6517</v>
      </c>
      <c r="L460" s="183" t="s">
        <v>4707</v>
      </c>
      <c r="M460" s="957" t="s">
        <v>3726</v>
      </c>
      <c r="N460" s="957" t="s">
        <v>3726</v>
      </c>
      <c r="O460" s="233"/>
    </row>
    <row r="461" spans="1:15" s="182" customFormat="1" ht="21.75" customHeight="1" x14ac:dyDescent="0.15">
      <c r="A461" s="151" t="s">
        <v>6866</v>
      </c>
      <c r="B461" s="20" t="s">
        <v>6840</v>
      </c>
      <c r="C461" s="184" t="s">
        <v>4941</v>
      </c>
      <c r="D461" s="184" t="s">
        <v>4942</v>
      </c>
      <c r="E461" s="184" t="s">
        <v>6418</v>
      </c>
      <c r="F461" s="184" t="s">
        <v>5078</v>
      </c>
      <c r="G461" s="235" t="s">
        <v>5090</v>
      </c>
      <c r="H461" s="509" t="s">
        <v>6462</v>
      </c>
      <c r="I461" s="194">
        <v>0</v>
      </c>
      <c r="J461" s="194">
        <v>33866.800000000003</v>
      </c>
      <c r="K461" s="185" t="s">
        <v>6517</v>
      </c>
      <c r="L461" s="183" t="s">
        <v>4707</v>
      </c>
      <c r="M461" s="957" t="s">
        <v>3726</v>
      </c>
      <c r="N461" s="957" t="s">
        <v>3726</v>
      </c>
      <c r="O461" s="233"/>
    </row>
    <row r="462" spans="1:15" s="182" customFormat="1" ht="21.75" customHeight="1" x14ac:dyDescent="0.15">
      <c r="A462" s="151" t="s">
        <v>6866</v>
      </c>
      <c r="B462" s="20" t="s">
        <v>6840</v>
      </c>
      <c r="C462" s="184" t="s">
        <v>4941</v>
      </c>
      <c r="D462" s="184" t="s">
        <v>4942</v>
      </c>
      <c r="E462" s="184" t="s">
        <v>6420</v>
      </c>
      <c r="F462" s="184" t="s">
        <v>5078</v>
      </c>
      <c r="G462" s="235" t="s">
        <v>5090</v>
      </c>
      <c r="H462" s="509" t="s">
        <v>6463</v>
      </c>
      <c r="I462" s="194">
        <v>0</v>
      </c>
      <c r="J462" s="194">
        <v>33866.800000000003</v>
      </c>
      <c r="K462" s="185" t="s">
        <v>6517</v>
      </c>
      <c r="L462" s="183" t="s">
        <v>4707</v>
      </c>
      <c r="M462" s="957" t="s">
        <v>3726</v>
      </c>
      <c r="N462" s="957" t="s">
        <v>3726</v>
      </c>
      <c r="O462" s="233"/>
    </row>
    <row r="463" spans="1:15" s="182" customFormat="1" ht="21.75" customHeight="1" x14ac:dyDescent="0.15">
      <c r="A463" s="151" t="s">
        <v>6866</v>
      </c>
      <c r="B463" s="20" t="s">
        <v>6840</v>
      </c>
      <c r="C463" s="184" t="s">
        <v>4941</v>
      </c>
      <c r="D463" s="184" t="s">
        <v>4942</v>
      </c>
      <c r="E463" s="184" t="s">
        <v>6421</v>
      </c>
      <c r="F463" s="184" t="s">
        <v>5078</v>
      </c>
      <c r="G463" s="235" t="s">
        <v>3375</v>
      </c>
      <c r="H463" s="509" t="s">
        <v>6464</v>
      </c>
      <c r="I463" s="194">
        <v>0</v>
      </c>
      <c r="J463" s="194">
        <v>42806.5</v>
      </c>
      <c r="K463" s="185" t="s">
        <v>6517</v>
      </c>
      <c r="L463" s="183" t="s">
        <v>4707</v>
      </c>
      <c r="M463" s="957" t="s">
        <v>3726</v>
      </c>
      <c r="N463" s="957" t="s">
        <v>3726</v>
      </c>
      <c r="O463" s="233"/>
    </row>
    <row r="464" spans="1:15" s="182" customFormat="1" ht="21.75" customHeight="1" x14ac:dyDescent="0.15">
      <c r="A464" s="151" t="s">
        <v>6866</v>
      </c>
      <c r="B464" s="20" t="s">
        <v>6840</v>
      </c>
      <c r="C464" s="184" t="s">
        <v>4941</v>
      </c>
      <c r="D464" s="184" t="s">
        <v>4942</v>
      </c>
      <c r="E464" s="184" t="s">
        <v>6423</v>
      </c>
      <c r="F464" s="184" t="s">
        <v>5078</v>
      </c>
      <c r="G464" s="235" t="s">
        <v>3329</v>
      </c>
      <c r="H464" s="509" t="s">
        <v>6465</v>
      </c>
      <c r="I464" s="194">
        <v>0</v>
      </c>
      <c r="J464" s="194">
        <v>32968.1</v>
      </c>
      <c r="K464" s="185" t="s">
        <v>6517</v>
      </c>
      <c r="L464" s="183" t="s">
        <v>4707</v>
      </c>
      <c r="M464" s="957" t="s">
        <v>3726</v>
      </c>
      <c r="N464" s="957" t="s">
        <v>3726</v>
      </c>
      <c r="O464" s="233"/>
    </row>
    <row r="465" spans="1:15" s="182" customFormat="1" ht="21.75" customHeight="1" x14ac:dyDescent="0.15">
      <c r="A465" s="151" t="s">
        <v>6866</v>
      </c>
      <c r="B465" s="20" t="s">
        <v>6840</v>
      </c>
      <c r="C465" s="184" t="s">
        <v>4941</v>
      </c>
      <c r="D465" s="184" t="s">
        <v>4942</v>
      </c>
      <c r="E465" s="184" t="s">
        <v>6424</v>
      </c>
      <c r="F465" s="184" t="s">
        <v>5078</v>
      </c>
      <c r="G465" s="235" t="s">
        <v>3329</v>
      </c>
      <c r="H465" s="509" t="s">
        <v>6466</v>
      </c>
      <c r="I465" s="194">
        <v>0</v>
      </c>
      <c r="J465" s="194">
        <v>27292.1</v>
      </c>
      <c r="K465" s="185" t="s">
        <v>6517</v>
      </c>
      <c r="L465" s="183" t="s">
        <v>4707</v>
      </c>
      <c r="M465" s="957" t="s">
        <v>3726</v>
      </c>
      <c r="N465" s="957" t="s">
        <v>3726</v>
      </c>
      <c r="O465" s="233"/>
    </row>
    <row r="466" spans="1:15" s="182" customFormat="1" ht="21.75" customHeight="1" x14ac:dyDescent="0.15">
      <c r="A466" s="151" t="s">
        <v>6866</v>
      </c>
      <c r="B466" s="20" t="s">
        <v>6840</v>
      </c>
      <c r="C466" s="184" t="s">
        <v>4941</v>
      </c>
      <c r="D466" s="184" t="s">
        <v>4942</v>
      </c>
      <c r="E466" s="184" t="s">
        <v>6425</v>
      </c>
      <c r="F466" s="184" t="s">
        <v>5078</v>
      </c>
      <c r="G466" s="235" t="s">
        <v>3329</v>
      </c>
      <c r="H466" s="509" t="s">
        <v>6467</v>
      </c>
      <c r="I466" s="194">
        <v>0</v>
      </c>
      <c r="J466" s="194">
        <v>32022.1</v>
      </c>
      <c r="K466" s="185" t="s">
        <v>6517</v>
      </c>
      <c r="L466" s="183" t="s">
        <v>4707</v>
      </c>
      <c r="M466" s="957" t="s">
        <v>3726</v>
      </c>
      <c r="N466" s="957" t="s">
        <v>3726</v>
      </c>
      <c r="O466" s="233"/>
    </row>
    <row r="467" spans="1:15" s="182" customFormat="1" ht="21.75" customHeight="1" x14ac:dyDescent="0.15">
      <c r="A467" s="151" t="s">
        <v>6866</v>
      </c>
      <c r="B467" s="20" t="s">
        <v>6840</v>
      </c>
      <c r="C467" s="184" t="s">
        <v>4941</v>
      </c>
      <c r="D467" s="184" t="s">
        <v>4942</v>
      </c>
      <c r="E467" s="184" t="s">
        <v>6426</v>
      </c>
      <c r="F467" s="184" t="s">
        <v>5078</v>
      </c>
      <c r="G467" s="235" t="s">
        <v>3329</v>
      </c>
      <c r="H467" s="509" t="s">
        <v>6468</v>
      </c>
      <c r="I467" s="194">
        <v>0</v>
      </c>
      <c r="J467" s="194">
        <v>33914.1</v>
      </c>
      <c r="K467" s="185" t="s">
        <v>6517</v>
      </c>
      <c r="L467" s="183" t="s">
        <v>4707</v>
      </c>
      <c r="M467" s="957" t="s">
        <v>3726</v>
      </c>
      <c r="N467" s="957" t="s">
        <v>3726</v>
      </c>
      <c r="O467" s="233"/>
    </row>
    <row r="468" spans="1:15" s="182" customFormat="1" ht="21.75" customHeight="1" x14ac:dyDescent="0.15">
      <c r="A468" s="151" t="s">
        <v>6866</v>
      </c>
      <c r="B468" s="20" t="s">
        <v>6308</v>
      </c>
      <c r="C468" s="399" t="s">
        <v>4982</v>
      </c>
      <c r="D468" s="399" t="s">
        <v>5098</v>
      </c>
      <c r="E468" s="399" t="s">
        <v>6317</v>
      </c>
      <c r="F468" s="184" t="s">
        <v>6254</v>
      </c>
      <c r="G468" s="235" t="s">
        <v>5300</v>
      </c>
      <c r="H468" s="981">
        <v>23154</v>
      </c>
      <c r="I468" s="194">
        <v>0</v>
      </c>
      <c r="J468" s="194">
        <v>242670</v>
      </c>
      <c r="K468" s="185" t="s">
        <v>6875</v>
      </c>
      <c r="L468" s="183" t="s">
        <v>6874</v>
      </c>
      <c r="M468" s="184" t="s">
        <v>662</v>
      </c>
      <c r="N468" s="184" t="s">
        <v>662</v>
      </c>
      <c r="O468" s="233"/>
    </row>
    <row r="469" spans="1:15" s="182" customFormat="1" ht="21.75" customHeight="1" x14ac:dyDescent="0.15">
      <c r="A469" s="151" t="s">
        <v>6866</v>
      </c>
      <c r="B469" s="20" t="s">
        <v>6867</v>
      </c>
      <c r="C469" s="184" t="s">
        <v>4982</v>
      </c>
      <c r="D469" s="184" t="s">
        <v>5422</v>
      </c>
      <c r="E469" s="184" t="s">
        <v>879</v>
      </c>
      <c r="F469" s="184" t="s">
        <v>4944</v>
      </c>
      <c r="G469" s="235" t="s">
        <v>5827</v>
      </c>
      <c r="H469" s="509" t="s">
        <v>6523</v>
      </c>
      <c r="I469" s="194">
        <v>0</v>
      </c>
      <c r="J469" s="194">
        <v>65800</v>
      </c>
      <c r="K469" s="185">
        <v>0.7</v>
      </c>
      <c r="L469" s="183" t="s">
        <v>5743</v>
      </c>
      <c r="M469" s="184" t="s">
        <v>693</v>
      </c>
      <c r="N469" s="184" t="s">
        <v>693</v>
      </c>
      <c r="O469" s="233"/>
    </row>
    <row r="470" spans="1:15" s="182" customFormat="1" ht="21.75" customHeight="1" x14ac:dyDescent="0.15">
      <c r="A470" s="151" t="s">
        <v>6866</v>
      </c>
      <c r="B470" s="20" t="s">
        <v>6868</v>
      </c>
      <c r="C470" s="184" t="s">
        <v>4982</v>
      </c>
      <c r="D470" s="184" t="s">
        <v>5028</v>
      </c>
      <c r="E470" s="184" t="s">
        <v>6872</v>
      </c>
      <c r="F470" s="184" t="s">
        <v>5078</v>
      </c>
      <c r="G470" s="235" t="s">
        <v>5090</v>
      </c>
      <c r="H470" s="509" t="s">
        <v>6871</v>
      </c>
      <c r="I470" s="194">
        <v>0</v>
      </c>
      <c r="J470" s="194">
        <v>174000</v>
      </c>
      <c r="K470" s="185" t="s">
        <v>6873</v>
      </c>
      <c r="L470" s="183" t="s">
        <v>5768</v>
      </c>
      <c r="M470" s="184" t="s">
        <v>693</v>
      </c>
      <c r="N470" s="184" t="s">
        <v>693</v>
      </c>
      <c r="O470" s="233"/>
    </row>
    <row r="471" spans="1:15" s="182" customFormat="1" ht="21.75" customHeight="1" x14ac:dyDescent="0.15">
      <c r="A471" s="151"/>
      <c r="B471" s="20"/>
      <c r="C471" s="20"/>
      <c r="D471" s="20"/>
      <c r="E471" s="30"/>
      <c r="F471" s="30"/>
      <c r="G471" s="30"/>
      <c r="H471" s="1023"/>
      <c r="I471" s="194"/>
      <c r="J471" s="194"/>
      <c r="K471" s="185"/>
      <c r="L471" s="183"/>
      <c r="M471" s="184"/>
      <c r="N471" s="184"/>
      <c r="O471" s="233"/>
    </row>
    <row r="472" spans="1:15" s="182" customFormat="1" ht="21.75" customHeight="1" x14ac:dyDescent="0.15">
      <c r="A472" s="151"/>
      <c r="B472" s="20"/>
      <c r="C472" s="20"/>
      <c r="D472" s="20"/>
      <c r="E472" s="30"/>
      <c r="F472" s="30"/>
      <c r="G472" s="30"/>
      <c r="H472" s="1023"/>
      <c r="I472" s="194"/>
      <c r="J472" s="194"/>
      <c r="K472" s="185"/>
      <c r="L472" s="183"/>
      <c r="M472" s="184"/>
      <c r="N472" s="184"/>
      <c r="O472" s="233"/>
    </row>
    <row r="473" spans="1:15" s="182" customFormat="1" ht="21.75" customHeight="1" x14ac:dyDescent="0.15">
      <c r="A473" s="151"/>
      <c r="B473" s="20"/>
      <c r="C473" s="20"/>
      <c r="D473" s="20"/>
      <c r="E473" s="30"/>
      <c r="F473" s="30"/>
      <c r="G473" s="30"/>
      <c r="H473" s="1012"/>
      <c r="I473" s="194"/>
      <c r="J473" s="194"/>
      <c r="K473" s="185"/>
      <c r="L473" s="183"/>
      <c r="M473" s="184"/>
      <c r="N473" s="184"/>
      <c r="O473" s="233"/>
    </row>
    <row r="474" spans="1:15" s="182" customFormat="1" ht="21.75" customHeight="1" x14ac:dyDescent="0.15">
      <c r="A474" s="151"/>
      <c r="B474" s="20"/>
      <c r="C474" s="20"/>
      <c r="D474" s="20"/>
      <c r="E474" s="30"/>
      <c r="F474" s="30"/>
      <c r="G474" s="30"/>
      <c r="H474" s="969"/>
      <c r="I474" s="194"/>
      <c r="J474" s="194"/>
      <c r="K474" s="185"/>
      <c r="L474" s="183"/>
      <c r="M474" s="184"/>
      <c r="N474" s="184"/>
      <c r="O474" s="233"/>
    </row>
    <row r="475" spans="1:15" s="182" customFormat="1" ht="21.75" customHeight="1" x14ac:dyDescent="0.15">
      <c r="A475" s="151"/>
      <c r="B475" s="20"/>
      <c r="C475" s="20"/>
      <c r="D475" s="20"/>
      <c r="E475" s="30"/>
      <c r="F475" s="30"/>
      <c r="G475" s="30"/>
      <c r="H475" s="913"/>
      <c r="I475" s="194"/>
      <c r="J475" s="194"/>
      <c r="K475" s="185"/>
      <c r="L475" s="183"/>
      <c r="M475" s="184"/>
      <c r="N475" s="184"/>
      <c r="O475" s="233"/>
    </row>
    <row r="476" spans="1:15" x14ac:dyDescent="0.15">
      <c r="A476" s="1165" t="s">
        <v>6349</v>
      </c>
      <c r="B476" s="1166"/>
      <c r="C476" s="1166"/>
      <c r="D476" s="1166"/>
      <c r="E476" s="1166"/>
      <c r="F476" s="1166"/>
      <c r="G476" s="1166"/>
      <c r="H476" s="1167"/>
      <c r="I476" s="230">
        <f>SUM(I3:I475)</f>
        <v>2548830</v>
      </c>
      <c r="J476" s="230">
        <f>SUM(J3:J475)</f>
        <v>24985014.170000006</v>
      </c>
    </row>
  </sheetData>
  <autoFilter ref="A2:O470" xr:uid="{942BD51C-DD4D-41F8-8B6A-3CAFDCE8D5C7}"/>
  <mergeCells count="2">
    <mergeCell ref="A1:O1"/>
    <mergeCell ref="A476:H476"/>
  </mergeCells>
  <phoneticPr fontId="21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28DE2-79E3-43EA-B985-522795DE0173}">
  <dimension ref="A1:O321"/>
  <sheetViews>
    <sheetView topLeftCell="C236" zoomScaleNormal="100" workbookViewId="0">
      <selection activeCell="A235" sqref="A235:XFD235"/>
    </sheetView>
  </sheetViews>
  <sheetFormatPr defaultRowHeight="13.5" x14ac:dyDescent="0.15"/>
  <cols>
    <col min="1" max="1" width="10.75" customWidth="1"/>
    <col min="2" max="2" width="24.625" customWidth="1"/>
    <col min="3" max="4" width="10.625" customWidth="1"/>
    <col min="5" max="5" width="17.5" customWidth="1"/>
    <col min="6" max="6" width="15" customWidth="1"/>
    <col min="7" max="7" width="24.875" customWidth="1"/>
    <col min="8" max="11" width="15.375" customWidth="1"/>
    <col min="12" max="12" width="18" customWidth="1"/>
    <col min="13" max="13" width="10.75" customWidth="1"/>
    <col min="14" max="14" width="10.875" customWidth="1"/>
    <col min="15" max="15" width="45.625" customWidth="1"/>
  </cols>
  <sheetData>
    <row r="1" spans="1:15" s="176" customFormat="1" ht="40.5" customHeight="1" x14ac:dyDescent="0.15">
      <c r="A1" s="1164" t="s">
        <v>5880</v>
      </c>
      <c r="B1" s="1164"/>
      <c r="C1" s="1164"/>
      <c r="D1" s="1164"/>
      <c r="E1" s="1164"/>
      <c r="F1" s="1164"/>
      <c r="G1" s="1164"/>
      <c r="H1" s="1164"/>
      <c r="I1" s="1164"/>
      <c r="J1" s="1164"/>
      <c r="K1" s="1164"/>
      <c r="L1" s="1164"/>
      <c r="M1" s="1164"/>
      <c r="N1" s="1164"/>
      <c r="O1" s="1164"/>
    </row>
    <row r="2" spans="1:15" s="176" customFormat="1" ht="21.75" customHeight="1" x14ac:dyDescent="0.15">
      <c r="A2" s="16" t="s">
        <v>1755</v>
      </c>
      <c r="B2" s="16" t="s">
        <v>128</v>
      </c>
      <c r="C2" s="245" t="s">
        <v>3322</v>
      </c>
      <c r="D2" s="245" t="s">
        <v>3321</v>
      </c>
      <c r="E2" s="245" t="s">
        <v>1756</v>
      </c>
      <c r="F2" s="245" t="s">
        <v>3323</v>
      </c>
      <c r="G2" s="245" t="s">
        <v>3324</v>
      </c>
      <c r="H2" s="16" t="s">
        <v>130</v>
      </c>
      <c r="I2" s="193" t="s">
        <v>1757</v>
      </c>
      <c r="J2" s="193" t="s">
        <v>1758</v>
      </c>
      <c r="K2" s="16" t="s">
        <v>1759</v>
      </c>
      <c r="L2" s="16" t="s">
        <v>1760</v>
      </c>
      <c r="M2" s="16" t="s">
        <v>3243</v>
      </c>
      <c r="N2" s="16" t="s">
        <v>3244</v>
      </c>
      <c r="O2" s="16" t="s">
        <v>509</v>
      </c>
    </row>
    <row r="3" spans="1:15" s="182" customFormat="1" ht="21.75" customHeight="1" x14ac:dyDescent="0.15">
      <c r="A3" s="151" t="s">
        <v>5882</v>
      </c>
      <c r="B3" s="226" t="s">
        <v>5883</v>
      </c>
      <c r="C3" s="184" t="s">
        <v>4982</v>
      </c>
      <c r="D3" s="184" t="s">
        <v>5076</v>
      </c>
      <c r="E3" s="184" t="s">
        <v>5077</v>
      </c>
      <c r="F3" s="184" t="s">
        <v>5078</v>
      </c>
      <c r="G3" s="235" t="s">
        <v>3329</v>
      </c>
      <c r="H3" s="638" t="s">
        <v>5430</v>
      </c>
      <c r="I3" s="194">
        <v>0</v>
      </c>
      <c r="J3" s="194">
        <v>32214</v>
      </c>
      <c r="K3" s="185" t="s">
        <v>5926</v>
      </c>
      <c r="L3" s="183" t="s">
        <v>4849</v>
      </c>
      <c r="M3" s="241" t="s">
        <v>3434</v>
      </c>
      <c r="N3" s="596" t="s">
        <v>3434</v>
      </c>
      <c r="O3" s="787"/>
    </row>
    <row r="4" spans="1:15" s="182" customFormat="1" ht="21.75" customHeight="1" x14ac:dyDescent="0.15">
      <c r="A4" s="151" t="s">
        <v>5884</v>
      </c>
      <c r="B4" s="226" t="s">
        <v>5885</v>
      </c>
      <c r="C4" s="241" t="s">
        <v>3346</v>
      </c>
      <c r="D4" s="241" t="s">
        <v>3360</v>
      </c>
      <c r="E4" s="236" t="s">
        <v>5896</v>
      </c>
      <c r="F4" s="236" t="s">
        <v>3355</v>
      </c>
      <c r="G4" s="240" t="s">
        <v>4017</v>
      </c>
      <c r="H4" s="638">
        <v>17051</v>
      </c>
      <c r="I4" s="194">
        <v>0</v>
      </c>
      <c r="J4" s="194">
        <v>212961.53</v>
      </c>
      <c r="K4" s="185">
        <v>0.9</v>
      </c>
      <c r="L4" s="183" t="s">
        <v>5897</v>
      </c>
      <c r="M4" s="241" t="s">
        <v>3433</v>
      </c>
      <c r="N4" s="596" t="s">
        <v>3433</v>
      </c>
      <c r="O4" s="787"/>
    </row>
    <row r="5" spans="1:15" s="182" customFormat="1" ht="21.75" customHeight="1" x14ac:dyDescent="0.15">
      <c r="A5" s="151" t="s">
        <v>5884</v>
      </c>
      <c r="B5" s="226" t="s">
        <v>5886</v>
      </c>
      <c r="C5" s="184" t="s">
        <v>4963</v>
      </c>
      <c r="D5" s="184" t="s">
        <v>5018</v>
      </c>
      <c r="E5" s="184" t="s">
        <v>5197</v>
      </c>
      <c r="F5" s="184" t="s">
        <v>5198</v>
      </c>
      <c r="G5" s="235" t="s">
        <v>5898</v>
      </c>
      <c r="H5" s="638">
        <v>21194</v>
      </c>
      <c r="I5" s="194">
        <v>0</v>
      </c>
      <c r="J5" s="194">
        <v>49340</v>
      </c>
      <c r="K5" s="185">
        <v>1</v>
      </c>
      <c r="L5" s="183" t="s">
        <v>4707</v>
      </c>
      <c r="M5" s="184" t="s">
        <v>3726</v>
      </c>
      <c r="N5" s="184" t="s">
        <v>3726</v>
      </c>
      <c r="O5" s="787"/>
    </row>
    <row r="6" spans="1:15" s="182" customFormat="1" ht="21.75" customHeight="1" x14ac:dyDescent="0.15">
      <c r="A6" s="151" t="s">
        <v>5887</v>
      </c>
      <c r="B6" s="226" t="s">
        <v>5888</v>
      </c>
      <c r="C6" s="184" t="s">
        <v>4941</v>
      </c>
      <c r="D6" s="184" t="s">
        <v>5901</v>
      </c>
      <c r="E6" s="184" t="s">
        <v>918</v>
      </c>
      <c r="F6" s="267" t="s">
        <v>3328</v>
      </c>
      <c r="G6" s="239" t="s">
        <v>5240</v>
      </c>
      <c r="H6" s="638" t="s">
        <v>5899</v>
      </c>
      <c r="I6" s="194">
        <v>0</v>
      </c>
      <c r="J6" s="194">
        <v>28500</v>
      </c>
      <c r="K6" s="185">
        <v>0.95</v>
      </c>
      <c r="L6" s="183" t="s">
        <v>4711</v>
      </c>
      <c r="M6" s="184" t="s">
        <v>3726</v>
      </c>
      <c r="N6" s="184" t="s">
        <v>3726</v>
      </c>
      <c r="O6" s="787"/>
    </row>
    <row r="7" spans="1:15" s="182" customFormat="1" ht="21.75" customHeight="1" x14ac:dyDescent="0.15">
      <c r="A7" s="151" t="s">
        <v>5887</v>
      </c>
      <c r="B7" s="226" t="s">
        <v>5888</v>
      </c>
      <c r="C7" s="184" t="s">
        <v>4941</v>
      </c>
      <c r="D7" s="184" t="s">
        <v>5901</v>
      </c>
      <c r="E7" s="184" t="s">
        <v>5902</v>
      </c>
      <c r="F7" s="267" t="s">
        <v>3328</v>
      </c>
      <c r="G7" s="239" t="s">
        <v>5240</v>
      </c>
      <c r="H7" s="638" t="s">
        <v>5900</v>
      </c>
      <c r="I7" s="194">
        <v>0</v>
      </c>
      <c r="J7" s="194">
        <v>28500</v>
      </c>
      <c r="K7" s="185">
        <v>0.95</v>
      </c>
      <c r="L7" s="183" t="s">
        <v>4711</v>
      </c>
      <c r="M7" s="184" t="s">
        <v>3726</v>
      </c>
      <c r="N7" s="184" t="s">
        <v>3726</v>
      </c>
      <c r="O7" s="787"/>
    </row>
    <row r="8" spans="1:15" s="182" customFormat="1" ht="21.75" customHeight="1" x14ac:dyDescent="0.15">
      <c r="A8" s="151" t="s">
        <v>5889</v>
      </c>
      <c r="B8" s="226" t="s">
        <v>5890</v>
      </c>
      <c r="C8" s="787" t="s">
        <v>3346</v>
      </c>
      <c r="D8" s="787" t="s">
        <v>3347</v>
      </c>
      <c r="E8" s="184" t="s">
        <v>5397</v>
      </c>
      <c r="F8" s="184" t="s">
        <v>3340</v>
      </c>
      <c r="G8" s="235" t="s">
        <v>5903</v>
      </c>
      <c r="H8" s="638">
        <v>22015</v>
      </c>
      <c r="I8" s="194">
        <v>0</v>
      </c>
      <c r="J8" s="194">
        <v>105000</v>
      </c>
      <c r="K8" s="185">
        <v>1</v>
      </c>
      <c r="L8" s="183" t="s">
        <v>4707</v>
      </c>
      <c r="M8" s="241" t="s">
        <v>3725</v>
      </c>
      <c r="N8" s="241" t="s">
        <v>3725</v>
      </c>
      <c r="O8" s="787"/>
    </row>
    <row r="9" spans="1:15" s="182" customFormat="1" ht="21.75" customHeight="1" x14ac:dyDescent="0.15">
      <c r="A9" s="151" t="s">
        <v>5891</v>
      </c>
      <c r="B9" s="226" t="s">
        <v>5189</v>
      </c>
      <c r="C9" s="787" t="s">
        <v>4963</v>
      </c>
      <c r="D9" s="787" t="s">
        <v>5018</v>
      </c>
      <c r="E9" s="787" t="s">
        <v>5906</v>
      </c>
      <c r="F9" s="184" t="s">
        <v>5078</v>
      </c>
      <c r="G9" s="235" t="s">
        <v>5795</v>
      </c>
      <c r="H9" s="638">
        <v>21189</v>
      </c>
      <c r="I9" s="194">
        <v>0</v>
      </c>
      <c r="J9" s="194">
        <v>165000</v>
      </c>
      <c r="K9" s="185">
        <v>1</v>
      </c>
      <c r="L9" s="183" t="s">
        <v>4707</v>
      </c>
      <c r="M9" s="241" t="s">
        <v>3957</v>
      </c>
      <c r="N9" s="241" t="s">
        <v>3957</v>
      </c>
      <c r="O9" s="787"/>
    </row>
    <row r="10" spans="1:15" s="182" customFormat="1" ht="21.75" customHeight="1" x14ac:dyDescent="0.15">
      <c r="A10" s="151" t="s">
        <v>5892</v>
      </c>
      <c r="B10" s="226" t="s">
        <v>5893</v>
      </c>
      <c r="C10" s="787" t="s">
        <v>4963</v>
      </c>
      <c r="D10" s="787" t="s">
        <v>5018</v>
      </c>
      <c r="E10" s="787" t="s">
        <v>5904</v>
      </c>
      <c r="F10" s="184" t="s">
        <v>5078</v>
      </c>
      <c r="G10" s="235" t="s">
        <v>5795</v>
      </c>
      <c r="H10" s="638">
        <v>21187</v>
      </c>
      <c r="I10" s="194">
        <v>0</v>
      </c>
      <c r="J10" s="194">
        <v>165000</v>
      </c>
      <c r="K10" s="185">
        <v>1</v>
      </c>
      <c r="L10" s="183" t="s">
        <v>4707</v>
      </c>
      <c r="M10" s="241" t="s">
        <v>3957</v>
      </c>
      <c r="N10" s="241" t="s">
        <v>3957</v>
      </c>
      <c r="O10" s="787"/>
    </row>
    <row r="11" spans="1:15" s="182" customFormat="1" ht="21.75" customHeight="1" x14ac:dyDescent="0.15">
      <c r="A11" s="151" t="s">
        <v>5892</v>
      </c>
      <c r="B11" s="226" t="s">
        <v>5895</v>
      </c>
      <c r="C11" s="787" t="s">
        <v>4963</v>
      </c>
      <c r="D11" s="787" t="s">
        <v>5018</v>
      </c>
      <c r="E11" s="787" t="s">
        <v>5905</v>
      </c>
      <c r="F11" s="184" t="s">
        <v>5078</v>
      </c>
      <c r="G11" s="235" t="s">
        <v>5795</v>
      </c>
      <c r="H11" s="638">
        <v>21188</v>
      </c>
      <c r="I11" s="194">
        <v>0</v>
      </c>
      <c r="J11" s="194">
        <v>185000</v>
      </c>
      <c r="K11" s="185">
        <v>1</v>
      </c>
      <c r="L11" s="183" t="s">
        <v>4707</v>
      </c>
      <c r="M11" s="241" t="s">
        <v>3957</v>
      </c>
      <c r="N11" s="241" t="s">
        <v>3957</v>
      </c>
      <c r="O11" s="787"/>
    </row>
    <row r="12" spans="1:15" s="182" customFormat="1" ht="21.75" customHeight="1" x14ac:dyDescent="0.15">
      <c r="A12" s="151" t="s">
        <v>5892</v>
      </c>
      <c r="B12" s="226" t="s">
        <v>5894</v>
      </c>
      <c r="C12" s="787" t="s">
        <v>4963</v>
      </c>
      <c r="D12" s="787" t="s">
        <v>5018</v>
      </c>
      <c r="E12" s="787" t="s">
        <v>5907</v>
      </c>
      <c r="F12" s="184" t="s">
        <v>5078</v>
      </c>
      <c r="G12" s="235" t="s">
        <v>5795</v>
      </c>
      <c r="H12" s="638">
        <v>21190</v>
      </c>
      <c r="I12" s="194">
        <v>0</v>
      </c>
      <c r="J12" s="194">
        <v>165000</v>
      </c>
      <c r="K12" s="185">
        <v>1</v>
      </c>
      <c r="L12" s="183" t="s">
        <v>4707</v>
      </c>
      <c r="M12" s="241" t="s">
        <v>3957</v>
      </c>
      <c r="N12" s="241" t="s">
        <v>3957</v>
      </c>
      <c r="O12" s="787"/>
    </row>
    <row r="13" spans="1:15" s="182" customFormat="1" ht="21.75" customHeight="1" x14ac:dyDescent="0.15">
      <c r="A13" s="151" t="s">
        <v>5892</v>
      </c>
      <c r="B13" s="226" t="s">
        <v>5908</v>
      </c>
      <c r="C13" s="789" t="s">
        <v>4963</v>
      </c>
      <c r="D13" s="789" t="s">
        <v>4964</v>
      </c>
      <c r="E13" s="789" t="s">
        <v>5909</v>
      </c>
      <c r="F13" s="207" t="s">
        <v>3328</v>
      </c>
      <c r="G13" s="235" t="s">
        <v>3329</v>
      </c>
      <c r="H13" s="638">
        <v>21108</v>
      </c>
      <c r="I13" s="194">
        <v>0</v>
      </c>
      <c r="J13" s="194">
        <v>215000</v>
      </c>
      <c r="K13" s="185">
        <v>0.5</v>
      </c>
      <c r="L13" s="183" t="s">
        <v>4694</v>
      </c>
      <c r="M13" s="241" t="s">
        <v>3434</v>
      </c>
      <c r="N13" s="241" t="s">
        <v>3434</v>
      </c>
      <c r="O13" s="788"/>
    </row>
    <row r="14" spans="1:15" s="182" customFormat="1" ht="21.75" customHeight="1" x14ac:dyDescent="0.15">
      <c r="A14" s="151" t="s">
        <v>5910</v>
      </c>
      <c r="B14" s="226" t="s">
        <v>5187</v>
      </c>
      <c r="C14" s="224" t="s">
        <v>3351</v>
      </c>
      <c r="D14" s="224" t="s">
        <v>3352</v>
      </c>
      <c r="E14" s="180" t="s">
        <v>4451</v>
      </c>
      <c r="F14" s="207" t="s">
        <v>3328</v>
      </c>
      <c r="G14" s="235" t="s">
        <v>3381</v>
      </c>
      <c r="H14" s="638">
        <v>21102</v>
      </c>
      <c r="I14" s="194">
        <v>0</v>
      </c>
      <c r="J14" s="194">
        <v>35000</v>
      </c>
      <c r="K14" s="185">
        <v>0.5</v>
      </c>
      <c r="L14" s="183" t="s">
        <v>4706</v>
      </c>
      <c r="M14" s="184" t="s">
        <v>3726</v>
      </c>
      <c r="N14" s="184" t="s">
        <v>3726</v>
      </c>
      <c r="O14" s="790"/>
    </row>
    <row r="15" spans="1:15" s="182" customFormat="1" ht="21.75" customHeight="1" x14ac:dyDescent="0.15">
      <c r="A15" s="151" t="s">
        <v>5910</v>
      </c>
      <c r="B15" s="226" t="s">
        <v>5187</v>
      </c>
      <c r="C15" s="224" t="s">
        <v>3351</v>
      </c>
      <c r="D15" s="224" t="s">
        <v>3352</v>
      </c>
      <c r="E15" s="180" t="s">
        <v>4451</v>
      </c>
      <c r="F15" s="207" t="s">
        <v>3328</v>
      </c>
      <c r="G15" s="235" t="s">
        <v>3381</v>
      </c>
      <c r="H15" s="638">
        <v>21102</v>
      </c>
      <c r="I15" s="194">
        <v>0</v>
      </c>
      <c r="J15" s="194">
        <v>35000</v>
      </c>
      <c r="K15" s="185">
        <v>0.5</v>
      </c>
      <c r="L15" s="183" t="s">
        <v>4706</v>
      </c>
      <c r="M15" s="184" t="s">
        <v>3726</v>
      </c>
      <c r="N15" s="184" t="s">
        <v>3726</v>
      </c>
      <c r="O15" s="790"/>
    </row>
    <row r="16" spans="1:15" s="182" customFormat="1" ht="21.75" customHeight="1" x14ac:dyDescent="0.15">
      <c r="A16" s="151" t="s">
        <v>5910</v>
      </c>
      <c r="B16" s="226" t="s">
        <v>5187</v>
      </c>
      <c r="C16" s="224" t="s">
        <v>3351</v>
      </c>
      <c r="D16" s="224" t="s">
        <v>3352</v>
      </c>
      <c r="E16" s="224" t="s">
        <v>3644</v>
      </c>
      <c r="F16" s="207" t="s">
        <v>3328</v>
      </c>
      <c r="G16" s="235" t="s">
        <v>3381</v>
      </c>
      <c r="H16" s="638">
        <v>21103</v>
      </c>
      <c r="I16" s="194">
        <v>0</v>
      </c>
      <c r="J16" s="194">
        <v>35000</v>
      </c>
      <c r="K16" s="185">
        <v>0.5</v>
      </c>
      <c r="L16" s="183" t="s">
        <v>4706</v>
      </c>
      <c r="M16" s="184" t="s">
        <v>3726</v>
      </c>
      <c r="N16" s="184" t="s">
        <v>3726</v>
      </c>
      <c r="O16" s="790"/>
    </row>
    <row r="17" spans="1:15" s="182" customFormat="1" ht="21.75" customHeight="1" x14ac:dyDescent="0.15">
      <c r="A17" s="151" t="s">
        <v>5910</v>
      </c>
      <c r="B17" s="226" t="s">
        <v>5187</v>
      </c>
      <c r="C17" s="224" t="s">
        <v>3351</v>
      </c>
      <c r="D17" s="224" t="s">
        <v>3352</v>
      </c>
      <c r="E17" s="180" t="s">
        <v>5194</v>
      </c>
      <c r="F17" s="207" t="s">
        <v>3328</v>
      </c>
      <c r="G17" s="239" t="s">
        <v>5240</v>
      </c>
      <c r="H17" s="638" t="s">
        <v>5921</v>
      </c>
      <c r="I17" s="194">
        <v>0</v>
      </c>
      <c r="J17" s="194">
        <v>25000</v>
      </c>
      <c r="K17" s="185">
        <v>1</v>
      </c>
      <c r="L17" s="183" t="s">
        <v>4707</v>
      </c>
      <c r="M17" s="184" t="s">
        <v>3726</v>
      </c>
      <c r="N17" s="184" t="s">
        <v>3726</v>
      </c>
      <c r="O17" s="790"/>
    </row>
    <row r="18" spans="1:15" s="182" customFormat="1" ht="21.75" customHeight="1" x14ac:dyDescent="0.15">
      <c r="A18" s="151" t="s">
        <v>5910</v>
      </c>
      <c r="B18" s="226" t="s">
        <v>5187</v>
      </c>
      <c r="C18" s="224" t="s">
        <v>3351</v>
      </c>
      <c r="D18" s="224" t="s">
        <v>3352</v>
      </c>
      <c r="E18" s="180" t="s">
        <v>4451</v>
      </c>
      <c r="F18" s="207" t="s">
        <v>3328</v>
      </c>
      <c r="G18" s="239" t="s">
        <v>5240</v>
      </c>
      <c r="H18" s="638" t="s">
        <v>5922</v>
      </c>
      <c r="I18" s="194">
        <v>0</v>
      </c>
      <c r="J18" s="194">
        <v>25000</v>
      </c>
      <c r="K18" s="185">
        <v>1</v>
      </c>
      <c r="L18" s="183" t="s">
        <v>4707</v>
      </c>
      <c r="M18" s="184" t="s">
        <v>3726</v>
      </c>
      <c r="N18" s="184" t="s">
        <v>3726</v>
      </c>
      <c r="O18" s="794"/>
    </row>
    <row r="19" spans="1:15" s="182" customFormat="1" ht="21.75" customHeight="1" x14ac:dyDescent="0.15">
      <c r="A19" s="151" t="s">
        <v>5910</v>
      </c>
      <c r="B19" s="226" t="s">
        <v>5187</v>
      </c>
      <c r="C19" s="224" t="s">
        <v>3351</v>
      </c>
      <c r="D19" s="224" t="s">
        <v>3352</v>
      </c>
      <c r="E19" s="224" t="s">
        <v>3644</v>
      </c>
      <c r="F19" s="207" t="s">
        <v>3328</v>
      </c>
      <c r="G19" s="239" t="s">
        <v>5240</v>
      </c>
      <c r="H19" s="638" t="s">
        <v>5923</v>
      </c>
      <c r="I19" s="194">
        <v>0</v>
      </c>
      <c r="J19" s="194">
        <v>25000</v>
      </c>
      <c r="K19" s="185">
        <v>1</v>
      </c>
      <c r="L19" s="183" t="s">
        <v>4707</v>
      </c>
      <c r="M19" s="184" t="s">
        <v>3726</v>
      </c>
      <c r="N19" s="184" t="s">
        <v>3726</v>
      </c>
      <c r="O19" s="794"/>
    </row>
    <row r="20" spans="1:15" s="182" customFormat="1" ht="21.75" customHeight="1" x14ac:dyDescent="0.15">
      <c r="A20" s="151" t="s">
        <v>5910</v>
      </c>
      <c r="B20" s="226" t="s">
        <v>5911</v>
      </c>
      <c r="C20" s="224" t="s">
        <v>3351</v>
      </c>
      <c r="D20" s="224" t="s">
        <v>3352</v>
      </c>
      <c r="E20" s="180" t="s">
        <v>2784</v>
      </c>
      <c r="F20" s="207" t="s">
        <v>3328</v>
      </c>
      <c r="G20" s="235" t="s">
        <v>3381</v>
      </c>
      <c r="H20" s="638">
        <v>21095</v>
      </c>
      <c r="I20" s="194">
        <v>0</v>
      </c>
      <c r="J20" s="194">
        <v>35000</v>
      </c>
      <c r="K20" s="185">
        <v>0.5</v>
      </c>
      <c r="L20" s="183" t="s">
        <v>4706</v>
      </c>
      <c r="M20" s="184" t="s">
        <v>3726</v>
      </c>
      <c r="N20" s="184" t="s">
        <v>3726</v>
      </c>
      <c r="O20" s="790"/>
    </row>
    <row r="21" spans="1:15" s="182" customFormat="1" ht="21.75" customHeight="1" x14ac:dyDescent="0.15">
      <c r="A21" s="151" t="s">
        <v>5910</v>
      </c>
      <c r="B21" s="226" t="s">
        <v>5912</v>
      </c>
      <c r="C21" s="224" t="s">
        <v>3351</v>
      </c>
      <c r="D21" s="224" t="s">
        <v>3352</v>
      </c>
      <c r="E21" s="180" t="s">
        <v>2787</v>
      </c>
      <c r="F21" s="207" t="s">
        <v>3328</v>
      </c>
      <c r="G21" s="239" t="s">
        <v>5240</v>
      </c>
      <c r="H21" s="638">
        <v>22057</v>
      </c>
      <c r="I21" s="194">
        <v>0</v>
      </c>
      <c r="J21" s="194">
        <v>25000</v>
      </c>
      <c r="K21" s="185">
        <v>1</v>
      </c>
      <c r="L21" s="183" t="s">
        <v>4707</v>
      </c>
      <c r="M21" s="184" t="s">
        <v>3726</v>
      </c>
      <c r="N21" s="184" t="s">
        <v>3726</v>
      </c>
      <c r="O21" s="790"/>
    </row>
    <row r="22" spans="1:15" s="182" customFormat="1" ht="21.75" customHeight="1" x14ac:dyDescent="0.15">
      <c r="A22" s="151" t="s">
        <v>5913</v>
      </c>
      <c r="B22" s="226" t="s">
        <v>5914</v>
      </c>
      <c r="C22" s="184" t="s">
        <v>4982</v>
      </c>
      <c r="D22" s="184" t="s">
        <v>5354</v>
      </c>
      <c r="E22" s="184" t="s">
        <v>5355</v>
      </c>
      <c r="F22" s="184" t="s">
        <v>5078</v>
      </c>
      <c r="G22" s="235" t="s">
        <v>5030</v>
      </c>
      <c r="H22" s="638">
        <v>22072</v>
      </c>
      <c r="I22" s="194">
        <v>0</v>
      </c>
      <c r="J22" s="194">
        <v>97500</v>
      </c>
      <c r="K22" s="185">
        <v>1</v>
      </c>
      <c r="L22" s="183" t="s">
        <v>4706</v>
      </c>
      <c r="M22" s="184" t="s">
        <v>5835</v>
      </c>
      <c r="N22" s="184" t="s">
        <v>5835</v>
      </c>
      <c r="O22" s="791"/>
    </row>
    <row r="23" spans="1:15" s="182" customFormat="1" ht="21.75" customHeight="1" x14ac:dyDescent="0.15">
      <c r="A23" s="151" t="s">
        <v>5915</v>
      </c>
      <c r="B23" s="226" t="s">
        <v>5916</v>
      </c>
      <c r="C23" s="224" t="s">
        <v>3351</v>
      </c>
      <c r="D23" s="224" t="s">
        <v>3352</v>
      </c>
      <c r="E23" s="184" t="s">
        <v>2795</v>
      </c>
      <c r="F23" s="207" t="s">
        <v>3328</v>
      </c>
      <c r="G23" s="235" t="s">
        <v>3349</v>
      </c>
      <c r="H23" s="638">
        <v>21094</v>
      </c>
      <c r="I23" s="194">
        <v>0</v>
      </c>
      <c r="J23" s="194">
        <v>35000</v>
      </c>
      <c r="K23" s="185">
        <v>0.5</v>
      </c>
      <c r="L23" s="183" t="s">
        <v>4706</v>
      </c>
      <c r="M23" s="184" t="s">
        <v>3726</v>
      </c>
      <c r="N23" s="184" t="s">
        <v>3726</v>
      </c>
      <c r="O23" s="792"/>
    </row>
    <row r="24" spans="1:15" s="182" customFormat="1" ht="21.75" customHeight="1" x14ac:dyDescent="0.15">
      <c r="A24" s="151" t="s">
        <v>5915</v>
      </c>
      <c r="B24" s="226" t="s">
        <v>5917</v>
      </c>
      <c r="C24" s="224" t="s">
        <v>3351</v>
      </c>
      <c r="D24" s="224" t="s">
        <v>3352</v>
      </c>
      <c r="E24" s="45" t="s">
        <v>2796</v>
      </c>
      <c r="F24" s="207" t="s">
        <v>3328</v>
      </c>
      <c r="G24" s="235" t="s">
        <v>3381</v>
      </c>
      <c r="H24" s="638">
        <v>21098</v>
      </c>
      <c r="I24" s="194">
        <v>0</v>
      </c>
      <c r="J24" s="194">
        <v>35000</v>
      </c>
      <c r="K24" s="185">
        <v>0.5</v>
      </c>
      <c r="L24" s="183" t="s">
        <v>4706</v>
      </c>
      <c r="M24" s="184" t="s">
        <v>3726</v>
      </c>
      <c r="N24" s="184" t="s">
        <v>3726</v>
      </c>
      <c r="O24" s="792"/>
    </row>
    <row r="25" spans="1:15" s="182" customFormat="1" ht="21.75" customHeight="1" x14ac:dyDescent="0.15">
      <c r="A25" s="151" t="s">
        <v>5918</v>
      </c>
      <c r="B25" s="226" t="s">
        <v>5919</v>
      </c>
      <c r="C25" s="241" t="s">
        <v>3376</v>
      </c>
      <c r="D25" s="241" t="s">
        <v>3377</v>
      </c>
      <c r="E25" s="241" t="s">
        <v>3648</v>
      </c>
      <c r="F25" s="241" t="s">
        <v>3328</v>
      </c>
      <c r="G25" s="242" t="s">
        <v>3349</v>
      </c>
      <c r="H25" s="638">
        <v>21068</v>
      </c>
      <c r="I25" s="194">
        <v>0</v>
      </c>
      <c r="J25" s="194">
        <v>90000</v>
      </c>
      <c r="K25" s="185">
        <v>1</v>
      </c>
      <c r="L25" s="183" t="s">
        <v>4706</v>
      </c>
      <c r="M25" s="241" t="s">
        <v>4708</v>
      </c>
      <c r="N25" s="241" t="s">
        <v>4708</v>
      </c>
      <c r="O25" s="793"/>
    </row>
    <row r="26" spans="1:15" s="182" customFormat="1" ht="21.75" customHeight="1" x14ac:dyDescent="0.15">
      <c r="A26" s="151" t="s">
        <v>5920</v>
      </c>
      <c r="B26" s="226" t="s">
        <v>5888</v>
      </c>
      <c r="C26" s="241" t="s">
        <v>3351</v>
      </c>
      <c r="D26" s="241" t="s">
        <v>3768</v>
      </c>
      <c r="E26" s="241" t="s">
        <v>3535</v>
      </c>
      <c r="F26" s="241" t="s">
        <v>3332</v>
      </c>
      <c r="G26" s="242" t="s">
        <v>3349</v>
      </c>
      <c r="H26" s="638">
        <v>20114</v>
      </c>
      <c r="I26" s="194">
        <v>0</v>
      </c>
      <c r="J26" s="194">
        <v>30000</v>
      </c>
      <c r="K26" s="185">
        <v>0.3</v>
      </c>
      <c r="L26" s="183" t="s">
        <v>4706</v>
      </c>
      <c r="M26" s="241" t="s">
        <v>4699</v>
      </c>
      <c r="N26" s="241" t="s">
        <v>3726</v>
      </c>
      <c r="O26" s="794"/>
    </row>
    <row r="27" spans="1:15" s="182" customFormat="1" ht="21.75" customHeight="1" x14ac:dyDescent="0.15">
      <c r="A27" s="151" t="s">
        <v>5920</v>
      </c>
      <c r="B27" s="226" t="s">
        <v>5888</v>
      </c>
      <c r="C27" s="241" t="s">
        <v>3351</v>
      </c>
      <c r="D27" s="241" t="s">
        <v>3768</v>
      </c>
      <c r="E27" s="241" t="s">
        <v>3535</v>
      </c>
      <c r="F27" s="241" t="s">
        <v>3332</v>
      </c>
      <c r="G27" s="242" t="s">
        <v>4375</v>
      </c>
      <c r="H27" s="638">
        <v>21059</v>
      </c>
      <c r="I27" s="194">
        <v>0</v>
      </c>
      <c r="J27" s="194">
        <v>77000</v>
      </c>
      <c r="K27" s="185">
        <v>0.7</v>
      </c>
      <c r="L27" s="183" t="s">
        <v>4706</v>
      </c>
      <c r="M27" s="241" t="s">
        <v>4699</v>
      </c>
      <c r="N27" s="241" t="s">
        <v>3726</v>
      </c>
      <c r="O27" s="794"/>
    </row>
    <row r="28" spans="1:15" s="182" customFormat="1" ht="21.75" customHeight="1" x14ac:dyDescent="0.15">
      <c r="A28" s="151" t="s">
        <v>5920</v>
      </c>
      <c r="B28" s="226" t="s">
        <v>5269</v>
      </c>
      <c r="C28" s="184" t="s">
        <v>4982</v>
      </c>
      <c r="D28" s="184" t="s">
        <v>5018</v>
      </c>
      <c r="E28" s="184" t="s">
        <v>4528</v>
      </c>
      <c r="F28" s="184" t="s">
        <v>5078</v>
      </c>
      <c r="G28" s="239" t="s">
        <v>5240</v>
      </c>
      <c r="H28" s="638" t="s">
        <v>5924</v>
      </c>
      <c r="I28" s="194">
        <v>0</v>
      </c>
      <c r="J28" s="194">
        <v>40000</v>
      </c>
      <c r="K28" s="185">
        <v>1</v>
      </c>
      <c r="L28" s="183" t="s">
        <v>4707</v>
      </c>
      <c r="M28" s="241" t="s">
        <v>3726</v>
      </c>
      <c r="N28" s="241" t="s">
        <v>3726</v>
      </c>
      <c r="O28" s="794"/>
    </row>
    <row r="29" spans="1:15" s="182" customFormat="1" ht="21.75" customHeight="1" x14ac:dyDescent="0.15">
      <c r="A29" s="151" t="s">
        <v>5920</v>
      </c>
      <c r="B29" s="226" t="s">
        <v>5260</v>
      </c>
      <c r="C29" s="795" t="s">
        <v>3346</v>
      </c>
      <c r="D29" s="236" t="s">
        <v>3354</v>
      </c>
      <c r="E29" s="30" t="s">
        <v>3562</v>
      </c>
      <c r="F29" s="184" t="s">
        <v>3328</v>
      </c>
      <c r="G29" s="235" t="s">
        <v>4375</v>
      </c>
      <c r="H29" s="638" t="s">
        <v>5925</v>
      </c>
      <c r="I29" s="194">
        <v>0</v>
      </c>
      <c r="J29" s="194">
        <v>74000</v>
      </c>
      <c r="K29" s="185">
        <v>0.5</v>
      </c>
      <c r="L29" s="183" t="s">
        <v>4706</v>
      </c>
      <c r="M29" s="184" t="s">
        <v>3725</v>
      </c>
      <c r="N29" s="184" t="s">
        <v>3726</v>
      </c>
      <c r="O29" s="794"/>
    </row>
    <row r="30" spans="1:15" s="182" customFormat="1" ht="21.75" customHeight="1" x14ac:dyDescent="0.15">
      <c r="A30" s="151" t="s">
        <v>5927</v>
      </c>
      <c r="B30" s="226" t="s">
        <v>5931</v>
      </c>
      <c r="C30" s="184" t="s">
        <v>4982</v>
      </c>
      <c r="D30" s="184" t="s">
        <v>5018</v>
      </c>
      <c r="E30" s="184" t="s">
        <v>5934</v>
      </c>
      <c r="F30" s="184" t="s">
        <v>5078</v>
      </c>
      <c r="G30" s="239" t="s">
        <v>5240</v>
      </c>
      <c r="H30" s="638" t="s">
        <v>5935</v>
      </c>
      <c r="I30" s="194">
        <v>0</v>
      </c>
      <c r="J30" s="194">
        <v>40000</v>
      </c>
      <c r="K30" s="185">
        <v>1</v>
      </c>
      <c r="L30" s="183" t="s">
        <v>4707</v>
      </c>
      <c r="M30" s="184" t="s">
        <v>3726</v>
      </c>
      <c r="N30" s="184" t="s">
        <v>3726</v>
      </c>
      <c r="O30" s="795"/>
    </row>
    <row r="31" spans="1:15" s="182" customFormat="1" ht="21.75" customHeight="1" x14ac:dyDescent="0.15">
      <c r="A31" s="151" t="s">
        <v>5927</v>
      </c>
      <c r="B31" s="226" t="s">
        <v>5851</v>
      </c>
      <c r="C31" s="241" t="s">
        <v>3364</v>
      </c>
      <c r="D31" s="241" t="s">
        <v>3326</v>
      </c>
      <c r="E31" s="241" t="s">
        <v>3268</v>
      </c>
      <c r="F31" s="292" t="s">
        <v>3328</v>
      </c>
      <c r="G31" s="242" t="s">
        <v>3349</v>
      </c>
      <c r="H31" s="638" t="s">
        <v>5939</v>
      </c>
      <c r="I31" s="194">
        <v>0</v>
      </c>
      <c r="J31" s="194">
        <v>80000</v>
      </c>
      <c r="K31" s="185">
        <v>1</v>
      </c>
      <c r="L31" s="183" t="s">
        <v>4706</v>
      </c>
      <c r="M31" s="241" t="s">
        <v>4957</v>
      </c>
      <c r="N31" s="241" t="s">
        <v>3726</v>
      </c>
      <c r="O31" s="795"/>
    </row>
    <row r="32" spans="1:15" s="182" customFormat="1" ht="21.75" customHeight="1" x14ac:dyDescent="0.15">
      <c r="A32" s="151" t="s">
        <v>5928</v>
      </c>
      <c r="B32" s="226" t="s">
        <v>5932</v>
      </c>
      <c r="C32" s="795" t="s">
        <v>5148</v>
      </c>
      <c r="D32" s="795" t="s">
        <v>5098</v>
      </c>
      <c r="E32" s="795" t="s">
        <v>5149</v>
      </c>
      <c r="F32" s="184" t="s">
        <v>5078</v>
      </c>
      <c r="G32" s="235" t="s">
        <v>5030</v>
      </c>
      <c r="H32" s="638">
        <v>22047</v>
      </c>
      <c r="I32" s="194">
        <v>0</v>
      </c>
      <c r="J32" s="194">
        <v>80000</v>
      </c>
      <c r="K32" s="185">
        <v>1</v>
      </c>
      <c r="L32" s="183" t="s">
        <v>4706</v>
      </c>
      <c r="M32" s="241" t="s">
        <v>4708</v>
      </c>
      <c r="N32" s="241" t="s">
        <v>4708</v>
      </c>
      <c r="O32" s="795"/>
    </row>
    <row r="33" spans="1:15" s="182" customFormat="1" ht="21.75" customHeight="1" x14ac:dyDescent="0.15">
      <c r="A33" s="151" t="s">
        <v>5929</v>
      </c>
      <c r="B33" s="226" t="s">
        <v>5851</v>
      </c>
      <c r="C33" s="241" t="s">
        <v>3364</v>
      </c>
      <c r="D33" s="241" t="s">
        <v>3326</v>
      </c>
      <c r="E33" s="241" t="s">
        <v>5938</v>
      </c>
      <c r="F33" s="241" t="s">
        <v>3355</v>
      </c>
      <c r="G33" s="242" t="s">
        <v>4484</v>
      </c>
      <c r="H33" s="638" t="s">
        <v>5936</v>
      </c>
      <c r="I33" s="194">
        <v>0</v>
      </c>
      <c r="J33" s="194">
        <v>90000</v>
      </c>
      <c r="K33" s="185">
        <v>0.9</v>
      </c>
      <c r="L33" s="183" t="s">
        <v>4711</v>
      </c>
      <c r="M33" s="241" t="s">
        <v>4957</v>
      </c>
      <c r="N33" s="241" t="s">
        <v>3726</v>
      </c>
      <c r="O33" s="795"/>
    </row>
    <row r="34" spans="1:15" s="182" customFormat="1" ht="21.75" customHeight="1" x14ac:dyDescent="0.15">
      <c r="A34" s="151" t="s">
        <v>5929</v>
      </c>
      <c r="B34" s="226" t="s">
        <v>5851</v>
      </c>
      <c r="C34" s="241" t="s">
        <v>3364</v>
      </c>
      <c r="D34" s="241" t="s">
        <v>3326</v>
      </c>
      <c r="E34" s="241" t="s">
        <v>5938</v>
      </c>
      <c r="F34" s="241" t="s">
        <v>3328</v>
      </c>
      <c r="G34" s="242" t="s">
        <v>3367</v>
      </c>
      <c r="H34" s="638" t="s">
        <v>5937</v>
      </c>
      <c r="I34" s="194">
        <v>0</v>
      </c>
      <c r="J34" s="194">
        <v>22500</v>
      </c>
      <c r="K34" s="185">
        <v>0.9</v>
      </c>
      <c r="L34" s="183" t="s">
        <v>4711</v>
      </c>
      <c r="M34" s="241" t="s">
        <v>4957</v>
      </c>
      <c r="N34" s="241" t="s">
        <v>3726</v>
      </c>
      <c r="O34" s="795"/>
    </row>
    <row r="35" spans="1:15" s="182" customFormat="1" ht="21.75" customHeight="1" x14ac:dyDescent="0.15">
      <c r="A35" s="151" t="s">
        <v>5929</v>
      </c>
      <c r="B35" s="226" t="s">
        <v>5851</v>
      </c>
      <c r="C35" s="795" t="s">
        <v>5942</v>
      </c>
      <c r="D35" s="795" t="s">
        <v>5153</v>
      </c>
      <c r="E35" s="795" t="s">
        <v>5943</v>
      </c>
      <c r="F35" s="224" t="s">
        <v>3328</v>
      </c>
      <c r="G35" s="239" t="s">
        <v>5240</v>
      </c>
      <c r="H35" s="638" t="s">
        <v>5940</v>
      </c>
      <c r="I35" s="194">
        <v>0</v>
      </c>
      <c r="J35" s="194">
        <v>66600</v>
      </c>
      <c r="K35" s="185">
        <v>0.9</v>
      </c>
      <c r="L35" s="183" t="s">
        <v>4711</v>
      </c>
      <c r="M35" s="241" t="s">
        <v>3726</v>
      </c>
      <c r="N35" s="241" t="s">
        <v>3726</v>
      </c>
      <c r="O35" s="795"/>
    </row>
    <row r="36" spans="1:15" s="182" customFormat="1" ht="21.75" customHeight="1" x14ac:dyDescent="0.15">
      <c r="A36" s="151" t="s">
        <v>5929</v>
      </c>
      <c r="B36" s="226" t="s">
        <v>5851</v>
      </c>
      <c r="C36" s="795" t="s">
        <v>5942</v>
      </c>
      <c r="D36" s="795" t="s">
        <v>5153</v>
      </c>
      <c r="E36" s="795" t="s">
        <v>5944</v>
      </c>
      <c r="F36" s="224" t="s">
        <v>3328</v>
      </c>
      <c r="G36" s="239" t="s">
        <v>5240</v>
      </c>
      <c r="H36" s="638" t="s">
        <v>5941</v>
      </c>
      <c r="I36" s="194">
        <v>0</v>
      </c>
      <c r="J36" s="194">
        <v>66600</v>
      </c>
      <c r="K36" s="185">
        <v>0.9</v>
      </c>
      <c r="L36" s="183" t="s">
        <v>4711</v>
      </c>
      <c r="M36" s="241" t="s">
        <v>3726</v>
      </c>
      <c r="N36" s="241" t="s">
        <v>3726</v>
      </c>
      <c r="O36" s="795"/>
    </row>
    <row r="37" spans="1:15" s="182" customFormat="1" ht="21.75" customHeight="1" x14ac:dyDescent="0.15">
      <c r="A37" s="151" t="s">
        <v>5930</v>
      </c>
      <c r="B37" s="226" t="s">
        <v>5933</v>
      </c>
      <c r="C37" s="184" t="s">
        <v>4941</v>
      </c>
      <c r="D37" s="184" t="s">
        <v>5018</v>
      </c>
      <c r="E37" s="184" t="s">
        <v>5945</v>
      </c>
      <c r="F37" s="184" t="s">
        <v>4944</v>
      </c>
      <c r="G37" s="235" t="s">
        <v>5946</v>
      </c>
      <c r="H37" s="638">
        <v>22046</v>
      </c>
      <c r="I37" s="194">
        <v>0</v>
      </c>
      <c r="J37" s="194">
        <v>28350</v>
      </c>
      <c r="K37" s="185">
        <v>0.9</v>
      </c>
      <c r="L37" s="183" t="s">
        <v>4711</v>
      </c>
      <c r="M37" s="241" t="s">
        <v>3726</v>
      </c>
      <c r="N37" s="241" t="s">
        <v>3726</v>
      </c>
      <c r="O37" s="795"/>
    </row>
    <row r="38" spans="1:15" s="182" customFormat="1" ht="21.75" customHeight="1" x14ac:dyDescent="0.15">
      <c r="A38" s="151" t="s">
        <v>5930</v>
      </c>
      <c r="B38" s="226" t="s">
        <v>913</v>
      </c>
      <c r="C38" s="184" t="s">
        <v>4963</v>
      </c>
      <c r="D38" s="184" t="s">
        <v>5422</v>
      </c>
      <c r="E38" s="184" t="s">
        <v>843</v>
      </c>
      <c r="F38" s="292" t="s">
        <v>3328</v>
      </c>
      <c r="G38" s="235" t="s">
        <v>5030</v>
      </c>
      <c r="H38" s="638">
        <v>21153</v>
      </c>
      <c r="I38" s="194">
        <v>0</v>
      </c>
      <c r="J38" s="194">
        <v>96000</v>
      </c>
      <c r="K38" s="185">
        <v>1</v>
      </c>
      <c r="L38" s="183" t="s">
        <v>4706</v>
      </c>
      <c r="M38" s="241" t="s">
        <v>3433</v>
      </c>
      <c r="N38" s="241" t="s">
        <v>3433</v>
      </c>
      <c r="O38" s="795"/>
    </row>
    <row r="39" spans="1:15" s="182" customFormat="1" ht="21.75" customHeight="1" x14ac:dyDescent="0.15">
      <c r="A39" s="151" t="s">
        <v>5947</v>
      </c>
      <c r="B39" s="226" t="s">
        <v>5948</v>
      </c>
      <c r="C39" s="184" t="s">
        <v>4982</v>
      </c>
      <c r="D39" s="184" t="s">
        <v>5018</v>
      </c>
      <c r="E39" s="184" t="s">
        <v>3777</v>
      </c>
      <c r="F39" s="184" t="s">
        <v>5078</v>
      </c>
      <c r="G39" s="239" t="s">
        <v>5240</v>
      </c>
      <c r="H39" s="638" t="s">
        <v>5950</v>
      </c>
      <c r="I39" s="194">
        <v>0</v>
      </c>
      <c r="J39" s="194">
        <v>40000</v>
      </c>
      <c r="K39" s="185">
        <v>1</v>
      </c>
      <c r="L39" s="183" t="s">
        <v>4707</v>
      </c>
      <c r="M39" s="184" t="s">
        <v>3726</v>
      </c>
      <c r="N39" s="184" t="s">
        <v>3726</v>
      </c>
      <c r="O39" s="796"/>
    </row>
    <row r="40" spans="1:15" s="182" customFormat="1" ht="21.75" customHeight="1" x14ac:dyDescent="0.15">
      <c r="A40" s="151" t="s">
        <v>5947</v>
      </c>
      <c r="B40" s="226" t="s">
        <v>5949</v>
      </c>
      <c r="C40" s="184" t="s">
        <v>4982</v>
      </c>
      <c r="D40" s="184" t="s">
        <v>5018</v>
      </c>
      <c r="E40" s="184" t="s">
        <v>4723</v>
      </c>
      <c r="F40" s="184" t="s">
        <v>5078</v>
      </c>
      <c r="G40" s="239" t="s">
        <v>5240</v>
      </c>
      <c r="H40" s="638" t="s">
        <v>5951</v>
      </c>
      <c r="I40" s="194">
        <v>0</v>
      </c>
      <c r="J40" s="194">
        <v>40000</v>
      </c>
      <c r="K40" s="185">
        <v>1</v>
      </c>
      <c r="L40" s="183" t="s">
        <v>4707</v>
      </c>
      <c r="M40" s="184" t="s">
        <v>3726</v>
      </c>
      <c r="N40" s="184" t="s">
        <v>3726</v>
      </c>
      <c r="O40" s="796"/>
    </row>
    <row r="41" spans="1:15" s="182" customFormat="1" ht="21.75" customHeight="1" x14ac:dyDescent="0.15">
      <c r="A41" s="151" t="s">
        <v>5947</v>
      </c>
      <c r="B41" s="226" t="s">
        <v>679</v>
      </c>
      <c r="C41" s="184" t="s">
        <v>4982</v>
      </c>
      <c r="D41" s="184" t="s">
        <v>5018</v>
      </c>
      <c r="E41" s="184" t="s">
        <v>925</v>
      </c>
      <c r="F41" s="184" t="s">
        <v>5078</v>
      </c>
      <c r="G41" s="239" t="s">
        <v>5240</v>
      </c>
      <c r="H41" s="638" t="s">
        <v>5952</v>
      </c>
      <c r="I41" s="194">
        <v>0</v>
      </c>
      <c r="J41" s="194">
        <v>40000</v>
      </c>
      <c r="K41" s="185">
        <v>1</v>
      </c>
      <c r="L41" s="183" t="s">
        <v>4707</v>
      </c>
      <c r="M41" s="184" t="s">
        <v>3726</v>
      </c>
      <c r="N41" s="184" t="s">
        <v>3726</v>
      </c>
      <c r="O41" s="796"/>
    </row>
    <row r="42" spans="1:15" s="182" customFormat="1" ht="21.75" customHeight="1" x14ac:dyDescent="0.15">
      <c r="A42" s="151" t="s">
        <v>5947</v>
      </c>
      <c r="B42" s="226" t="s">
        <v>679</v>
      </c>
      <c r="C42" s="184" t="s">
        <v>4982</v>
      </c>
      <c r="D42" s="184" t="s">
        <v>5018</v>
      </c>
      <c r="E42" s="184" t="s">
        <v>921</v>
      </c>
      <c r="F42" s="184" t="s">
        <v>5078</v>
      </c>
      <c r="G42" s="239" t="s">
        <v>5240</v>
      </c>
      <c r="H42" s="638" t="s">
        <v>5953</v>
      </c>
      <c r="I42" s="194">
        <v>0</v>
      </c>
      <c r="J42" s="194">
        <v>40000</v>
      </c>
      <c r="K42" s="185">
        <v>1</v>
      </c>
      <c r="L42" s="183" t="s">
        <v>4707</v>
      </c>
      <c r="M42" s="184" t="s">
        <v>3726</v>
      </c>
      <c r="N42" s="184" t="s">
        <v>3726</v>
      </c>
      <c r="O42" s="796"/>
    </row>
    <row r="43" spans="1:15" s="182" customFormat="1" ht="21.75" customHeight="1" x14ac:dyDescent="0.15">
      <c r="A43" s="151" t="s">
        <v>5947</v>
      </c>
      <c r="B43" s="226" t="s">
        <v>5261</v>
      </c>
      <c r="C43" s="184" t="s">
        <v>4982</v>
      </c>
      <c r="D43" s="184" t="s">
        <v>5018</v>
      </c>
      <c r="E43" s="184" t="s">
        <v>844</v>
      </c>
      <c r="F43" s="184" t="s">
        <v>5078</v>
      </c>
      <c r="G43" s="239" t="s">
        <v>5240</v>
      </c>
      <c r="H43" s="638" t="s">
        <v>5954</v>
      </c>
      <c r="I43" s="194">
        <v>0</v>
      </c>
      <c r="J43" s="194">
        <v>40000</v>
      </c>
      <c r="K43" s="185">
        <v>1</v>
      </c>
      <c r="L43" s="183" t="s">
        <v>4707</v>
      </c>
      <c r="M43" s="184" t="s">
        <v>3726</v>
      </c>
      <c r="N43" s="184" t="s">
        <v>3726</v>
      </c>
      <c r="O43" s="796"/>
    </row>
    <row r="44" spans="1:15" s="182" customFormat="1" ht="21.75" customHeight="1" x14ac:dyDescent="0.15">
      <c r="A44" s="151" t="s">
        <v>5955</v>
      </c>
      <c r="B44" s="226" t="s">
        <v>679</v>
      </c>
      <c r="C44" s="798" t="s">
        <v>3346</v>
      </c>
      <c r="D44" s="236" t="s">
        <v>3354</v>
      </c>
      <c r="E44" s="30" t="s">
        <v>921</v>
      </c>
      <c r="F44" s="184" t="s">
        <v>3328</v>
      </c>
      <c r="G44" s="235" t="s">
        <v>4375</v>
      </c>
      <c r="H44" s="638" t="s">
        <v>5736</v>
      </c>
      <c r="I44" s="194">
        <v>0</v>
      </c>
      <c r="J44" s="194">
        <v>74000</v>
      </c>
      <c r="K44" s="185">
        <v>0.5</v>
      </c>
      <c r="L44" s="183" t="s">
        <v>4706</v>
      </c>
      <c r="M44" s="184" t="s">
        <v>3725</v>
      </c>
      <c r="N44" s="184" t="s">
        <v>3726</v>
      </c>
      <c r="O44" s="797"/>
    </row>
    <row r="45" spans="1:15" s="182" customFormat="1" ht="21.75" customHeight="1" x14ac:dyDescent="0.15">
      <c r="A45" s="151" t="s">
        <v>5955</v>
      </c>
      <c r="B45" s="226" t="s">
        <v>679</v>
      </c>
      <c r="C45" s="798" t="s">
        <v>3346</v>
      </c>
      <c r="D45" s="236" t="s">
        <v>3354</v>
      </c>
      <c r="E45" s="30" t="s">
        <v>925</v>
      </c>
      <c r="F45" s="184" t="s">
        <v>3328</v>
      </c>
      <c r="G45" s="235" t="s">
        <v>4375</v>
      </c>
      <c r="H45" s="638" t="s">
        <v>5737</v>
      </c>
      <c r="I45" s="194">
        <v>0</v>
      </c>
      <c r="J45" s="194">
        <v>74000</v>
      </c>
      <c r="K45" s="185">
        <v>0.5</v>
      </c>
      <c r="L45" s="183" t="s">
        <v>4706</v>
      </c>
      <c r="M45" s="184" t="s">
        <v>3725</v>
      </c>
      <c r="N45" s="184" t="s">
        <v>3726</v>
      </c>
      <c r="O45" s="798"/>
    </row>
    <row r="46" spans="1:15" s="182" customFormat="1" ht="21.75" customHeight="1" x14ac:dyDescent="0.15">
      <c r="A46" s="151" t="s">
        <v>5955</v>
      </c>
      <c r="B46" s="226" t="s">
        <v>5956</v>
      </c>
      <c r="C46" s="184" t="s">
        <v>4982</v>
      </c>
      <c r="D46" s="184" t="s">
        <v>5018</v>
      </c>
      <c r="E46" s="184" t="s">
        <v>5959</v>
      </c>
      <c r="F46" s="184" t="s">
        <v>5078</v>
      </c>
      <c r="G46" s="239" t="s">
        <v>5240</v>
      </c>
      <c r="H46" s="638" t="s">
        <v>5958</v>
      </c>
      <c r="I46" s="194">
        <v>0</v>
      </c>
      <c r="J46" s="194">
        <v>40000</v>
      </c>
      <c r="K46" s="185">
        <v>1</v>
      </c>
      <c r="L46" s="183" t="s">
        <v>4707</v>
      </c>
      <c r="M46" s="184" t="s">
        <v>3726</v>
      </c>
      <c r="N46" s="184" t="s">
        <v>3726</v>
      </c>
      <c r="O46" s="797"/>
    </row>
    <row r="47" spans="1:15" s="182" customFormat="1" ht="21.75" customHeight="1" x14ac:dyDescent="0.15">
      <c r="A47" s="151" t="s">
        <v>5955</v>
      </c>
      <c r="B47" s="226" t="s">
        <v>5221</v>
      </c>
      <c r="C47" s="799" t="s">
        <v>3346</v>
      </c>
      <c r="D47" s="799" t="s">
        <v>3354</v>
      </c>
      <c r="E47" s="799" t="s">
        <v>845</v>
      </c>
      <c r="F47" s="267" t="s">
        <v>3328</v>
      </c>
      <c r="G47" s="235" t="s">
        <v>4375</v>
      </c>
      <c r="H47" s="638" t="s">
        <v>5960</v>
      </c>
      <c r="I47" s="194">
        <v>0</v>
      </c>
      <c r="J47" s="194">
        <v>74000</v>
      </c>
      <c r="K47" s="185">
        <v>0.5</v>
      </c>
      <c r="L47" s="183" t="s">
        <v>4706</v>
      </c>
      <c r="M47" s="184" t="s">
        <v>3725</v>
      </c>
      <c r="N47" s="184" t="s">
        <v>3726</v>
      </c>
      <c r="O47" s="797"/>
    </row>
    <row r="48" spans="1:15" s="182" customFormat="1" ht="21.75" customHeight="1" x14ac:dyDescent="0.15">
      <c r="A48" s="151" t="s">
        <v>5955</v>
      </c>
      <c r="B48" s="226" t="s">
        <v>5221</v>
      </c>
      <c r="C48" s="184" t="s">
        <v>4982</v>
      </c>
      <c r="D48" s="184" t="s">
        <v>5018</v>
      </c>
      <c r="E48" s="184" t="s">
        <v>845</v>
      </c>
      <c r="F48" s="184" t="s">
        <v>5078</v>
      </c>
      <c r="G48" s="239" t="s">
        <v>5240</v>
      </c>
      <c r="H48" s="638" t="s">
        <v>5961</v>
      </c>
      <c r="I48" s="194">
        <v>0</v>
      </c>
      <c r="J48" s="194">
        <v>40000</v>
      </c>
      <c r="K48" s="185">
        <v>1</v>
      </c>
      <c r="L48" s="183" t="s">
        <v>4707</v>
      </c>
      <c r="M48" s="184" t="s">
        <v>3726</v>
      </c>
      <c r="N48" s="184" t="s">
        <v>3726</v>
      </c>
      <c r="O48" s="797"/>
    </row>
    <row r="49" spans="1:15" s="182" customFormat="1" ht="21.75" customHeight="1" x14ac:dyDescent="0.15">
      <c r="A49" s="151" t="s">
        <v>5957</v>
      </c>
      <c r="B49" s="226" t="s">
        <v>5265</v>
      </c>
      <c r="C49" s="799" t="s">
        <v>3346</v>
      </c>
      <c r="D49" s="799" t="s">
        <v>3354</v>
      </c>
      <c r="E49" s="799" t="s">
        <v>846</v>
      </c>
      <c r="F49" s="267" t="s">
        <v>3328</v>
      </c>
      <c r="G49" s="235" t="s">
        <v>4375</v>
      </c>
      <c r="H49" s="638" t="s">
        <v>5962</v>
      </c>
      <c r="I49" s="194">
        <v>0</v>
      </c>
      <c r="J49" s="194">
        <v>74000</v>
      </c>
      <c r="K49" s="185">
        <v>0.5</v>
      </c>
      <c r="L49" s="183" t="s">
        <v>4706</v>
      </c>
      <c r="M49" s="184" t="s">
        <v>3725</v>
      </c>
      <c r="N49" s="184" t="s">
        <v>3726</v>
      </c>
      <c r="O49" s="798"/>
    </row>
    <row r="50" spans="1:15" s="182" customFormat="1" ht="21.75" customHeight="1" x14ac:dyDescent="0.15">
      <c r="A50" s="151" t="s">
        <v>5957</v>
      </c>
      <c r="B50" s="226" t="s">
        <v>5265</v>
      </c>
      <c r="C50" s="184" t="s">
        <v>4982</v>
      </c>
      <c r="D50" s="184" t="s">
        <v>5018</v>
      </c>
      <c r="E50" s="184" t="s">
        <v>846</v>
      </c>
      <c r="F50" s="184" t="s">
        <v>5078</v>
      </c>
      <c r="G50" s="239" t="s">
        <v>5240</v>
      </c>
      <c r="H50" s="638" t="s">
        <v>5963</v>
      </c>
      <c r="I50" s="194">
        <v>0</v>
      </c>
      <c r="J50" s="194">
        <v>40000</v>
      </c>
      <c r="K50" s="185">
        <v>1</v>
      </c>
      <c r="L50" s="183" t="s">
        <v>4707</v>
      </c>
      <c r="M50" s="184" t="s">
        <v>3726</v>
      </c>
      <c r="N50" s="184" t="s">
        <v>3726</v>
      </c>
      <c r="O50" s="798"/>
    </row>
    <row r="51" spans="1:15" s="182" customFormat="1" ht="21.75" customHeight="1" x14ac:dyDescent="0.15">
      <c r="A51" s="151" t="s">
        <v>5957</v>
      </c>
      <c r="B51" s="226" t="s">
        <v>5260</v>
      </c>
      <c r="C51" s="184" t="s">
        <v>4982</v>
      </c>
      <c r="D51" s="184" t="s">
        <v>5018</v>
      </c>
      <c r="E51" s="184" t="s">
        <v>3562</v>
      </c>
      <c r="F51" s="184" t="s">
        <v>5078</v>
      </c>
      <c r="G51" s="239" t="s">
        <v>5240</v>
      </c>
      <c r="H51" s="638" t="s">
        <v>5980</v>
      </c>
      <c r="I51" s="194">
        <v>0</v>
      </c>
      <c r="J51" s="194">
        <v>40000</v>
      </c>
      <c r="K51" s="185">
        <v>1</v>
      </c>
      <c r="L51" s="183" t="s">
        <v>4707</v>
      </c>
      <c r="M51" s="184" t="s">
        <v>3726</v>
      </c>
      <c r="N51" s="184" t="s">
        <v>3726</v>
      </c>
      <c r="O51" s="805"/>
    </row>
    <row r="52" spans="1:15" s="182" customFormat="1" ht="21.75" customHeight="1" x14ac:dyDescent="0.15">
      <c r="A52" s="151" t="s">
        <v>5964</v>
      </c>
      <c r="B52" s="226" t="s">
        <v>5965</v>
      </c>
      <c r="C52" s="800" t="s">
        <v>3414</v>
      </c>
      <c r="D52" s="800" t="s">
        <v>3360</v>
      </c>
      <c r="E52" s="800" t="s">
        <v>5966</v>
      </c>
      <c r="F52" s="224" t="s">
        <v>3328</v>
      </c>
      <c r="G52" s="235" t="s">
        <v>3611</v>
      </c>
      <c r="H52" s="638">
        <v>22084</v>
      </c>
      <c r="I52" s="194">
        <v>0</v>
      </c>
      <c r="J52" s="194">
        <v>289836</v>
      </c>
      <c r="K52" s="185">
        <v>0.97</v>
      </c>
      <c r="L52" s="183" t="s">
        <v>4711</v>
      </c>
      <c r="M52" s="184" t="s">
        <v>4708</v>
      </c>
      <c r="N52" s="184" t="s">
        <v>4708</v>
      </c>
      <c r="O52" s="800"/>
    </row>
    <row r="53" spans="1:15" s="182" customFormat="1" ht="21.75" customHeight="1" x14ac:dyDescent="0.15">
      <c r="A53" s="151" t="s">
        <v>5967</v>
      </c>
      <c r="B53" s="226" t="s">
        <v>5968</v>
      </c>
      <c r="C53" s="236" t="s">
        <v>3346</v>
      </c>
      <c r="D53" s="801" t="s">
        <v>3354</v>
      </c>
      <c r="E53" s="180" t="s">
        <v>4130</v>
      </c>
      <c r="F53" s="224" t="s">
        <v>3328</v>
      </c>
      <c r="G53" s="235" t="s">
        <v>4375</v>
      </c>
      <c r="H53" s="638">
        <v>21184</v>
      </c>
      <c r="I53" s="194">
        <v>0</v>
      </c>
      <c r="J53" s="194">
        <v>74000</v>
      </c>
      <c r="K53" s="185">
        <v>0.5</v>
      </c>
      <c r="L53" s="183" t="s">
        <v>4706</v>
      </c>
      <c r="M53" s="184" t="s">
        <v>3725</v>
      </c>
      <c r="N53" s="184" t="s">
        <v>5255</v>
      </c>
      <c r="O53" s="802"/>
    </row>
    <row r="54" spans="1:15" s="182" customFormat="1" ht="42.75" customHeight="1" x14ac:dyDescent="0.15">
      <c r="A54" s="151" t="s">
        <v>5967</v>
      </c>
      <c r="B54" s="226" t="s">
        <v>5970</v>
      </c>
      <c r="C54" s="802" t="s">
        <v>4982</v>
      </c>
      <c r="D54" s="802" t="s">
        <v>5018</v>
      </c>
      <c r="E54" s="802" t="s">
        <v>664</v>
      </c>
      <c r="F54" s="267" t="s">
        <v>3328</v>
      </c>
      <c r="G54" s="235" t="s">
        <v>4375</v>
      </c>
      <c r="H54" s="638" t="s">
        <v>5971</v>
      </c>
      <c r="I54" s="194">
        <v>0</v>
      </c>
      <c r="J54" s="194">
        <v>74000</v>
      </c>
      <c r="K54" s="185">
        <v>0.5</v>
      </c>
      <c r="L54" s="183" t="s">
        <v>4706</v>
      </c>
      <c r="M54" s="184" t="s">
        <v>3725</v>
      </c>
      <c r="N54" s="184" t="s">
        <v>5255</v>
      </c>
      <c r="O54" s="802"/>
    </row>
    <row r="55" spans="1:15" s="182" customFormat="1" ht="47.25" customHeight="1" x14ac:dyDescent="0.15">
      <c r="A55" s="151" t="s">
        <v>5969</v>
      </c>
      <c r="B55" s="226" t="s">
        <v>5972</v>
      </c>
      <c r="C55" s="236" t="s">
        <v>3337</v>
      </c>
      <c r="D55" s="236" t="s">
        <v>3380</v>
      </c>
      <c r="E55" s="236" t="s">
        <v>3874</v>
      </c>
      <c r="F55" s="599" t="s">
        <v>3340</v>
      </c>
      <c r="G55" s="242" t="s">
        <v>4462</v>
      </c>
      <c r="H55" s="638" t="s">
        <v>5973</v>
      </c>
      <c r="I55" s="194">
        <v>0</v>
      </c>
      <c r="J55" s="194">
        <v>1616.4</v>
      </c>
      <c r="K55" s="185">
        <v>0.03</v>
      </c>
      <c r="L55" s="183" t="s">
        <v>4724</v>
      </c>
      <c r="M55" s="241" t="s">
        <v>4957</v>
      </c>
      <c r="N55" s="596" t="s">
        <v>3726</v>
      </c>
      <c r="O55" s="802"/>
    </row>
    <row r="56" spans="1:15" s="182" customFormat="1" ht="47.25" customHeight="1" x14ac:dyDescent="0.15">
      <c r="A56" s="151" t="s">
        <v>5969</v>
      </c>
      <c r="B56" s="226" t="s">
        <v>5972</v>
      </c>
      <c r="C56" s="236" t="s">
        <v>3337</v>
      </c>
      <c r="D56" s="236" t="s">
        <v>3380</v>
      </c>
      <c r="E56" s="236" t="s">
        <v>3874</v>
      </c>
      <c r="F56" s="279" t="s">
        <v>4361</v>
      </c>
      <c r="G56" s="242" t="s">
        <v>4463</v>
      </c>
      <c r="H56" s="638" t="s">
        <v>5974</v>
      </c>
      <c r="I56" s="194">
        <v>0</v>
      </c>
      <c r="J56" s="194">
        <v>1077.5999999999999</v>
      </c>
      <c r="K56" s="185">
        <v>0.03</v>
      </c>
      <c r="L56" s="183" t="s">
        <v>4724</v>
      </c>
      <c r="M56" s="241" t="s">
        <v>4957</v>
      </c>
      <c r="N56" s="596" t="s">
        <v>3726</v>
      </c>
      <c r="O56" s="802"/>
    </row>
    <row r="57" spans="1:15" s="182" customFormat="1" ht="21.75" customHeight="1" x14ac:dyDescent="0.15">
      <c r="A57" s="151" t="s">
        <v>5975</v>
      </c>
      <c r="B57" s="226" t="s">
        <v>5191</v>
      </c>
      <c r="C57" s="803" t="s">
        <v>4941</v>
      </c>
      <c r="D57" s="803" t="s">
        <v>4942</v>
      </c>
      <c r="E57" s="803" t="s">
        <v>5976</v>
      </c>
      <c r="F57" s="184" t="s">
        <v>5078</v>
      </c>
      <c r="G57" s="239" t="s">
        <v>5240</v>
      </c>
      <c r="H57" s="638">
        <v>22002</v>
      </c>
      <c r="I57" s="194">
        <v>0</v>
      </c>
      <c r="J57" s="194">
        <v>30000</v>
      </c>
      <c r="K57" s="185">
        <v>1</v>
      </c>
      <c r="L57" s="183" t="s">
        <v>806</v>
      </c>
      <c r="M57" s="184" t="s">
        <v>5255</v>
      </c>
      <c r="N57" s="184" t="s">
        <v>5255</v>
      </c>
      <c r="O57" s="803"/>
    </row>
    <row r="58" spans="1:15" s="182" customFormat="1" ht="47.25" customHeight="1" x14ac:dyDescent="0.15">
      <c r="A58" s="151" t="s">
        <v>5977</v>
      </c>
      <c r="B58" s="20" t="s">
        <v>5979</v>
      </c>
      <c r="C58" s="804" t="s">
        <v>3346</v>
      </c>
      <c r="D58" s="804" t="s">
        <v>3354</v>
      </c>
      <c r="E58" s="804" t="s">
        <v>3675</v>
      </c>
      <c r="F58" s="267" t="s">
        <v>3328</v>
      </c>
      <c r="G58" s="235" t="s">
        <v>4375</v>
      </c>
      <c r="H58" s="804" t="s">
        <v>5978</v>
      </c>
      <c r="I58" s="194">
        <v>0</v>
      </c>
      <c r="J58" s="194">
        <v>74000</v>
      </c>
      <c r="K58" s="185">
        <v>0.5</v>
      </c>
      <c r="L58" s="183" t="s">
        <v>4706</v>
      </c>
      <c r="M58" s="184" t="s">
        <v>3725</v>
      </c>
      <c r="N58" s="184" t="s">
        <v>5255</v>
      </c>
      <c r="O58" s="233"/>
    </row>
    <row r="59" spans="1:15" s="182" customFormat="1" ht="21.75" customHeight="1" x14ac:dyDescent="0.15">
      <c r="A59" s="151" t="s">
        <v>5981</v>
      </c>
      <c r="B59" s="20" t="s">
        <v>4911</v>
      </c>
      <c r="C59" s="806" t="s">
        <v>3346</v>
      </c>
      <c r="D59" s="806" t="s">
        <v>3354</v>
      </c>
      <c r="E59" s="806" t="s">
        <v>844</v>
      </c>
      <c r="F59" s="267" t="s">
        <v>3328</v>
      </c>
      <c r="G59" s="235" t="s">
        <v>4375</v>
      </c>
      <c r="H59" s="638" t="s">
        <v>5982</v>
      </c>
      <c r="I59" s="194">
        <v>0</v>
      </c>
      <c r="J59" s="194">
        <v>74000</v>
      </c>
      <c r="K59" s="185">
        <v>0.5</v>
      </c>
      <c r="L59" s="183" t="s">
        <v>4706</v>
      </c>
      <c r="M59" s="184" t="s">
        <v>3725</v>
      </c>
      <c r="N59" s="184" t="s">
        <v>3726</v>
      </c>
      <c r="O59" s="806"/>
    </row>
    <row r="60" spans="1:15" s="182" customFormat="1" ht="21.75" customHeight="1" x14ac:dyDescent="0.15">
      <c r="A60" s="151" t="s">
        <v>5981</v>
      </c>
      <c r="B60" s="20" t="s">
        <v>4721</v>
      </c>
      <c r="C60" s="581" t="s">
        <v>3346</v>
      </c>
      <c r="D60" s="581" t="s">
        <v>3354</v>
      </c>
      <c r="E60" s="285" t="s">
        <v>4723</v>
      </c>
      <c r="F60" s="224" t="s">
        <v>3328</v>
      </c>
      <c r="G60" s="235" t="s">
        <v>4375</v>
      </c>
      <c r="H60" s="638" t="s">
        <v>5735</v>
      </c>
      <c r="I60" s="194">
        <v>0</v>
      </c>
      <c r="J60" s="194">
        <v>74000</v>
      </c>
      <c r="K60" s="185">
        <v>0.5</v>
      </c>
      <c r="L60" s="183" t="s">
        <v>4706</v>
      </c>
      <c r="M60" s="184" t="s">
        <v>3725</v>
      </c>
      <c r="N60" s="184" t="s">
        <v>3726</v>
      </c>
      <c r="O60" s="806"/>
    </row>
    <row r="61" spans="1:15" s="182" customFormat="1" ht="21.75" customHeight="1" x14ac:dyDescent="0.15">
      <c r="A61" s="151" t="s">
        <v>5981</v>
      </c>
      <c r="B61" s="20" t="s">
        <v>5983</v>
      </c>
      <c r="C61" s="184" t="s">
        <v>4982</v>
      </c>
      <c r="D61" s="184" t="s">
        <v>4983</v>
      </c>
      <c r="E61" s="184" t="s">
        <v>5984</v>
      </c>
      <c r="F61" s="184" t="s">
        <v>3340</v>
      </c>
      <c r="G61" s="239" t="s">
        <v>5240</v>
      </c>
      <c r="H61" s="806">
        <v>22133</v>
      </c>
      <c r="I61" s="194">
        <v>0</v>
      </c>
      <c r="J61" s="194">
        <v>26000</v>
      </c>
      <c r="K61" s="185">
        <v>1</v>
      </c>
      <c r="L61" s="183" t="s">
        <v>4707</v>
      </c>
      <c r="M61" s="184" t="s">
        <v>5835</v>
      </c>
      <c r="N61" s="184" t="s">
        <v>5835</v>
      </c>
      <c r="O61" s="233"/>
    </row>
    <row r="62" spans="1:15" s="182" customFormat="1" ht="21.75" customHeight="1" x14ac:dyDescent="0.15">
      <c r="A62" s="151" t="s">
        <v>5985</v>
      </c>
      <c r="B62" s="20" t="s">
        <v>5169</v>
      </c>
      <c r="C62" s="279" t="s">
        <v>3351</v>
      </c>
      <c r="D62" s="279" t="s">
        <v>3352</v>
      </c>
      <c r="E62" s="236" t="s">
        <v>2787</v>
      </c>
      <c r="F62" s="599" t="s">
        <v>3328</v>
      </c>
      <c r="G62" s="242" t="s">
        <v>5172</v>
      </c>
      <c r="H62" s="807">
        <v>21040</v>
      </c>
      <c r="I62" s="194">
        <v>0</v>
      </c>
      <c r="J62" s="194">
        <v>6000</v>
      </c>
      <c r="K62" s="185">
        <v>0.3</v>
      </c>
      <c r="L62" s="183" t="s">
        <v>5744</v>
      </c>
      <c r="M62" s="184" t="s">
        <v>704</v>
      </c>
      <c r="N62" s="184" t="s">
        <v>5255</v>
      </c>
      <c r="O62" s="233"/>
    </row>
    <row r="63" spans="1:15" s="182" customFormat="1" ht="21.75" customHeight="1" x14ac:dyDescent="0.15">
      <c r="A63" s="151" t="s">
        <v>5992</v>
      </c>
      <c r="B63" s="20" t="s">
        <v>5993</v>
      </c>
      <c r="C63" s="224" t="s">
        <v>3325</v>
      </c>
      <c r="D63" s="224" t="s">
        <v>3457</v>
      </c>
      <c r="E63" s="207" t="s">
        <v>83</v>
      </c>
      <c r="F63" s="224" t="s">
        <v>3328</v>
      </c>
      <c r="G63" s="239" t="s">
        <v>3349</v>
      </c>
      <c r="H63" s="809">
        <v>21133</v>
      </c>
      <c r="I63" s="194">
        <v>0</v>
      </c>
      <c r="J63" s="194">
        <v>52000</v>
      </c>
      <c r="K63" s="185">
        <v>1</v>
      </c>
      <c r="L63" s="183" t="s">
        <v>4706</v>
      </c>
      <c r="M63" s="184" t="s">
        <v>3957</v>
      </c>
      <c r="N63" s="184" t="s">
        <v>3957</v>
      </c>
      <c r="O63" s="233"/>
    </row>
    <row r="64" spans="1:15" s="182" customFormat="1" ht="21.75" customHeight="1" x14ac:dyDescent="0.15">
      <c r="A64" s="151" t="s">
        <v>5986</v>
      </c>
      <c r="B64" s="20" t="s">
        <v>5414</v>
      </c>
      <c r="C64" s="184" t="s">
        <v>4941</v>
      </c>
      <c r="D64" s="184" t="s">
        <v>5098</v>
      </c>
      <c r="E64" s="184" t="s">
        <v>5415</v>
      </c>
      <c r="F64" s="267" t="s">
        <v>3328</v>
      </c>
      <c r="G64" s="239" t="s">
        <v>3349</v>
      </c>
      <c r="H64" s="807">
        <v>22027</v>
      </c>
      <c r="I64" s="194">
        <v>0</v>
      </c>
      <c r="J64" s="194">
        <v>7000</v>
      </c>
      <c r="K64" s="185">
        <v>0.1</v>
      </c>
      <c r="L64" s="183" t="s">
        <v>5743</v>
      </c>
      <c r="M64" s="184" t="s">
        <v>5771</v>
      </c>
      <c r="N64" s="184" t="s">
        <v>5771</v>
      </c>
      <c r="O64" s="233"/>
    </row>
    <row r="65" spans="1:15" s="182" customFormat="1" ht="21.75" customHeight="1" x14ac:dyDescent="0.15">
      <c r="A65" s="151" t="s">
        <v>5986</v>
      </c>
      <c r="B65" s="20" t="s">
        <v>5670</v>
      </c>
      <c r="C65" s="241" t="s">
        <v>3351</v>
      </c>
      <c r="D65" s="241" t="s">
        <v>3326</v>
      </c>
      <c r="E65" s="241" t="s">
        <v>5672</v>
      </c>
      <c r="F65" s="241" t="s">
        <v>3328</v>
      </c>
      <c r="G65" s="242" t="s">
        <v>3529</v>
      </c>
      <c r="H65" s="807">
        <v>18110</v>
      </c>
      <c r="I65" s="194">
        <v>0</v>
      </c>
      <c r="J65" s="194">
        <v>10250</v>
      </c>
      <c r="K65" s="185">
        <v>0.05</v>
      </c>
      <c r="L65" s="183" t="s">
        <v>5744</v>
      </c>
      <c r="M65" s="241" t="s">
        <v>4698</v>
      </c>
      <c r="N65" s="596" t="s">
        <v>3726</v>
      </c>
      <c r="O65" s="233"/>
    </row>
    <row r="66" spans="1:15" s="182" customFormat="1" ht="21.75" customHeight="1" x14ac:dyDescent="0.15">
      <c r="A66" s="151" t="s">
        <v>5987</v>
      </c>
      <c r="B66" s="20" t="s">
        <v>5726</v>
      </c>
      <c r="C66" s="184" t="s">
        <v>4963</v>
      </c>
      <c r="D66" s="184" t="s">
        <v>5153</v>
      </c>
      <c r="E66" s="184" t="s">
        <v>5179</v>
      </c>
      <c r="F66" s="184" t="s">
        <v>5078</v>
      </c>
      <c r="G66" s="235" t="s">
        <v>5727</v>
      </c>
      <c r="H66" s="808">
        <v>21143</v>
      </c>
      <c r="I66" s="194">
        <v>0</v>
      </c>
      <c r="J66" s="194">
        <v>8500</v>
      </c>
      <c r="K66" s="185">
        <v>0.1</v>
      </c>
      <c r="L66" s="183" t="s">
        <v>5744</v>
      </c>
      <c r="M66" s="184" t="s">
        <v>5765</v>
      </c>
      <c r="N66" s="184" t="s">
        <v>5765</v>
      </c>
      <c r="O66" s="233"/>
    </row>
    <row r="67" spans="1:15" s="182" customFormat="1" ht="21.75" customHeight="1" x14ac:dyDescent="0.15">
      <c r="A67" s="151" t="s">
        <v>5987</v>
      </c>
      <c r="B67" s="20" t="s">
        <v>4897</v>
      </c>
      <c r="C67" s="620" t="s">
        <v>3371</v>
      </c>
      <c r="D67" s="620" t="s">
        <v>3405</v>
      </c>
      <c r="E67" s="620" t="s">
        <v>4325</v>
      </c>
      <c r="F67" s="241" t="s">
        <v>3328</v>
      </c>
      <c r="G67" s="242" t="s">
        <v>3566</v>
      </c>
      <c r="H67" s="808">
        <v>20178</v>
      </c>
      <c r="I67" s="194">
        <v>0</v>
      </c>
      <c r="J67" s="194">
        <v>50000</v>
      </c>
      <c r="K67" s="185" t="s">
        <v>4960</v>
      </c>
      <c r="L67" s="183" t="s">
        <v>4706</v>
      </c>
      <c r="M67" s="184" t="s">
        <v>5835</v>
      </c>
      <c r="N67" s="184" t="s">
        <v>5835</v>
      </c>
      <c r="O67" s="233"/>
    </row>
    <row r="68" spans="1:15" s="182" customFormat="1" ht="39.75" customHeight="1" x14ac:dyDescent="0.15">
      <c r="A68" s="151" t="s">
        <v>5988</v>
      </c>
      <c r="B68" s="20" t="s">
        <v>5990</v>
      </c>
      <c r="C68" s="224" t="s">
        <v>3351</v>
      </c>
      <c r="D68" s="224" t="s">
        <v>3352</v>
      </c>
      <c r="E68" s="180" t="s">
        <v>2784</v>
      </c>
      <c r="F68" s="207" t="s">
        <v>3328</v>
      </c>
      <c r="G68" s="239" t="s">
        <v>5240</v>
      </c>
      <c r="H68" s="808">
        <v>22055</v>
      </c>
      <c r="I68" s="194">
        <v>0</v>
      </c>
      <c r="J68" s="194">
        <v>25000</v>
      </c>
      <c r="K68" s="185">
        <v>1</v>
      </c>
      <c r="L68" s="183" t="s">
        <v>4707</v>
      </c>
      <c r="M68" s="184" t="s">
        <v>5255</v>
      </c>
      <c r="N68" s="184" t="s">
        <v>5255</v>
      </c>
      <c r="O68" s="233"/>
    </row>
    <row r="69" spans="1:15" s="182" customFormat="1" ht="21.75" customHeight="1" x14ac:dyDescent="0.15">
      <c r="A69" s="151" t="s">
        <v>5988</v>
      </c>
      <c r="B69" s="20" t="s">
        <v>5989</v>
      </c>
      <c r="C69" s="224" t="s">
        <v>3346</v>
      </c>
      <c r="D69" s="234" t="s">
        <v>3457</v>
      </c>
      <c r="E69" s="207" t="s">
        <v>5991</v>
      </c>
      <c r="F69" s="224" t="s">
        <v>3340</v>
      </c>
      <c r="G69" s="239" t="s">
        <v>5240</v>
      </c>
      <c r="H69" s="181">
        <v>22142</v>
      </c>
      <c r="I69" s="194">
        <v>0</v>
      </c>
      <c r="J69" s="194">
        <v>10000</v>
      </c>
      <c r="K69" s="185">
        <v>1</v>
      </c>
      <c r="L69" s="183" t="s">
        <v>4707</v>
      </c>
      <c r="M69" s="241" t="s">
        <v>3434</v>
      </c>
      <c r="N69" s="596" t="s">
        <v>3434</v>
      </c>
      <c r="O69" s="233"/>
    </row>
    <row r="70" spans="1:15" s="182" customFormat="1" ht="21.75" customHeight="1" x14ac:dyDescent="0.15">
      <c r="A70" s="151" t="s">
        <v>5994</v>
      </c>
      <c r="B70" s="20" t="s">
        <v>5998</v>
      </c>
      <c r="C70" s="241" t="s">
        <v>3337</v>
      </c>
      <c r="D70" s="241" t="s">
        <v>3380</v>
      </c>
      <c r="E70" s="241" t="s">
        <v>3874</v>
      </c>
      <c r="F70" s="292" t="s">
        <v>3875</v>
      </c>
      <c r="G70" s="386" t="s">
        <v>3876</v>
      </c>
      <c r="H70" s="638">
        <v>19027</v>
      </c>
      <c r="I70" s="194">
        <v>0</v>
      </c>
      <c r="J70" s="194">
        <v>47537.94</v>
      </c>
      <c r="K70" s="185">
        <v>0.1</v>
      </c>
      <c r="L70" s="183" t="s">
        <v>4724</v>
      </c>
      <c r="M70" s="241" t="s">
        <v>4957</v>
      </c>
      <c r="N70" s="249" t="s">
        <v>3726</v>
      </c>
      <c r="O70" s="233"/>
    </row>
    <row r="71" spans="1:15" s="182" customFormat="1" ht="21.75" customHeight="1" x14ac:dyDescent="0.15">
      <c r="A71" s="151" t="s">
        <v>5995</v>
      </c>
      <c r="B71" s="20" t="s">
        <v>4678</v>
      </c>
      <c r="C71" s="236" t="s">
        <v>3337</v>
      </c>
      <c r="D71" s="602" t="s">
        <v>3702</v>
      </c>
      <c r="E71" s="236" t="s">
        <v>4679</v>
      </c>
      <c r="F71" s="241" t="s">
        <v>3328</v>
      </c>
      <c r="G71" s="242" t="s">
        <v>4462</v>
      </c>
      <c r="H71" s="638">
        <v>20063</v>
      </c>
      <c r="I71" s="194">
        <v>0</v>
      </c>
      <c r="J71" s="194">
        <v>4950</v>
      </c>
      <c r="K71" s="185">
        <v>0.1</v>
      </c>
      <c r="L71" s="183" t="s">
        <v>4724</v>
      </c>
      <c r="M71" s="241" t="s">
        <v>4957</v>
      </c>
      <c r="N71" s="241" t="s">
        <v>3726</v>
      </c>
      <c r="O71" s="233"/>
    </row>
    <row r="72" spans="1:15" s="182" customFormat="1" ht="21.75" customHeight="1" x14ac:dyDescent="0.15">
      <c r="A72" s="151" t="s">
        <v>5996</v>
      </c>
      <c r="B72" s="20" t="s">
        <v>5997</v>
      </c>
      <c r="C72" s="184" t="s">
        <v>4941</v>
      </c>
      <c r="D72" s="184" t="s">
        <v>5999</v>
      </c>
      <c r="E72" s="184" t="s">
        <v>6000</v>
      </c>
      <c r="F72" s="267" t="s">
        <v>3328</v>
      </c>
      <c r="G72" s="239" t="s">
        <v>5240</v>
      </c>
      <c r="H72" s="181">
        <v>22033</v>
      </c>
      <c r="I72" s="194">
        <v>0</v>
      </c>
      <c r="J72" s="194">
        <v>28500</v>
      </c>
      <c r="K72" s="185">
        <v>0.95</v>
      </c>
      <c r="L72" s="183" t="s">
        <v>6001</v>
      </c>
      <c r="M72" s="184" t="s">
        <v>5255</v>
      </c>
      <c r="N72" s="184" t="s">
        <v>5255</v>
      </c>
      <c r="O72" s="233"/>
    </row>
    <row r="73" spans="1:15" s="182" customFormat="1" ht="21.75" customHeight="1" x14ac:dyDescent="0.15">
      <c r="A73" s="151" t="s">
        <v>6002</v>
      </c>
      <c r="B73" s="20" t="s">
        <v>4937</v>
      </c>
      <c r="C73" s="810" t="s">
        <v>5373</v>
      </c>
      <c r="D73" s="810" t="s">
        <v>5028</v>
      </c>
      <c r="E73" s="810" t="s">
        <v>5374</v>
      </c>
      <c r="F73" s="184" t="s">
        <v>5078</v>
      </c>
      <c r="G73" s="239" t="s">
        <v>6004</v>
      </c>
      <c r="H73" s="181">
        <v>23028</v>
      </c>
      <c r="I73" s="194">
        <v>0</v>
      </c>
      <c r="J73" s="194">
        <v>35000</v>
      </c>
      <c r="K73" s="185">
        <v>1</v>
      </c>
      <c r="L73" s="183" t="s">
        <v>5743</v>
      </c>
      <c r="M73" s="184" t="s">
        <v>5771</v>
      </c>
      <c r="N73" s="184" t="s">
        <v>5771</v>
      </c>
      <c r="O73" s="233"/>
    </row>
    <row r="74" spans="1:15" s="182" customFormat="1" ht="21.75" customHeight="1" x14ac:dyDescent="0.15">
      <c r="A74" s="151" t="s">
        <v>6003</v>
      </c>
      <c r="B74" s="20" t="s">
        <v>5488</v>
      </c>
      <c r="C74" s="184" t="s">
        <v>4982</v>
      </c>
      <c r="D74" s="184" t="s">
        <v>5422</v>
      </c>
      <c r="E74" s="184" t="s">
        <v>5427</v>
      </c>
      <c r="F74" s="267" t="s">
        <v>3355</v>
      </c>
      <c r="G74" s="235" t="s">
        <v>5086</v>
      </c>
      <c r="H74" s="181">
        <v>23007</v>
      </c>
      <c r="I74" s="194">
        <v>0</v>
      </c>
      <c r="J74" s="194">
        <v>81900</v>
      </c>
      <c r="K74" s="185">
        <v>0.9</v>
      </c>
      <c r="L74" s="183" t="s">
        <v>5768</v>
      </c>
      <c r="M74" s="184" t="s">
        <v>693</v>
      </c>
      <c r="N74" s="184" t="s">
        <v>693</v>
      </c>
      <c r="O74" s="233"/>
    </row>
    <row r="75" spans="1:15" s="182" customFormat="1" ht="21.75" customHeight="1" x14ac:dyDescent="0.15">
      <c r="A75" s="151" t="s">
        <v>6003</v>
      </c>
      <c r="B75" s="20" t="s">
        <v>4891</v>
      </c>
      <c r="C75" s="184" t="s">
        <v>4982</v>
      </c>
      <c r="D75" s="184" t="s">
        <v>5098</v>
      </c>
      <c r="E75" s="184" t="s">
        <v>6019</v>
      </c>
      <c r="F75" s="184" t="s">
        <v>5078</v>
      </c>
      <c r="G75" s="235" t="s">
        <v>6020</v>
      </c>
      <c r="H75" s="638" t="s">
        <v>6021</v>
      </c>
      <c r="I75" s="194">
        <v>0</v>
      </c>
      <c r="J75" s="194">
        <v>5100</v>
      </c>
      <c r="K75" s="185" t="s">
        <v>6017</v>
      </c>
      <c r="L75" s="183" t="s">
        <v>806</v>
      </c>
      <c r="M75" s="184" t="s">
        <v>5835</v>
      </c>
      <c r="N75" s="184" t="s">
        <v>5835</v>
      </c>
      <c r="O75" s="233"/>
    </row>
    <row r="76" spans="1:15" s="182" customFormat="1" ht="21.75" customHeight="1" x14ac:dyDescent="0.15">
      <c r="A76" s="151" t="s">
        <v>6005</v>
      </c>
      <c r="B76" s="20" t="s">
        <v>6006</v>
      </c>
      <c r="C76" s="184" t="s">
        <v>3368</v>
      </c>
      <c r="D76" s="184" t="s">
        <v>3369</v>
      </c>
      <c r="E76" s="184" t="s">
        <v>6012</v>
      </c>
      <c r="F76" s="184" t="s">
        <v>3328</v>
      </c>
      <c r="G76" s="235" t="s">
        <v>3417</v>
      </c>
      <c r="H76" s="638" t="s">
        <v>6013</v>
      </c>
      <c r="I76" s="194">
        <v>0</v>
      </c>
      <c r="J76" s="194">
        <v>300000</v>
      </c>
      <c r="K76" s="185" t="s">
        <v>6014</v>
      </c>
      <c r="L76" s="183" t="s">
        <v>5768</v>
      </c>
      <c r="M76" s="184" t="s">
        <v>4399</v>
      </c>
      <c r="N76" s="184" t="s">
        <v>4399</v>
      </c>
      <c r="O76" s="233"/>
    </row>
    <row r="77" spans="1:15" s="182" customFormat="1" ht="21.75" customHeight="1" x14ac:dyDescent="0.15">
      <c r="A77" s="151" t="s">
        <v>6007</v>
      </c>
      <c r="B77" s="117" t="s">
        <v>5678</v>
      </c>
      <c r="C77" s="164" t="s">
        <v>3351</v>
      </c>
      <c r="D77" s="164" t="s">
        <v>3352</v>
      </c>
      <c r="E77" s="164" t="s">
        <v>5680</v>
      </c>
      <c r="F77" s="184" t="s">
        <v>5078</v>
      </c>
      <c r="G77" s="235" t="s">
        <v>5681</v>
      </c>
      <c r="H77" s="638" t="s">
        <v>6015</v>
      </c>
      <c r="I77" s="194">
        <v>0</v>
      </c>
      <c r="J77" s="194">
        <v>150000</v>
      </c>
      <c r="K77" s="185" t="s">
        <v>6016</v>
      </c>
      <c r="L77" s="183" t="s">
        <v>806</v>
      </c>
      <c r="M77" s="184" t="s">
        <v>5255</v>
      </c>
      <c r="N77" s="184" t="s">
        <v>5255</v>
      </c>
      <c r="O77" s="233"/>
    </row>
    <row r="78" spans="1:15" s="182" customFormat="1" ht="21.75" customHeight="1" x14ac:dyDescent="0.15">
      <c r="A78" s="151" t="s">
        <v>6007</v>
      </c>
      <c r="B78" s="20" t="s">
        <v>6008</v>
      </c>
      <c r="C78" s="184" t="s">
        <v>4963</v>
      </c>
      <c r="D78" s="184" t="s">
        <v>5153</v>
      </c>
      <c r="E78" s="184" t="s">
        <v>5420</v>
      </c>
      <c r="F78" s="184" t="s">
        <v>5078</v>
      </c>
      <c r="G78" s="235" t="s">
        <v>5030</v>
      </c>
      <c r="H78" s="638">
        <v>23022</v>
      </c>
      <c r="I78" s="194">
        <v>0</v>
      </c>
      <c r="J78" s="194">
        <v>80000</v>
      </c>
      <c r="K78" s="185">
        <v>1</v>
      </c>
      <c r="L78" s="183" t="s">
        <v>5743</v>
      </c>
      <c r="M78" s="184" t="s">
        <v>5765</v>
      </c>
      <c r="N78" s="184" t="s">
        <v>5765</v>
      </c>
      <c r="O78" s="233"/>
    </row>
    <row r="79" spans="1:15" s="182" customFormat="1" ht="21.75" customHeight="1" x14ac:dyDescent="0.15">
      <c r="A79" s="151" t="s">
        <v>6009</v>
      </c>
      <c r="B79" s="20" t="s">
        <v>6010</v>
      </c>
      <c r="C79" s="184" t="s">
        <v>5567</v>
      </c>
      <c r="D79" s="184" t="s">
        <v>5422</v>
      </c>
      <c r="E79" s="184" t="s">
        <v>3440</v>
      </c>
      <c r="F79" s="184" t="s">
        <v>5078</v>
      </c>
      <c r="G79" s="239" t="s">
        <v>3349</v>
      </c>
      <c r="H79" s="638">
        <v>22157</v>
      </c>
      <c r="I79" s="194">
        <v>0</v>
      </c>
      <c r="J79" s="194">
        <v>130000</v>
      </c>
      <c r="K79" s="185">
        <v>0.5</v>
      </c>
      <c r="L79" s="183" t="s">
        <v>5743</v>
      </c>
      <c r="M79" s="184" t="s">
        <v>693</v>
      </c>
      <c r="N79" s="184" t="s">
        <v>693</v>
      </c>
      <c r="O79" s="233"/>
    </row>
    <row r="80" spans="1:15" s="182" customFormat="1" ht="21.75" customHeight="1" x14ac:dyDescent="0.15">
      <c r="A80" s="151" t="s">
        <v>6011</v>
      </c>
      <c r="B80" s="20" t="s">
        <v>4891</v>
      </c>
      <c r="C80" s="184" t="s">
        <v>4982</v>
      </c>
      <c r="D80" s="184" t="s">
        <v>5098</v>
      </c>
      <c r="E80" s="184" t="s">
        <v>6019</v>
      </c>
      <c r="F80" s="184" t="s">
        <v>5078</v>
      </c>
      <c r="G80" s="235" t="s">
        <v>6020</v>
      </c>
      <c r="H80" s="638" t="s">
        <v>6021</v>
      </c>
      <c r="I80" s="194">
        <v>252300</v>
      </c>
      <c r="J80" s="194">
        <v>0</v>
      </c>
      <c r="K80" s="185" t="s">
        <v>6018</v>
      </c>
      <c r="L80" s="183" t="s">
        <v>806</v>
      </c>
      <c r="M80" s="184" t="s">
        <v>5835</v>
      </c>
      <c r="N80" s="184" t="s">
        <v>5835</v>
      </c>
      <c r="O80" s="811" t="s">
        <v>6024</v>
      </c>
    </row>
    <row r="81" spans="1:15" s="182" customFormat="1" ht="21.75" customHeight="1" x14ac:dyDescent="0.15">
      <c r="A81" s="151" t="s">
        <v>6011</v>
      </c>
      <c r="B81" s="20" t="s">
        <v>4891</v>
      </c>
      <c r="C81" s="184" t="s">
        <v>4982</v>
      </c>
      <c r="D81" s="184" t="s">
        <v>5098</v>
      </c>
      <c r="E81" s="184" t="s">
        <v>6019</v>
      </c>
      <c r="F81" s="184" t="s">
        <v>3400</v>
      </c>
      <c r="G81" s="235" t="s">
        <v>5086</v>
      </c>
      <c r="H81" s="638" t="s">
        <v>6022</v>
      </c>
      <c r="I81" s="194">
        <v>60000</v>
      </c>
      <c r="J81" s="194">
        <v>0</v>
      </c>
      <c r="K81" s="185">
        <v>0.6</v>
      </c>
      <c r="L81" s="183" t="s">
        <v>806</v>
      </c>
      <c r="M81" s="184" t="s">
        <v>5835</v>
      </c>
      <c r="N81" s="184" t="s">
        <v>5835</v>
      </c>
      <c r="O81" s="811" t="s">
        <v>6024</v>
      </c>
    </row>
    <row r="82" spans="1:15" s="182" customFormat="1" ht="21.75" customHeight="1" x14ac:dyDescent="0.15">
      <c r="A82" s="151" t="s">
        <v>6011</v>
      </c>
      <c r="B82" s="20" t="s">
        <v>4891</v>
      </c>
      <c r="C82" s="184" t="s">
        <v>4982</v>
      </c>
      <c r="D82" s="184" t="s">
        <v>5098</v>
      </c>
      <c r="E82" s="184" t="s">
        <v>6019</v>
      </c>
      <c r="F82" s="184" t="s">
        <v>5762</v>
      </c>
      <c r="G82" s="235" t="s">
        <v>5763</v>
      </c>
      <c r="H82" s="638" t="s">
        <v>6023</v>
      </c>
      <c r="I82" s="194">
        <v>75600</v>
      </c>
      <c r="J82" s="194">
        <v>0</v>
      </c>
      <c r="K82" s="185">
        <v>0.6</v>
      </c>
      <c r="L82" s="183" t="s">
        <v>806</v>
      </c>
      <c r="M82" s="184" t="s">
        <v>5835</v>
      </c>
      <c r="N82" s="184" t="s">
        <v>5835</v>
      </c>
      <c r="O82" s="811" t="s">
        <v>6024</v>
      </c>
    </row>
    <row r="83" spans="1:15" s="182" customFormat="1" ht="21.75" customHeight="1" x14ac:dyDescent="0.15">
      <c r="A83" s="151" t="s">
        <v>6025</v>
      </c>
      <c r="B83" s="20" t="s">
        <v>5409</v>
      </c>
      <c r="C83" s="184" t="s">
        <v>4963</v>
      </c>
      <c r="D83" s="184" t="s">
        <v>5153</v>
      </c>
      <c r="E83" s="184" t="s">
        <v>5420</v>
      </c>
      <c r="F83" s="267" t="s">
        <v>3328</v>
      </c>
      <c r="G83" s="239" t="s">
        <v>5240</v>
      </c>
      <c r="H83" s="638">
        <v>22029</v>
      </c>
      <c r="I83" s="194">
        <v>0</v>
      </c>
      <c r="J83" s="194">
        <v>2500</v>
      </c>
      <c r="K83" s="185">
        <v>0.1</v>
      </c>
      <c r="L83" s="183" t="s">
        <v>4724</v>
      </c>
      <c r="M83" s="184" t="s">
        <v>5765</v>
      </c>
      <c r="N83" s="184" t="s">
        <v>5765</v>
      </c>
      <c r="O83" s="811"/>
    </row>
    <row r="84" spans="1:15" s="182" customFormat="1" ht="21.75" customHeight="1" x14ac:dyDescent="0.15">
      <c r="A84" s="151" t="s">
        <v>6025</v>
      </c>
      <c r="B84" s="20" t="s">
        <v>5725</v>
      </c>
      <c r="C84" s="184" t="s">
        <v>4963</v>
      </c>
      <c r="D84" s="184" t="s">
        <v>5153</v>
      </c>
      <c r="E84" s="184" t="s">
        <v>5179</v>
      </c>
      <c r="F84" s="267" t="s">
        <v>3328</v>
      </c>
      <c r="G84" s="239" t="s">
        <v>5240</v>
      </c>
      <c r="H84" s="638">
        <v>22030</v>
      </c>
      <c r="I84" s="194">
        <v>0</v>
      </c>
      <c r="J84" s="194">
        <v>2500</v>
      </c>
      <c r="K84" s="185">
        <v>0.1</v>
      </c>
      <c r="L84" s="183" t="s">
        <v>4724</v>
      </c>
      <c r="M84" s="184" t="s">
        <v>5765</v>
      </c>
      <c r="N84" s="184" t="s">
        <v>5765</v>
      </c>
      <c r="O84" s="812"/>
    </row>
    <row r="85" spans="1:15" s="182" customFormat="1" ht="21.75" customHeight="1" x14ac:dyDescent="0.15">
      <c r="A85" s="151" t="s">
        <v>6026</v>
      </c>
      <c r="B85" s="20" t="s">
        <v>4867</v>
      </c>
      <c r="C85" s="812" t="s">
        <v>3351</v>
      </c>
      <c r="D85" s="812" t="s">
        <v>3352</v>
      </c>
      <c r="E85" s="812" t="s">
        <v>3757</v>
      </c>
      <c r="F85" s="184" t="s">
        <v>5078</v>
      </c>
      <c r="G85" s="240" t="s">
        <v>3349</v>
      </c>
      <c r="H85" s="638">
        <v>22162</v>
      </c>
      <c r="I85" s="194">
        <v>0</v>
      </c>
      <c r="J85" s="194">
        <v>80000</v>
      </c>
      <c r="K85" s="185">
        <v>1</v>
      </c>
      <c r="L85" s="183" t="s">
        <v>5743</v>
      </c>
      <c r="M85" s="241" t="s">
        <v>3726</v>
      </c>
      <c r="N85" s="241" t="s">
        <v>3726</v>
      </c>
      <c r="O85" s="812"/>
    </row>
    <row r="86" spans="1:15" s="182" customFormat="1" ht="21.75" customHeight="1" x14ac:dyDescent="0.15">
      <c r="A86" s="151" t="s">
        <v>6027</v>
      </c>
      <c r="B86" s="20" t="s">
        <v>5456</v>
      </c>
      <c r="C86" s="279" t="s">
        <v>3337</v>
      </c>
      <c r="D86" s="241" t="s">
        <v>3702</v>
      </c>
      <c r="E86" s="614" t="s">
        <v>5474</v>
      </c>
      <c r="F86" s="279" t="s">
        <v>3340</v>
      </c>
      <c r="G86" s="242" t="s">
        <v>3477</v>
      </c>
      <c r="H86" s="815">
        <v>16040</v>
      </c>
      <c r="I86" s="194">
        <v>0</v>
      </c>
      <c r="J86" s="194">
        <v>42000</v>
      </c>
      <c r="K86" s="185">
        <v>0.15</v>
      </c>
      <c r="L86" s="183" t="s">
        <v>4724</v>
      </c>
      <c r="M86" s="28" t="s">
        <v>4957</v>
      </c>
      <c r="N86" s="596" t="s">
        <v>3726</v>
      </c>
      <c r="O86" s="813"/>
    </row>
    <row r="87" spans="1:15" s="182" customFormat="1" ht="21.75" customHeight="1" x14ac:dyDescent="0.15">
      <c r="A87" s="151" t="s">
        <v>6027</v>
      </c>
      <c r="B87" s="20" t="s">
        <v>5456</v>
      </c>
      <c r="C87" s="279" t="s">
        <v>3337</v>
      </c>
      <c r="D87" s="241" t="s">
        <v>3702</v>
      </c>
      <c r="E87" s="614" t="s">
        <v>5474</v>
      </c>
      <c r="F87" s="279" t="s">
        <v>4361</v>
      </c>
      <c r="G87" s="170" t="s">
        <v>5122</v>
      </c>
      <c r="H87" s="815">
        <v>16043</v>
      </c>
      <c r="I87" s="194">
        <v>0</v>
      </c>
      <c r="J87" s="194">
        <v>36000</v>
      </c>
      <c r="K87" s="185">
        <v>0.15</v>
      </c>
      <c r="L87" s="183" t="s">
        <v>4724</v>
      </c>
      <c r="M87" s="28" t="s">
        <v>4957</v>
      </c>
      <c r="N87" s="596" t="s">
        <v>3726</v>
      </c>
      <c r="O87" s="813"/>
    </row>
    <row r="88" spans="1:15" s="182" customFormat="1" ht="21.75" customHeight="1" x14ac:dyDescent="0.15">
      <c r="A88" s="151" t="s">
        <v>6029</v>
      </c>
      <c r="B88" s="20" t="s">
        <v>5014</v>
      </c>
      <c r="C88" s="241" t="s">
        <v>3346</v>
      </c>
      <c r="D88" s="241" t="s">
        <v>3712</v>
      </c>
      <c r="E88" s="241" t="s">
        <v>3713</v>
      </c>
      <c r="F88" s="241" t="s">
        <v>3328</v>
      </c>
      <c r="G88" s="242" t="s">
        <v>6028</v>
      </c>
      <c r="H88" s="815">
        <v>20105</v>
      </c>
      <c r="I88" s="194">
        <v>0</v>
      </c>
      <c r="J88" s="194">
        <v>20000</v>
      </c>
      <c r="K88" s="185">
        <v>1</v>
      </c>
      <c r="L88" s="183" t="s">
        <v>4707</v>
      </c>
      <c r="M88" s="241" t="s">
        <v>3434</v>
      </c>
      <c r="N88" s="241" t="s">
        <v>3434</v>
      </c>
      <c r="O88" s="814"/>
    </row>
    <row r="89" spans="1:15" s="182" customFormat="1" ht="21.75" customHeight="1" x14ac:dyDescent="0.15">
      <c r="A89" s="151" t="s">
        <v>6030</v>
      </c>
      <c r="B89" s="20" t="s">
        <v>4678</v>
      </c>
      <c r="C89" s="236" t="s">
        <v>3337</v>
      </c>
      <c r="D89" s="602" t="s">
        <v>3702</v>
      </c>
      <c r="E89" s="236" t="s">
        <v>4679</v>
      </c>
      <c r="F89" s="241" t="s">
        <v>3328</v>
      </c>
      <c r="G89" s="242" t="s">
        <v>3566</v>
      </c>
      <c r="H89" s="815">
        <v>21026</v>
      </c>
      <c r="I89" s="194">
        <v>0</v>
      </c>
      <c r="J89" s="194">
        <v>70000</v>
      </c>
      <c r="K89" s="185" t="s">
        <v>6032</v>
      </c>
      <c r="L89" s="183" t="s">
        <v>4706</v>
      </c>
      <c r="M89" s="241" t="s">
        <v>4957</v>
      </c>
      <c r="N89" s="241" t="s">
        <v>3726</v>
      </c>
      <c r="O89" s="816"/>
    </row>
    <row r="90" spans="1:15" s="182" customFormat="1" ht="21.75" customHeight="1" x14ac:dyDescent="0.15">
      <c r="A90" s="151" t="s">
        <v>6031</v>
      </c>
      <c r="B90" s="20" t="s">
        <v>5454</v>
      </c>
      <c r="C90" s="817" t="s">
        <v>4941</v>
      </c>
      <c r="D90" s="817" t="s">
        <v>5901</v>
      </c>
      <c r="E90" s="817" t="s">
        <v>5902</v>
      </c>
      <c r="F90" s="267" t="s">
        <v>3328</v>
      </c>
      <c r="G90" s="235" t="s">
        <v>6033</v>
      </c>
      <c r="H90" s="638">
        <v>22024</v>
      </c>
      <c r="I90" s="194">
        <v>0</v>
      </c>
      <c r="J90" s="194">
        <v>13500</v>
      </c>
      <c r="K90" s="185">
        <v>0.05</v>
      </c>
      <c r="L90" s="183" t="s">
        <v>4727</v>
      </c>
      <c r="M90" s="184" t="s">
        <v>5255</v>
      </c>
      <c r="N90" s="184" t="s">
        <v>5255</v>
      </c>
      <c r="O90" s="816"/>
    </row>
    <row r="91" spans="1:15" s="182" customFormat="1" ht="21.75" customHeight="1" x14ac:dyDescent="0.15">
      <c r="A91" s="151" t="s">
        <v>6031</v>
      </c>
      <c r="B91" s="20" t="s">
        <v>5454</v>
      </c>
      <c r="C91" s="817" t="s">
        <v>4941</v>
      </c>
      <c r="D91" s="817" t="s">
        <v>5901</v>
      </c>
      <c r="E91" s="817" t="s">
        <v>5902</v>
      </c>
      <c r="F91" s="267" t="s">
        <v>3328</v>
      </c>
      <c r="G91" s="235" t="s">
        <v>6033</v>
      </c>
      <c r="H91" s="638">
        <v>22024</v>
      </c>
      <c r="I91" s="194">
        <v>0</v>
      </c>
      <c r="J91" s="194">
        <v>67500</v>
      </c>
      <c r="K91" s="185">
        <v>0.25</v>
      </c>
      <c r="L91" s="183" t="s">
        <v>4706</v>
      </c>
      <c r="M91" s="184" t="s">
        <v>5255</v>
      </c>
      <c r="N91" s="184" t="s">
        <v>5255</v>
      </c>
      <c r="O91" s="816"/>
    </row>
    <row r="92" spans="1:15" s="182" customFormat="1" ht="21.75" customHeight="1" x14ac:dyDescent="0.15">
      <c r="A92" s="151" t="s">
        <v>6034</v>
      </c>
      <c r="B92" s="20" t="s">
        <v>6035</v>
      </c>
      <c r="C92" s="818" t="s">
        <v>3368</v>
      </c>
      <c r="D92" s="818" t="s">
        <v>3439</v>
      </c>
      <c r="E92" s="818" t="s">
        <v>6036</v>
      </c>
      <c r="F92" s="224" t="s">
        <v>3328</v>
      </c>
      <c r="G92" s="235" t="s">
        <v>6037</v>
      </c>
      <c r="H92" s="638">
        <v>22085</v>
      </c>
      <c r="I92" s="194">
        <v>0</v>
      </c>
      <c r="J92" s="194">
        <v>28000</v>
      </c>
      <c r="K92" s="185">
        <v>1</v>
      </c>
      <c r="L92" s="183" t="s">
        <v>806</v>
      </c>
      <c r="M92" s="184" t="s">
        <v>6038</v>
      </c>
      <c r="N92" s="184" t="s">
        <v>6038</v>
      </c>
      <c r="O92" s="818"/>
    </row>
    <row r="93" spans="1:15" s="182" customFormat="1" ht="21.75" customHeight="1" x14ac:dyDescent="0.15">
      <c r="A93" s="151" t="s">
        <v>6039</v>
      </c>
      <c r="B93" s="20" t="s">
        <v>4854</v>
      </c>
      <c r="C93" s="620" t="s">
        <v>3985</v>
      </c>
      <c r="D93" s="620" t="s">
        <v>3405</v>
      </c>
      <c r="E93" s="620" t="s">
        <v>6041</v>
      </c>
      <c r="F93" s="241" t="s">
        <v>3328</v>
      </c>
      <c r="G93" s="242" t="s">
        <v>3566</v>
      </c>
      <c r="H93" s="638">
        <v>20179</v>
      </c>
      <c r="I93" s="194">
        <v>0</v>
      </c>
      <c r="J93" s="194">
        <v>200000</v>
      </c>
      <c r="K93" s="185" t="s">
        <v>6042</v>
      </c>
      <c r="L93" s="183" t="s">
        <v>5743</v>
      </c>
      <c r="M93" s="241" t="s">
        <v>3434</v>
      </c>
      <c r="N93" s="241" t="s">
        <v>3434</v>
      </c>
      <c r="O93" s="819"/>
    </row>
    <row r="94" spans="1:15" s="182" customFormat="1" ht="21.75" customHeight="1" x14ac:dyDescent="0.15">
      <c r="A94" s="151" t="s">
        <v>6040</v>
      </c>
      <c r="B94" s="20" t="s">
        <v>5662</v>
      </c>
      <c r="C94" s="279" t="s">
        <v>3346</v>
      </c>
      <c r="D94" s="241" t="s">
        <v>3637</v>
      </c>
      <c r="E94" s="597" t="s">
        <v>596</v>
      </c>
      <c r="F94" s="623" t="s">
        <v>3355</v>
      </c>
      <c r="G94" s="242" t="s">
        <v>3356</v>
      </c>
      <c r="H94" s="638">
        <v>17117</v>
      </c>
      <c r="I94" s="194">
        <v>0</v>
      </c>
      <c r="J94" s="194">
        <v>7500</v>
      </c>
      <c r="K94" s="185">
        <v>0.05</v>
      </c>
      <c r="L94" s="183" t="s">
        <v>5744</v>
      </c>
      <c r="M94" s="241" t="s">
        <v>3434</v>
      </c>
      <c r="N94" s="596" t="s">
        <v>3434</v>
      </c>
      <c r="O94" s="819"/>
    </row>
    <row r="95" spans="1:15" s="182" customFormat="1" ht="21.75" customHeight="1" x14ac:dyDescent="0.15">
      <c r="A95" s="151" t="s">
        <v>6040</v>
      </c>
      <c r="B95" s="20" t="s">
        <v>595</v>
      </c>
      <c r="C95" s="279" t="s">
        <v>3346</v>
      </c>
      <c r="D95" s="241" t="s">
        <v>3637</v>
      </c>
      <c r="E95" s="597" t="s">
        <v>596</v>
      </c>
      <c r="F95" s="623" t="s">
        <v>3355</v>
      </c>
      <c r="G95" s="242" t="s">
        <v>3356</v>
      </c>
      <c r="H95" s="638">
        <v>17117</v>
      </c>
      <c r="I95" s="194">
        <v>0</v>
      </c>
      <c r="J95" s="194">
        <v>7500</v>
      </c>
      <c r="K95" s="185">
        <v>0.05</v>
      </c>
      <c r="L95" s="183" t="s">
        <v>5744</v>
      </c>
      <c r="M95" s="241" t="s">
        <v>3434</v>
      </c>
      <c r="N95" s="596" t="s">
        <v>3434</v>
      </c>
      <c r="O95" s="819"/>
    </row>
    <row r="96" spans="1:15" s="182" customFormat="1" ht="21.75" customHeight="1" x14ac:dyDescent="0.15">
      <c r="A96" s="151" t="s">
        <v>6040</v>
      </c>
      <c r="B96" s="20" t="s">
        <v>4971</v>
      </c>
      <c r="C96" s="184" t="s">
        <v>4982</v>
      </c>
      <c r="D96" s="184" t="s">
        <v>5098</v>
      </c>
      <c r="E96" s="184" t="s">
        <v>5099</v>
      </c>
      <c r="F96" s="184" t="s">
        <v>5078</v>
      </c>
      <c r="G96" s="235" t="s">
        <v>3329</v>
      </c>
      <c r="H96" s="638" t="s">
        <v>6059</v>
      </c>
      <c r="I96" s="194">
        <v>0</v>
      </c>
      <c r="J96" s="194">
        <v>17250</v>
      </c>
      <c r="K96" s="185" t="s">
        <v>6057</v>
      </c>
      <c r="L96" s="183" t="s">
        <v>4711</v>
      </c>
      <c r="M96" s="241" t="s">
        <v>3434</v>
      </c>
      <c r="N96" s="596" t="s">
        <v>3434</v>
      </c>
      <c r="O96" s="819"/>
    </row>
    <row r="97" spans="1:15" s="182" customFormat="1" ht="21.75" customHeight="1" x14ac:dyDescent="0.15">
      <c r="A97" s="151" t="s">
        <v>6043</v>
      </c>
      <c r="B97" s="20" t="s">
        <v>5175</v>
      </c>
      <c r="C97" s="224" t="s">
        <v>3334</v>
      </c>
      <c r="D97" s="224" t="s">
        <v>3326</v>
      </c>
      <c r="E97" s="224" t="s">
        <v>3942</v>
      </c>
      <c r="F97" s="207" t="s">
        <v>3328</v>
      </c>
      <c r="G97" s="235" t="s">
        <v>5827</v>
      </c>
      <c r="H97" s="638">
        <v>21106</v>
      </c>
      <c r="I97" s="194">
        <v>0</v>
      </c>
      <c r="J97" s="194">
        <v>99300</v>
      </c>
      <c r="K97" s="185" t="s">
        <v>6042</v>
      </c>
      <c r="L97" s="183" t="s">
        <v>4706</v>
      </c>
      <c r="M97" s="241" t="s">
        <v>4708</v>
      </c>
      <c r="N97" s="596" t="s">
        <v>4708</v>
      </c>
      <c r="O97" s="820"/>
    </row>
    <row r="98" spans="1:15" s="182" customFormat="1" ht="21.75" customHeight="1" x14ac:dyDescent="0.15">
      <c r="A98" s="151" t="s">
        <v>6044</v>
      </c>
      <c r="B98" s="20" t="s">
        <v>6045</v>
      </c>
      <c r="C98" s="241" t="s">
        <v>3351</v>
      </c>
      <c r="D98" s="241" t="s">
        <v>3352</v>
      </c>
      <c r="E98" s="241" t="s">
        <v>2870</v>
      </c>
      <c r="F98" s="241" t="s">
        <v>3328</v>
      </c>
      <c r="G98" s="242" t="s">
        <v>3353</v>
      </c>
      <c r="H98" s="638">
        <v>19121</v>
      </c>
      <c r="I98" s="194">
        <v>0</v>
      </c>
      <c r="J98" s="194">
        <v>8930</v>
      </c>
      <c r="K98" s="185">
        <v>1</v>
      </c>
      <c r="L98" s="183" t="s">
        <v>4707</v>
      </c>
      <c r="M98" s="241" t="s">
        <v>4699</v>
      </c>
      <c r="N98" s="596" t="s">
        <v>3726</v>
      </c>
      <c r="O98" s="820"/>
    </row>
    <row r="99" spans="1:15" s="182" customFormat="1" ht="21.75" customHeight="1" x14ac:dyDescent="0.15">
      <c r="A99" s="151" t="s">
        <v>6044</v>
      </c>
      <c r="B99" s="20" t="s">
        <v>6045</v>
      </c>
      <c r="C99" s="236" t="s">
        <v>3351</v>
      </c>
      <c r="D99" s="602" t="s">
        <v>3352</v>
      </c>
      <c r="E99" s="236" t="s">
        <v>2866</v>
      </c>
      <c r="F99" s="241" t="s">
        <v>3328</v>
      </c>
      <c r="G99" s="822" t="s">
        <v>3349</v>
      </c>
      <c r="H99" s="638" t="s">
        <v>4504</v>
      </c>
      <c r="I99" s="194">
        <v>0</v>
      </c>
      <c r="J99" s="194">
        <v>21000</v>
      </c>
      <c r="K99" s="185">
        <v>0.3</v>
      </c>
      <c r="L99" s="183" t="s">
        <v>4706</v>
      </c>
      <c r="M99" s="241" t="s">
        <v>4699</v>
      </c>
      <c r="N99" s="596" t="s">
        <v>3726</v>
      </c>
      <c r="O99" s="820"/>
    </row>
    <row r="100" spans="1:15" s="182" customFormat="1" ht="21.75" customHeight="1" x14ac:dyDescent="0.15">
      <c r="A100" s="151" t="s">
        <v>6044</v>
      </c>
      <c r="B100" s="20" t="s">
        <v>6045</v>
      </c>
      <c r="C100" s="236" t="s">
        <v>3351</v>
      </c>
      <c r="D100" s="602" t="s">
        <v>3352</v>
      </c>
      <c r="E100" s="236" t="s">
        <v>2867</v>
      </c>
      <c r="F100" s="241" t="s">
        <v>3332</v>
      </c>
      <c r="G100" s="822" t="s">
        <v>3381</v>
      </c>
      <c r="H100" s="638" t="s">
        <v>4505</v>
      </c>
      <c r="I100" s="194">
        <v>0</v>
      </c>
      <c r="J100" s="194">
        <v>21000</v>
      </c>
      <c r="K100" s="185">
        <v>0.3</v>
      </c>
      <c r="L100" s="183" t="s">
        <v>4706</v>
      </c>
      <c r="M100" s="241" t="s">
        <v>4699</v>
      </c>
      <c r="N100" s="596" t="s">
        <v>3726</v>
      </c>
      <c r="O100" s="820"/>
    </row>
    <row r="101" spans="1:15" s="182" customFormat="1" ht="21.75" customHeight="1" x14ac:dyDescent="0.15">
      <c r="A101" s="151" t="s">
        <v>6044</v>
      </c>
      <c r="B101" s="20" t="s">
        <v>6045</v>
      </c>
      <c r="C101" s="236" t="s">
        <v>3351</v>
      </c>
      <c r="D101" s="602" t="s">
        <v>3352</v>
      </c>
      <c r="E101" s="236" t="s">
        <v>2870</v>
      </c>
      <c r="F101" s="241" t="s">
        <v>3332</v>
      </c>
      <c r="G101" s="822" t="s">
        <v>3381</v>
      </c>
      <c r="H101" s="638" t="s">
        <v>4506</v>
      </c>
      <c r="I101" s="194">
        <v>0</v>
      </c>
      <c r="J101" s="194">
        <v>21000</v>
      </c>
      <c r="K101" s="185">
        <v>0.3</v>
      </c>
      <c r="L101" s="183" t="s">
        <v>4706</v>
      </c>
      <c r="M101" s="241" t="s">
        <v>4699</v>
      </c>
      <c r="N101" s="596" t="s">
        <v>3726</v>
      </c>
      <c r="O101" s="820"/>
    </row>
    <row r="102" spans="1:15" s="182" customFormat="1" ht="21.75" customHeight="1" x14ac:dyDescent="0.15">
      <c r="A102" s="151" t="s">
        <v>6044</v>
      </c>
      <c r="B102" s="20" t="s">
        <v>6045</v>
      </c>
      <c r="C102" s="820" t="s">
        <v>3351</v>
      </c>
      <c r="D102" s="820" t="s">
        <v>3352</v>
      </c>
      <c r="E102" s="820" t="s">
        <v>2866</v>
      </c>
      <c r="F102" s="184" t="s">
        <v>5078</v>
      </c>
      <c r="G102" s="235" t="s">
        <v>3349</v>
      </c>
      <c r="H102" s="638" t="s">
        <v>6047</v>
      </c>
      <c r="I102" s="194">
        <v>0</v>
      </c>
      <c r="J102" s="194">
        <v>40998</v>
      </c>
      <c r="K102" s="185">
        <v>0.6</v>
      </c>
      <c r="L102" s="183" t="s">
        <v>4706</v>
      </c>
      <c r="M102" s="184" t="s">
        <v>5255</v>
      </c>
      <c r="N102" s="184" t="s">
        <v>5255</v>
      </c>
      <c r="O102" s="820"/>
    </row>
    <row r="103" spans="1:15" s="182" customFormat="1" ht="21.75" customHeight="1" x14ac:dyDescent="0.15">
      <c r="A103" s="151" t="s">
        <v>6044</v>
      </c>
      <c r="B103" s="20" t="s">
        <v>6045</v>
      </c>
      <c r="C103" s="820" t="s">
        <v>3351</v>
      </c>
      <c r="D103" s="820" t="s">
        <v>3352</v>
      </c>
      <c r="E103" s="820" t="s">
        <v>2867</v>
      </c>
      <c r="F103" s="184" t="s">
        <v>5078</v>
      </c>
      <c r="G103" s="235" t="s">
        <v>3381</v>
      </c>
      <c r="H103" s="638" t="s">
        <v>6048</v>
      </c>
      <c r="I103" s="194">
        <v>0</v>
      </c>
      <c r="J103" s="194">
        <v>40998</v>
      </c>
      <c r="K103" s="185">
        <v>0.6</v>
      </c>
      <c r="L103" s="183" t="s">
        <v>4706</v>
      </c>
      <c r="M103" s="184" t="s">
        <v>5255</v>
      </c>
      <c r="N103" s="184" t="s">
        <v>5255</v>
      </c>
      <c r="O103" s="820"/>
    </row>
    <row r="104" spans="1:15" s="182" customFormat="1" ht="21.75" customHeight="1" x14ac:dyDescent="0.15">
      <c r="A104" s="151" t="s">
        <v>6044</v>
      </c>
      <c r="B104" s="20" t="s">
        <v>6045</v>
      </c>
      <c r="C104" s="820" t="s">
        <v>3351</v>
      </c>
      <c r="D104" s="820" t="s">
        <v>3352</v>
      </c>
      <c r="E104" s="820" t="s">
        <v>2870</v>
      </c>
      <c r="F104" s="184" t="s">
        <v>5078</v>
      </c>
      <c r="G104" s="235" t="s">
        <v>3381</v>
      </c>
      <c r="H104" s="638" t="s">
        <v>6049</v>
      </c>
      <c r="I104" s="194">
        <v>0</v>
      </c>
      <c r="J104" s="194">
        <v>40998</v>
      </c>
      <c r="K104" s="185">
        <v>0.6</v>
      </c>
      <c r="L104" s="183" t="s">
        <v>4706</v>
      </c>
      <c r="M104" s="184" t="s">
        <v>5255</v>
      </c>
      <c r="N104" s="184" t="s">
        <v>5255</v>
      </c>
      <c r="O104" s="820"/>
    </row>
    <row r="105" spans="1:15" s="182" customFormat="1" ht="21.75" customHeight="1" x14ac:dyDescent="0.15">
      <c r="A105" s="151" t="s">
        <v>6044</v>
      </c>
      <c r="B105" s="20" t="s">
        <v>6045</v>
      </c>
      <c r="C105" s="820" t="s">
        <v>3351</v>
      </c>
      <c r="D105" s="820" t="s">
        <v>3352</v>
      </c>
      <c r="E105" s="820" t="s">
        <v>2866</v>
      </c>
      <c r="F105" s="184" t="s">
        <v>5078</v>
      </c>
      <c r="G105" s="235" t="s">
        <v>3349</v>
      </c>
      <c r="H105" s="638" t="s">
        <v>6047</v>
      </c>
      <c r="I105" s="194">
        <v>0</v>
      </c>
      <c r="J105" s="194">
        <v>27332</v>
      </c>
      <c r="K105" s="185">
        <v>0.4</v>
      </c>
      <c r="L105" s="183" t="s">
        <v>4706</v>
      </c>
      <c r="M105" s="184" t="s">
        <v>5255</v>
      </c>
      <c r="N105" s="184" t="s">
        <v>5255</v>
      </c>
      <c r="O105" s="820"/>
    </row>
    <row r="106" spans="1:15" s="182" customFormat="1" ht="21.75" customHeight="1" x14ac:dyDescent="0.15">
      <c r="A106" s="151" t="s">
        <v>6044</v>
      </c>
      <c r="B106" s="20" t="s">
        <v>6045</v>
      </c>
      <c r="C106" s="820" t="s">
        <v>3351</v>
      </c>
      <c r="D106" s="820" t="s">
        <v>3352</v>
      </c>
      <c r="E106" s="820" t="s">
        <v>2867</v>
      </c>
      <c r="F106" s="184" t="s">
        <v>5078</v>
      </c>
      <c r="G106" s="235" t="s">
        <v>3381</v>
      </c>
      <c r="H106" s="638" t="s">
        <v>6048</v>
      </c>
      <c r="I106" s="194">
        <v>0</v>
      </c>
      <c r="J106" s="194">
        <v>27332</v>
      </c>
      <c r="K106" s="185">
        <v>0.4</v>
      </c>
      <c r="L106" s="183" t="s">
        <v>4706</v>
      </c>
      <c r="M106" s="184" t="s">
        <v>5255</v>
      </c>
      <c r="N106" s="184" t="s">
        <v>5255</v>
      </c>
      <c r="O106" s="820"/>
    </row>
    <row r="107" spans="1:15" s="182" customFormat="1" ht="21.75" customHeight="1" x14ac:dyDescent="0.15">
      <c r="A107" s="151" t="s">
        <v>6044</v>
      </c>
      <c r="B107" s="20" t="s">
        <v>6045</v>
      </c>
      <c r="C107" s="820" t="s">
        <v>3351</v>
      </c>
      <c r="D107" s="820" t="s">
        <v>3352</v>
      </c>
      <c r="E107" s="820" t="s">
        <v>2870</v>
      </c>
      <c r="F107" s="184" t="s">
        <v>5078</v>
      </c>
      <c r="G107" s="235" t="s">
        <v>3381</v>
      </c>
      <c r="H107" s="638" t="s">
        <v>6049</v>
      </c>
      <c r="I107" s="194">
        <v>0</v>
      </c>
      <c r="J107" s="194">
        <v>27332</v>
      </c>
      <c r="K107" s="185">
        <v>0.4</v>
      </c>
      <c r="L107" s="183" t="s">
        <v>4706</v>
      </c>
      <c r="M107" s="184" t="s">
        <v>5255</v>
      </c>
      <c r="N107" s="184" t="s">
        <v>5255</v>
      </c>
      <c r="O107" s="820"/>
    </row>
    <row r="108" spans="1:15" s="182" customFormat="1" ht="21.75" customHeight="1" x14ac:dyDescent="0.15">
      <c r="A108" s="151" t="s">
        <v>6044</v>
      </c>
      <c r="B108" s="20" t="s">
        <v>6045</v>
      </c>
      <c r="C108" s="820" t="s">
        <v>3351</v>
      </c>
      <c r="D108" s="820" t="s">
        <v>3352</v>
      </c>
      <c r="E108" s="820" t="s">
        <v>2866</v>
      </c>
      <c r="F108" s="224" t="s">
        <v>3328</v>
      </c>
      <c r="G108" s="239" t="s">
        <v>5240</v>
      </c>
      <c r="H108" s="638" t="s">
        <v>6050</v>
      </c>
      <c r="I108" s="194">
        <v>0</v>
      </c>
      <c r="J108" s="194">
        <v>25000</v>
      </c>
      <c r="K108" s="185">
        <v>1</v>
      </c>
      <c r="L108" s="183" t="s">
        <v>4707</v>
      </c>
      <c r="M108" s="184" t="s">
        <v>5255</v>
      </c>
      <c r="N108" s="184" t="s">
        <v>5255</v>
      </c>
      <c r="O108" s="820"/>
    </row>
    <row r="109" spans="1:15" s="182" customFormat="1" ht="21.75" customHeight="1" x14ac:dyDescent="0.15">
      <c r="A109" s="151" t="s">
        <v>6044</v>
      </c>
      <c r="B109" s="20" t="s">
        <v>6045</v>
      </c>
      <c r="C109" s="820" t="s">
        <v>3351</v>
      </c>
      <c r="D109" s="820" t="s">
        <v>3352</v>
      </c>
      <c r="E109" s="820" t="s">
        <v>2867</v>
      </c>
      <c r="F109" s="224" t="s">
        <v>3328</v>
      </c>
      <c r="G109" s="239" t="s">
        <v>5240</v>
      </c>
      <c r="H109" s="638" t="s">
        <v>6051</v>
      </c>
      <c r="I109" s="194">
        <v>0</v>
      </c>
      <c r="J109" s="194">
        <v>25000</v>
      </c>
      <c r="K109" s="185">
        <v>1</v>
      </c>
      <c r="L109" s="183" t="s">
        <v>4707</v>
      </c>
      <c r="M109" s="184" t="s">
        <v>5255</v>
      </c>
      <c r="N109" s="184" t="s">
        <v>5255</v>
      </c>
      <c r="O109" s="820"/>
    </row>
    <row r="110" spans="1:15" s="182" customFormat="1" ht="21.75" customHeight="1" x14ac:dyDescent="0.15">
      <c r="A110" s="151" t="s">
        <v>6044</v>
      </c>
      <c r="B110" s="20" t="s">
        <v>6045</v>
      </c>
      <c r="C110" s="820" t="s">
        <v>3351</v>
      </c>
      <c r="D110" s="820" t="s">
        <v>3352</v>
      </c>
      <c r="E110" s="820" t="s">
        <v>2870</v>
      </c>
      <c r="F110" s="224" t="s">
        <v>3328</v>
      </c>
      <c r="G110" s="239" t="s">
        <v>5240</v>
      </c>
      <c r="H110" s="638" t="s">
        <v>6052</v>
      </c>
      <c r="I110" s="194">
        <v>0</v>
      </c>
      <c r="J110" s="194">
        <v>25000</v>
      </c>
      <c r="K110" s="185">
        <v>1</v>
      </c>
      <c r="L110" s="183" t="s">
        <v>4707</v>
      </c>
      <c r="M110" s="184" t="s">
        <v>5255</v>
      </c>
      <c r="N110" s="184" t="s">
        <v>5255</v>
      </c>
      <c r="O110" s="820"/>
    </row>
    <row r="111" spans="1:15" s="182" customFormat="1" ht="21.75" customHeight="1" x14ac:dyDescent="0.15">
      <c r="A111" s="151" t="s">
        <v>6044</v>
      </c>
      <c r="B111" s="20" t="s">
        <v>6046</v>
      </c>
      <c r="C111" s="224" t="s">
        <v>3351</v>
      </c>
      <c r="D111" s="224" t="s">
        <v>3352</v>
      </c>
      <c r="E111" s="180" t="s">
        <v>3688</v>
      </c>
      <c r="F111" s="224" t="s">
        <v>3328</v>
      </c>
      <c r="G111" s="239" t="s">
        <v>5240</v>
      </c>
      <c r="H111" s="638">
        <v>22074</v>
      </c>
      <c r="I111" s="194">
        <v>0</v>
      </c>
      <c r="J111" s="194">
        <v>25000</v>
      </c>
      <c r="K111" s="185">
        <v>1</v>
      </c>
      <c r="L111" s="183" t="s">
        <v>4707</v>
      </c>
      <c r="M111" s="184" t="s">
        <v>5255</v>
      </c>
      <c r="N111" s="184" t="s">
        <v>5255</v>
      </c>
      <c r="O111" s="820"/>
    </row>
    <row r="112" spans="1:15" s="182" customFormat="1" ht="21.75" customHeight="1" x14ac:dyDescent="0.15">
      <c r="A112" s="151" t="s">
        <v>6044</v>
      </c>
      <c r="B112" s="20" t="s">
        <v>6046</v>
      </c>
      <c r="C112" s="224" t="s">
        <v>3351</v>
      </c>
      <c r="D112" s="224" t="s">
        <v>3352</v>
      </c>
      <c r="E112" s="180" t="s">
        <v>3688</v>
      </c>
      <c r="F112" s="224" t="s">
        <v>3328</v>
      </c>
      <c r="G112" s="239" t="s">
        <v>3349</v>
      </c>
      <c r="H112" s="181">
        <v>22149</v>
      </c>
      <c r="I112" s="194">
        <v>0</v>
      </c>
      <c r="J112" s="194">
        <v>42000</v>
      </c>
      <c r="K112" s="185">
        <v>0.6</v>
      </c>
      <c r="L112" s="183" t="s">
        <v>4706</v>
      </c>
      <c r="M112" s="184" t="s">
        <v>5255</v>
      </c>
      <c r="N112" s="184" t="s">
        <v>5255</v>
      </c>
      <c r="O112" s="820"/>
    </row>
    <row r="113" spans="1:15" s="182" customFormat="1" ht="21.75" customHeight="1" x14ac:dyDescent="0.15">
      <c r="A113" s="151" t="s">
        <v>6044</v>
      </c>
      <c r="B113" s="20" t="s">
        <v>6046</v>
      </c>
      <c r="C113" s="224" t="s">
        <v>3351</v>
      </c>
      <c r="D113" s="224" t="s">
        <v>3352</v>
      </c>
      <c r="E113" s="180" t="s">
        <v>3688</v>
      </c>
      <c r="F113" s="224" t="s">
        <v>3328</v>
      </c>
      <c r="G113" s="239" t="s">
        <v>3349</v>
      </c>
      <c r="H113" s="181">
        <v>22149</v>
      </c>
      <c r="I113" s="194">
        <v>0</v>
      </c>
      <c r="J113" s="194">
        <v>28000</v>
      </c>
      <c r="K113" s="185">
        <v>0.4</v>
      </c>
      <c r="L113" s="183" t="s">
        <v>4706</v>
      </c>
      <c r="M113" s="184" t="s">
        <v>5255</v>
      </c>
      <c r="N113" s="184" t="s">
        <v>5255</v>
      </c>
      <c r="O113" s="820"/>
    </row>
    <row r="114" spans="1:15" s="182" customFormat="1" ht="21.75" customHeight="1" x14ac:dyDescent="0.15">
      <c r="A114" s="151" t="s">
        <v>6044</v>
      </c>
      <c r="B114" s="20" t="s">
        <v>4790</v>
      </c>
      <c r="C114" s="241" t="s">
        <v>3384</v>
      </c>
      <c r="D114" s="241" t="s">
        <v>3354</v>
      </c>
      <c r="E114" s="241" t="s">
        <v>4792</v>
      </c>
      <c r="F114" s="279" t="s">
        <v>4178</v>
      </c>
      <c r="G114" s="242" t="s">
        <v>4622</v>
      </c>
      <c r="H114" s="638">
        <v>21054</v>
      </c>
      <c r="I114" s="194">
        <v>0</v>
      </c>
      <c r="J114" s="194">
        <v>2250</v>
      </c>
      <c r="K114" s="185">
        <v>0.05</v>
      </c>
      <c r="L114" s="183" t="s">
        <v>5744</v>
      </c>
      <c r="M114" s="241" t="s">
        <v>4708</v>
      </c>
      <c r="N114" s="241" t="s">
        <v>4708</v>
      </c>
      <c r="O114" s="821"/>
    </row>
    <row r="115" spans="1:15" s="182" customFormat="1" ht="21.75" customHeight="1" x14ac:dyDescent="0.15">
      <c r="A115" s="151" t="s">
        <v>6053</v>
      </c>
      <c r="B115" s="20" t="s">
        <v>5436</v>
      </c>
      <c r="C115" s="236" t="s">
        <v>3337</v>
      </c>
      <c r="D115" s="824" t="s">
        <v>3380</v>
      </c>
      <c r="E115" s="236" t="s">
        <v>3874</v>
      </c>
      <c r="F115" s="184" t="s">
        <v>4944</v>
      </c>
      <c r="G115" s="235" t="s">
        <v>5903</v>
      </c>
      <c r="H115" s="638">
        <v>22034</v>
      </c>
      <c r="I115" s="194">
        <v>0</v>
      </c>
      <c r="J115" s="194">
        <v>120000</v>
      </c>
      <c r="K115" s="185">
        <v>1</v>
      </c>
      <c r="L115" s="183" t="s">
        <v>4707</v>
      </c>
      <c r="M115" s="241" t="s">
        <v>3726</v>
      </c>
      <c r="N115" s="241" t="s">
        <v>3726</v>
      </c>
      <c r="O115" s="823"/>
    </row>
    <row r="116" spans="1:15" s="182" customFormat="1" ht="21.75" customHeight="1" x14ac:dyDescent="0.15">
      <c r="A116" s="151" t="s">
        <v>6053</v>
      </c>
      <c r="B116" s="20" t="s">
        <v>595</v>
      </c>
      <c r="C116" s="184" t="s">
        <v>4982</v>
      </c>
      <c r="D116" s="184" t="s">
        <v>5721</v>
      </c>
      <c r="E116" s="184" t="s">
        <v>820</v>
      </c>
      <c r="F116" s="292" t="s">
        <v>3328</v>
      </c>
      <c r="G116" s="235" t="s">
        <v>3381</v>
      </c>
      <c r="H116" s="638">
        <v>22067</v>
      </c>
      <c r="I116" s="194">
        <v>0</v>
      </c>
      <c r="J116" s="194">
        <v>20000</v>
      </c>
      <c r="K116" s="185">
        <v>0.25</v>
      </c>
      <c r="L116" s="183" t="s">
        <v>4706</v>
      </c>
      <c r="M116" s="184" t="s">
        <v>3434</v>
      </c>
      <c r="N116" s="184" t="s">
        <v>5771</v>
      </c>
      <c r="O116" s="823"/>
    </row>
    <row r="117" spans="1:15" s="182" customFormat="1" ht="21.75" customHeight="1" x14ac:dyDescent="0.15">
      <c r="A117" s="151" t="s">
        <v>6053</v>
      </c>
      <c r="B117" s="20" t="s">
        <v>5662</v>
      </c>
      <c r="C117" s="184" t="s">
        <v>4982</v>
      </c>
      <c r="D117" s="184" t="s">
        <v>5721</v>
      </c>
      <c r="E117" s="184" t="s">
        <v>820</v>
      </c>
      <c r="F117" s="292" t="s">
        <v>3328</v>
      </c>
      <c r="G117" s="235" t="s">
        <v>3381</v>
      </c>
      <c r="H117" s="638">
        <v>22067</v>
      </c>
      <c r="I117" s="194">
        <v>0</v>
      </c>
      <c r="J117" s="194">
        <v>20000</v>
      </c>
      <c r="K117" s="185">
        <v>0.25</v>
      </c>
      <c r="L117" s="183" t="s">
        <v>4706</v>
      </c>
      <c r="M117" s="184" t="s">
        <v>3434</v>
      </c>
      <c r="N117" s="184" t="s">
        <v>5771</v>
      </c>
      <c r="O117" s="823"/>
    </row>
    <row r="118" spans="1:15" s="182" customFormat="1" ht="21.75" customHeight="1" x14ac:dyDescent="0.15">
      <c r="A118" s="151" t="s">
        <v>6053</v>
      </c>
      <c r="B118" s="20" t="s">
        <v>5460</v>
      </c>
      <c r="C118" s="825" t="s">
        <v>4941</v>
      </c>
      <c r="D118" s="825" t="s">
        <v>5018</v>
      </c>
      <c r="E118" s="825" t="s">
        <v>6054</v>
      </c>
      <c r="F118" s="184" t="s">
        <v>5078</v>
      </c>
      <c r="G118" s="239" t="s">
        <v>5240</v>
      </c>
      <c r="H118" s="638">
        <v>22108</v>
      </c>
      <c r="I118" s="194">
        <v>0</v>
      </c>
      <c r="J118" s="194">
        <v>25000</v>
      </c>
      <c r="K118" s="185">
        <v>1</v>
      </c>
      <c r="L118" s="183" t="s">
        <v>4707</v>
      </c>
      <c r="M118" s="184" t="s">
        <v>5255</v>
      </c>
      <c r="N118" s="184" t="s">
        <v>5255</v>
      </c>
      <c r="O118" s="823"/>
    </row>
    <row r="119" spans="1:15" s="182" customFormat="1" ht="21.75" customHeight="1" x14ac:dyDescent="0.15">
      <c r="A119" s="151" t="s">
        <v>6055</v>
      </c>
      <c r="B119" s="20" t="s">
        <v>6056</v>
      </c>
      <c r="C119" s="184" t="s">
        <v>4982</v>
      </c>
      <c r="D119" s="184" t="s">
        <v>5098</v>
      </c>
      <c r="E119" s="184" t="s">
        <v>5099</v>
      </c>
      <c r="F119" s="184" t="s">
        <v>5078</v>
      </c>
      <c r="G119" s="235" t="s">
        <v>3329</v>
      </c>
      <c r="H119" s="638" t="s">
        <v>6059</v>
      </c>
      <c r="I119" s="194">
        <v>197850</v>
      </c>
      <c r="J119" s="194">
        <v>0</v>
      </c>
      <c r="K119" s="185" t="s">
        <v>6058</v>
      </c>
      <c r="L119" s="183" t="s">
        <v>4711</v>
      </c>
      <c r="M119" s="241" t="s">
        <v>3434</v>
      </c>
      <c r="N119" s="596" t="s">
        <v>3434</v>
      </c>
      <c r="O119" s="826" t="s">
        <v>6061</v>
      </c>
    </row>
    <row r="120" spans="1:15" s="182" customFormat="1" ht="21.75" customHeight="1" x14ac:dyDescent="0.15">
      <c r="A120" s="151" t="s">
        <v>6055</v>
      </c>
      <c r="B120" s="20" t="s">
        <v>6056</v>
      </c>
      <c r="C120" s="184" t="s">
        <v>4982</v>
      </c>
      <c r="D120" s="184" t="s">
        <v>5098</v>
      </c>
      <c r="E120" s="184" t="s">
        <v>5099</v>
      </c>
      <c r="F120" s="184" t="s">
        <v>3400</v>
      </c>
      <c r="G120" s="235" t="s">
        <v>5086</v>
      </c>
      <c r="H120" s="638" t="s">
        <v>6060</v>
      </c>
      <c r="I120" s="194">
        <v>30150</v>
      </c>
      <c r="J120" s="194">
        <v>0</v>
      </c>
      <c r="K120" s="185">
        <v>0.45</v>
      </c>
      <c r="L120" s="183" t="s">
        <v>4711</v>
      </c>
      <c r="M120" s="241" t="s">
        <v>3434</v>
      </c>
      <c r="N120" s="596" t="s">
        <v>3434</v>
      </c>
      <c r="O120" s="827" t="s">
        <v>6061</v>
      </c>
    </row>
    <row r="121" spans="1:15" s="182" customFormat="1" ht="21.75" customHeight="1" x14ac:dyDescent="0.15">
      <c r="A121" s="151" t="s">
        <v>6062</v>
      </c>
      <c r="B121" s="20" t="s">
        <v>6064</v>
      </c>
      <c r="C121" s="828" t="s">
        <v>3346</v>
      </c>
      <c r="D121" s="828" t="s">
        <v>6065</v>
      </c>
      <c r="E121" s="828" t="s">
        <v>6066</v>
      </c>
      <c r="F121" s="184" t="s">
        <v>5078</v>
      </c>
      <c r="G121" s="235" t="s">
        <v>3529</v>
      </c>
      <c r="H121" s="638">
        <v>22186</v>
      </c>
      <c r="I121" s="194">
        <v>0</v>
      </c>
      <c r="J121" s="194">
        <v>80000</v>
      </c>
      <c r="K121" s="185">
        <v>1</v>
      </c>
      <c r="L121" s="183" t="s">
        <v>4707</v>
      </c>
      <c r="M121" s="241" t="s">
        <v>3434</v>
      </c>
      <c r="N121" s="596" t="s">
        <v>3434</v>
      </c>
      <c r="O121" s="828"/>
    </row>
    <row r="122" spans="1:15" s="182" customFormat="1" ht="21.75" customHeight="1" x14ac:dyDescent="0.15">
      <c r="A122" s="151" t="s">
        <v>6063</v>
      </c>
      <c r="B122" s="226" t="s">
        <v>6067</v>
      </c>
      <c r="C122" s="224" t="s">
        <v>3363</v>
      </c>
      <c r="D122" s="224" t="s">
        <v>3457</v>
      </c>
      <c r="E122" s="224" t="s">
        <v>3458</v>
      </c>
      <c r="F122" s="207" t="s">
        <v>3328</v>
      </c>
      <c r="G122" s="235" t="s">
        <v>5249</v>
      </c>
      <c r="H122" s="638">
        <v>22017</v>
      </c>
      <c r="I122" s="194">
        <v>0</v>
      </c>
      <c r="J122" s="194">
        <v>23000</v>
      </c>
      <c r="K122" s="185">
        <v>1</v>
      </c>
      <c r="L122" s="183" t="s">
        <v>4707</v>
      </c>
      <c r="M122" s="241" t="s">
        <v>3957</v>
      </c>
      <c r="N122" s="596" t="s">
        <v>3957</v>
      </c>
      <c r="O122" s="828"/>
    </row>
    <row r="123" spans="1:15" s="182" customFormat="1" ht="21.75" customHeight="1" x14ac:dyDescent="0.15">
      <c r="A123" s="151" t="s">
        <v>6068</v>
      </c>
      <c r="B123" s="226" t="s">
        <v>6069</v>
      </c>
      <c r="C123" s="184" t="s">
        <v>4941</v>
      </c>
      <c r="D123" s="184" t="s">
        <v>5541</v>
      </c>
      <c r="E123" s="184" t="s">
        <v>6070</v>
      </c>
      <c r="F123" s="184" t="s">
        <v>5078</v>
      </c>
      <c r="G123" s="235" t="s">
        <v>3329</v>
      </c>
      <c r="H123" s="181">
        <v>22139</v>
      </c>
      <c r="I123" s="194">
        <v>0</v>
      </c>
      <c r="J123" s="194">
        <v>80000</v>
      </c>
      <c r="K123" s="185">
        <v>0.5</v>
      </c>
      <c r="L123" s="183" t="s">
        <v>4711</v>
      </c>
      <c r="M123" s="184" t="s">
        <v>3726</v>
      </c>
      <c r="N123" s="184" t="s">
        <v>3726</v>
      </c>
      <c r="O123" s="829"/>
    </row>
    <row r="124" spans="1:15" s="182" customFormat="1" ht="21.75" customHeight="1" x14ac:dyDescent="0.15">
      <c r="A124" s="151" t="s">
        <v>6071</v>
      </c>
      <c r="B124" s="226" t="s">
        <v>6073</v>
      </c>
      <c r="C124" s="236" t="s">
        <v>3363</v>
      </c>
      <c r="D124" s="831" t="s">
        <v>3967</v>
      </c>
      <c r="E124" s="180" t="s">
        <v>3968</v>
      </c>
      <c r="F124" s="224" t="s">
        <v>3328</v>
      </c>
      <c r="G124" s="239" t="s">
        <v>3349</v>
      </c>
      <c r="H124" s="638">
        <v>22110</v>
      </c>
      <c r="I124" s="194">
        <v>0</v>
      </c>
      <c r="J124" s="194">
        <v>24000</v>
      </c>
      <c r="K124" s="185">
        <v>0.8</v>
      </c>
      <c r="L124" s="183" t="s">
        <v>4706</v>
      </c>
      <c r="M124" s="184" t="s">
        <v>3957</v>
      </c>
      <c r="N124" s="184" t="s">
        <v>3957</v>
      </c>
      <c r="O124" s="830"/>
    </row>
    <row r="125" spans="1:15" s="182" customFormat="1" ht="21.75" customHeight="1" x14ac:dyDescent="0.15">
      <c r="A125" s="151" t="s">
        <v>6071</v>
      </c>
      <c r="B125" s="226" t="s">
        <v>6074</v>
      </c>
      <c r="C125" s="236" t="s">
        <v>3363</v>
      </c>
      <c r="D125" s="831" t="s">
        <v>3967</v>
      </c>
      <c r="E125" s="180" t="s">
        <v>3969</v>
      </c>
      <c r="F125" s="224" t="s">
        <v>3328</v>
      </c>
      <c r="G125" s="239" t="s">
        <v>3349</v>
      </c>
      <c r="H125" s="638">
        <v>22111</v>
      </c>
      <c r="I125" s="194">
        <v>0</v>
      </c>
      <c r="J125" s="194">
        <v>24000</v>
      </c>
      <c r="K125" s="185">
        <v>0.8</v>
      </c>
      <c r="L125" s="183" t="s">
        <v>4706</v>
      </c>
      <c r="M125" s="184" t="s">
        <v>3957</v>
      </c>
      <c r="N125" s="184" t="s">
        <v>3957</v>
      </c>
      <c r="O125" s="830"/>
    </row>
    <row r="126" spans="1:15" s="182" customFormat="1" ht="21.75" customHeight="1" x14ac:dyDescent="0.15">
      <c r="A126" s="151" t="s">
        <v>6072</v>
      </c>
      <c r="B126" s="226" t="s">
        <v>6075</v>
      </c>
      <c r="C126" s="832" t="s">
        <v>5567</v>
      </c>
      <c r="D126" s="832" t="s">
        <v>5422</v>
      </c>
      <c r="E126" s="832" t="s">
        <v>5774</v>
      </c>
      <c r="F126" s="184" t="s">
        <v>3328</v>
      </c>
      <c r="G126" s="235" t="s">
        <v>5030</v>
      </c>
      <c r="H126" s="638">
        <v>21161</v>
      </c>
      <c r="I126" s="194">
        <v>0</v>
      </c>
      <c r="J126" s="194">
        <v>48000</v>
      </c>
      <c r="K126" s="185">
        <v>0.5</v>
      </c>
      <c r="L126" s="183" t="s">
        <v>4706</v>
      </c>
      <c r="M126" s="184" t="s">
        <v>693</v>
      </c>
      <c r="N126" s="184" t="s">
        <v>693</v>
      </c>
      <c r="O126" s="830"/>
    </row>
    <row r="127" spans="1:15" s="182" customFormat="1" ht="21.75" customHeight="1" x14ac:dyDescent="0.15">
      <c r="A127" s="151" t="s">
        <v>6072</v>
      </c>
      <c r="B127" s="226" t="s">
        <v>6076</v>
      </c>
      <c r="C127" s="606"/>
      <c r="D127" s="606"/>
      <c r="E127" s="606"/>
      <c r="F127" s="606"/>
      <c r="G127" s="607"/>
      <c r="H127" s="610">
        <v>21022</v>
      </c>
      <c r="I127" s="194">
        <v>0</v>
      </c>
      <c r="J127" s="194">
        <v>2820</v>
      </c>
      <c r="K127" s="185">
        <v>0.03</v>
      </c>
      <c r="L127" s="183" t="s">
        <v>4724</v>
      </c>
      <c r="M127" s="184" t="s">
        <v>3433</v>
      </c>
      <c r="N127" s="184" t="s">
        <v>3433</v>
      </c>
      <c r="O127" s="830"/>
    </row>
    <row r="128" spans="1:15" s="182" customFormat="1" ht="21.75" customHeight="1" x14ac:dyDescent="0.15">
      <c r="A128" s="151" t="s">
        <v>6072</v>
      </c>
      <c r="B128" s="226" t="s">
        <v>6076</v>
      </c>
      <c r="C128" s="832" t="s">
        <v>4982</v>
      </c>
      <c r="D128" s="184" t="s">
        <v>5422</v>
      </c>
      <c r="E128" s="832" t="s">
        <v>5506</v>
      </c>
      <c r="F128" s="184" t="s">
        <v>5078</v>
      </c>
      <c r="G128" s="235" t="s">
        <v>5249</v>
      </c>
      <c r="H128" s="638" t="s">
        <v>5504</v>
      </c>
      <c r="I128" s="194">
        <v>0</v>
      </c>
      <c r="J128" s="194">
        <v>4400</v>
      </c>
      <c r="K128" s="185" t="s">
        <v>6078</v>
      </c>
      <c r="L128" s="183" t="s">
        <v>4759</v>
      </c>
      <c r="M128" s="184" t="s">
        <v>3433</v>
      </c>
      <c r="N128" s="184" t="s">
        <v>3433</v>
      </c>
      <c r="O128" s="830"/>
    </row>
    <row r="129" spans="1:15" s="182" customFormat="1" ht="21.75" customHeight="1" x14ac:dyDescent="0.15">
      <c r="A129" s="151" t="s">
        <v>6072</v>
      </c>
      <c r="B129" s="226" t="s">
        <v>6077</v>
      </c>
      <c r="C129" s="236" t="s">
        <v>3346</v>
      </c>
      <c r="D129" s="831" t="s">
        <v>3457</v>
      </c>
      <c r="E129" s="180" t="s">
        <v>4080</v>
      </c>
      <c r="F129" s="184" t="s">
        <v>4944</v>
      </c>
      <c r="G129" s="235" t="s">
        <v>3349</v>
      </c>
      <c r="H129" s="638">
        <v>23029</v>
      </c>
      <c r="I129" s="194">
        <v>0</v>
      </c>
      <c r="J129" s="194">
        <v>80000</v>
      </c>
      <c r="K129" s="185">
        <v>1</v>
      </c>
      <c r="L129" s="183" t="s">
        <v>4706</v>
      </c>
      <c r="M129" s="184" t="s">
        <v>3434</v>
      </c>
      <c r="N129" s="184" t="s">
        <v>3434</v>
      </c>
      <c r="O129" s="830"/>
    </row>
    <row r="130" spans="1:15" s="182" customFormat="1" ht="21.75" customHeight="1" x14ac:dyDescent="0.15">
      <c r="A130" s="151" t="s">
        <v>6079</v>
      </c>
      <c r="B130" s="226" t="s">
        <v>6082</v>
      </c>
      <c r="C130" s="236" t="s">
        <v>3363</v>
      </c>
      <c r="D130" s="835" t="s">
        <v>3967</v>
      </c>
      <c r="E130" s="180" t="s">
        <v>3975</v>
      </c>
      <c r="F130" s="224" t="s">
        <v>3328</v>
      </c>
      <c r="G130" s="239" t="s">
        <v>3349</v>
      </c>
      <c r="H130" s="638">
        <v>22109</v>
      </c>
      <c r="I130" s="194">
        <v>0</v>
      </c>
      <c r="J130" s="194">
        <v>24000</v>
      </c>
      <c r="K130" s="185">
        <v>0.8</v>
      </c>
      <c r="L130" s="183" t="s">
        <v>4706</v>
      </c>
      <c r="M130" s="184" t="s">
        <v>3957</v>
      </c>
      <c r="N130" s="184" t="s">
        <v>3957</v>
      </c>
      <c r="O130" s="833"/>
    </row>
    <row r="131" spans="1:15" s="182" customFormat="1" ht="21.75" customHeight="1" x14ac:dyDescent="0.15">
      <c r="A131" s="151" t="s">
        <v>6080</v>
      </c>
      <c r="B131" s="226" t="s">
        <v>6083</v>
      </c>
      <c r="C131" s="275" t="s">
        <v>3330</v>
      </c>
      <c r="D131" s="241" t="s">
        <v>3374</v>
      </c>
      <c r="E131" s="275" t="s">
        <v>3521</v>
      </c>
      <c r="F131" s="599" t="s">
        <v>3366</v>
      </c>
      <c r="G131" s="242" t="s">
        <v>3378</v>
      </c>
      <c r="H131" s="638">
        <v>17136</v>
      </c>
      <c r="I131" s="194">
        <v>0</v>
      </c>
      <c r="J131" s="194">
        <v>32736</v>
      </c>
      <c r="K131" s="185">
        <v>0.1</v>
      </c>
      <c r="L131" s="183" t="s">
        <v>4724</v>
      </c>
      <c r="M131" s="241" t="s">
        <v>4699</v>
      </c>
      <c r="N131" s="596" t="s">
        <v>3726</v>
      </c>
      <c r="O131" s="833"/>
    </row>
    <row r="132" spans="1:15" s="182" customFormat="1" ht="21.75" customHeight="1" x14ac:dyDescent="0.15">
      <c r="A132" s="151" t="s">
        <v>6081</v>
      </c>
      <c r="B132" s="226" t="s">
        <v>6084</v>
      </c>
      <c r="C132" s="184" t="s">
        <v>4963</v>
      </c>
      <c r="D132" s="184" t="s">
        <v>5028</v>
      </c>
      <c r="E132" s="184" t="s">
        <v>5722</v>
      </c>
      <c r="F132" s="224" t="s">
        <v>3328</v>
      </c>
      <c r="G132" s="239" t="s">
        <v>3386</v>
      </c>
      <c r="H132" s="638">
        <v>23048</v>
      </c>
      <c r="I132" s="194">
        <v>0</v>
      </c>
      <c r="J132" s="194">
        <v>15000</v>
      </c>
      <c r="K132" s="185">
        <v>1</v>
      </c>
      <c r="L132" s="183" t="s">
        <v>4707</v>
      </c>
      <c r="M132" s="184" t="s">
        <v>5765</v>
      </c>
      <c r="N132" s="184" t="s">
        <v>5765</v>
      </c>
      <c r="O132" s="833"/>
    </row>
    <row r="133" spans="1:15" s="182" customFormat="1" ht="21.75" customHeight="1" x14ac:dyDescent="0.15">
      <c r="A133" s="151" t="s">
        <v>6081</v>
      </c>
      <c r="B133" s="226" t="s">
        <v>6085</v>
      </c>
      <c r="C133" s="184" t="s">
        <v>3985</v>
      </c>
      <c r="D133" s="184" t="s">
        <v>3572</v>
      </c>
      <c r="E133" s="184" t="s">
        <v>5697</v>
      </c>
      <c r="F133" s="224" t="s">
        <v>3328</v>
      </c>
      <c r="G133" s="239" t="s">
        <v>3386</v>
      </c>
      <c r="H133" s="638">
        <v>23050</v>
      </c>
      <c r="I133" s="194">
        <v>0</v>
      </c>
      <c r="J133" s="194">
        <v>15000</v>
      </c>
      <c r="K133" s="185">
        <v>1</v>
      </c>
      <c r="L133" s="183" t="s">
        <v>4707</v>
      </c>
      <c r="M133" s="184" t="s">
        <v>5765</v>
      </c>
      <c r="N133" s="184" t="s">
        <v>5765</v>
      </c>
      <c r="O133" s="834"/>
    </row>
    <row r="134" spans="1:15" s="182" customFormat="1" ht="21.75" customHeight="1" x14ac:dyDescent="0.15">
      <c r="A134" s="151" t="s">
        <v>6086</v>
      </c>
      <c r="B134" s="226" t="s">
        <v>770</v>
      </c>
      <c r="C134" s="184" t="s">
        <v>4963</v>
      </c>
      <c r="D134" s="184" t="s">
        <v>4964</v>
      </c>
      <c r="E134" s="184" t="s">
        <v>5041</v>
      </c>
      <c r="F134" s="207" t="s">
        <v>3328</v>
      </c>
      <c r="G134" s="235" t="s">
        <v>5042</v>
      </c>
      <c r="H134" s="638">
        <v>21111</v>
      </c>
      <c r="I134" s="194">
        <v>0</v>
      </c>
      <c r="J134" s="194">
        <v>6901</v>
      </c>
      <c r="K134" s="185">
        <v>0.05</v>
      </c>
      <c r="L134" s="183" t="s">
        <v>4724</v>
      </c>
      <c r="M134" s="184" t="s">
        <v>3434</v>
      </c>
      <c r="N134" s="184" t="s">
        <v>3434</v>
      </c>
      <c r="O134" s="836"/>
    </row>
    <row r="135" spans="1:15" s="182" customFormat="1" ht="21.75" customHeight="1" x14ac:dyDescent="0.15">
      <c r="A135" s="151" t="s">
        <v>6087</v>
      </c>
      <c r="B135" s="226" t="s">
        <v>6088</v>
      </c>
      <c r="C135" s="241" t="s">
        <v>3357</v>
      </c>
      <c r="D135" s="241" t="s">
        <v>3347</v>
      </c>
      <c r="E135" s="241" t="s">
        <v>3998</v>
      </c>
      <c r="F135" s="267" t="s">
        <v>3328</v>
      </c>
      <c r="G135" s="170" t="s">
        <v>3566</v>
      </c>
      <c r="H135" s="638">
        <v>20042</v>
      </c>
      <c r="I135" s="194">
        <v>0</v>
      </c>
      <c r="J135" s="194">
        <v>74200</v>
      </c>
      <c r="K135" s="185" t="s">
        <v>6032</v>
      </c>
      <c r="L135" s="183" t="s">
        <v>4706</v>
      </c>
      <c r="M135" s="184" t="s">
        <v>4399</v>
      </c>
      <c r="N135" s="184" t="s">
        <v>4399</v>
      </c>
      <c r="O135" s="837"/>
    </row>
    <row r="136" spans="1:15" s="182" customFormat="1" ht="21.75" customHeight="1" x14ac:dyDescent="0.15">
      <c r="A136" s="151" t="s">
        <v>6087</v>
      </c>
      <c r="B136" s="226" t="s">
        <v>6093</v>
      </c>
      <c r="C136" s="241" t="s">
        <v>3346</v>
      </c>
      <c r="D136" s="241" t="s">
        <v>3354</v>
      </c>
      <c r="E136" s="241" t="s">
        <v>6091</v>
      </c>
      <c r="F136" s="267" t="s">
        <v>3328</v>
      </c>
      <c r="G136" s="170" t="s">
        <v>6092</v>
      </c>
      <c r="H136" s="638">
        <v>21077</v>
      </c>
      <c r="I136" s="194">
        <v>100000</v>
      </c>
      <c r="J136" s="194">
        <v>0</v>
      </c>
      <c r="K136" s="185" t="s">
        <v>6095</v>
      </c>
      <c r="L136" s="183" t="s">
        <v>4694</v>
      </c>
      <c r="M136" s="184" t="s">
        <v>5161</v>
      </c>
      <c r="N136" s="184" t="s">
        <v>5161</v>
      </c>
      <c r="O136" s="838" t="s">
        <v>6098</v>
      </c>
    </row>
    <row r="137" spans="1:15" s="182" customFormat="1" ht="21.75" customHeight="1" x14ac:dyDescent="0.15">
      <c r="A137" s="151" t="s">
        <v>6087</v>
      </c>
      <c r="B137" s="226" t="s">
        <v>6093</v>
      </c>
      <c r="C137" s="241" t="s">
        <v>3346</v>
      </c>
      <c r="D137" s="241" t="s">
        <v>3354</v>
      </c>
      <c r="E137" s="241" t="s">
        <v>6091</v>
      </c>
      <c r="F137" s="267" t="s">
        <v>3328</v>
      </c>
      <c r="G137" s="170" t="s">
        <v>6092</v>
      </c>
      <c r="H137" s="638">
        <v>21077</v>
      </c>
      <c r="I137" s="194">
        <v>1000000</v>
      </c>
      <c r="J137" s="194">
        <v>0</v>
      </c>
      <c r="K137" s="185" t="s">
        <v>6096</v>
      </c>
      <c r="L137" s="183" t="s">
        <v>4694</v>
      </c>
      <c r="M137" s="184" t="s">
        <v>5161</v>
      </c>
      <c r="N137" s="184" t="s">
        <v>5161</v>
      </c>
      <c r="O137" s="838" t="s">
        <v>6099</v>
      </c>
    </row>
    <row r="138" spans="1:15" s="182" customFormat="1" ht="21.75" customHeight="1" x14ac:dyDescent="0.15">
      <c r="A138" s="151" t="s">
        <v>6089</v>
      </c>
      <c r="B138" s="226" t="s">
        <v>6093</v>
      </c>
      <c r="C138" s="241" t="s">
        <v>3346</v>
      </c>
      <c r="D138" s="241" t="s">
        <v>3354</v>
      </c>
      <c r="E138" s="241" t="s">
        <v>6091</v>
      </c>
      <c r="F138" s="267" t="s">
        <v>3328</v>
      </c>
      <c r="G138" s="170" t="s">
        <v>6092</v>
      </c>
      <c r="H138" s="638">
        <v>21077</v>
      </c>
      <c r="I138" s="194">
        <v>0</v>
      </c>
      <c r="J138" s="194">
        <v>156795.98000000001</v>
      </c>
      <c r="K138" s="185" t="s">
        <v>6097</v>
      </c>
      <c r="L138" s="183" t="s">
        <v>4694</v>
      </c>
      <c r="M138" s="184" t="s">
        <v>5161</v>
      </c>
      <c r="N138" s="184" t="s">
        <v>5161</v>
      </c>
      <c r="O138" s="838"/>
    </row>
    <row r="139" spans="1:15" s="182" customFormat="1" ht="21.75" customHeight="1" x14ac:dyDescent="0.15">
      <c r="A139" s="151" t="s">
        <v>6090</v>
      </c>
      <c r="B139" s="226" t="s">
        <v>6094</v>
      </c>
      <c r="C139" s="184" t="s">
        <v>4982</v>
      </c>
      <c r="D139" s="184" t="s">
        <v>5018</v>
      </c>
      <c r="E139" s="184" t="s">
        <v>6100</v>
      </c>
      <c r="F139" s="184" t="s">
        <v>6101</v>
      </c>
      <c r="G139" s="235" t="s">
        <v>6102</v>
      </c>
      <c r="H139" s="638">
        <v>22031</v>
      </c>
      <c r="I139" s="194">
        <v>0</v>
      </c>
      <c r="J139" s="194">
        <v>282499.7</v>
      </c>
      <c r="K139" s="185" t="s">
        <v>6103</v>
      </c>
      <c r="L139" s="183" t="s">
        <v>4849</v>
      </c>
      <c r="M139" s="184" t="s">
        <v>6106</v>
      </c>
      <c r="N139" s="184" t="s">
        <v>5255</v>
      </c>
      <c r="O139" s="838"/>
    </row>
    <row r="140" spans="1:15" s="182" customFormat="1" ht="21.75" customHeight="1" x14ac:dyDescent="0.15">
      <c r="A140" s="151" t="s">
        <v>6089</v>
      </c>
      <c r="B140" s="226" t="s">
        <v>6094</v>
      </c>
      <c r="C140" s="184" t="s">
        <v>4982</v>
      </c>
      <c r="D140" s="184" t="s">
        <v>5018</v>
      </c>
      <c r="E140" s="184" t="s">
        <v>6100</v>
      </c>
      <c r="F140" s="184" t="s">
        <v>6101</v>
      </c>
      <c r="G140" s="235" t="s">
        <v>6102</v>
      </c>
      <c r="H140" s="638">
        <v>22031</v>
      </c>
      <c r="I140" s="194">
        <v>1000000</v>
      </c>
      <c r="J140" s="194">
        <v>0</v>
      </c>
      <c r="K140" s="185" t="s">
        <v>6104</v>
      </c>
      <c r="L140" s="183" t="s">
        <v>6105</v>
      </c>
      <c r="M140" s="184" t="s">
        <v>6106</v>
      </c>
      <c r="N140" s="184" t="s">
        <v>5255</v>
      </c>
      <c r="O140" s="838" t="s">
        <v>6107</v>
      </c>
    </row>
    <row r="141" spans="1:15" s="182" customFormat="1" ht="21.75" customHeight="1" x14ac:dyDescent="0.15">
      <c r="A141" s="151" t="s">
        <v>6089</v>
      </c>
      <c r="B141" s="226" t="s">
        <v>5822</v>
      </c>
      <c r="C141" s="241" t="s">
        <v>3337</v>
      </c>
      <c r="D141" s="241" t="s">
        <v>3702</v>
      </c>
      <c r="E141" s="241" t="s">
        <v>4587</v>
      </c>
      <c r="F141" s="267" t="s">
        <v>3328</v>
      </c>
      <c r="G141" s="170" t="s">
        <v>4462</v>
      </c>
      <c r="H141" s="638">
        <v>20061</v>
      </c>
      <c r="I141" s="194">
        <v>0</v>
      </c>
      <c r="J141" s="194">
        <v>4950</v>
      </c>
      <c r="K141" s="185">
        <v>0.1</v>
      </c>
      <c r="L141" s="183" t="s">
        <v>4724</v>
      </c>
      <c r="M141" s="184" t="s">
        <v>4957</v>
      </c>
      <c r="N141" s="184" t="s">
        <v>3726</v>
      </c>
      <c r="O141" s="838"/>
    </row>
    <row r="142" spans="1:15" s="182" customFormat="1" ht="21.75" customHeight="1" x14ac:dyDescent="0.15">
      <c r="A142" s="151" t="s">
        <v>6108</v>
      </c>
      <c r="B142" s="226" t="s">
        <v>4962</v>
      </c>
      <c r="C142" s="184" t="s">
        <v>4963</v>
      </c>
      <c r="D142" s="184" t="s">
        <v>4964</v>
      </c>
      <c r="E142" s="184" t="s">
        <v>4965</v>
      </c>
      <c r="F142" s="184" t="s">
        <v>3328</v>
      </c>
      <c r="G142" s="235" t="s">
        <v>3329</v>
      </c>
      <c r="H142" s="638">
        <v>21086</v>
      </c>
      <c r="I142" s="194">
        <v>0</v>
      </c>
      <c r="J142" s="194">
        <v>39900</v>
      </c>
      <c r="K142" s="185">
        <v>0.1</v>
      </c>
      <c r="L142" s="183" t="s">
        <v>4724</v>
      </c>
      <c r="M142" s="241" t="s">
        <v>3434</v>
      </c>
      <c r="N142" s="241" t="s">
        <v>3434</v>
      </c>
      <c r="O142" s="839"/>
    </row>
    <row r="143" spans="1:15" s="182" customFormat="1" ht="21.75" customHeight="1" x14ac:dyDescent="0.15">
      <c r="A143" s="151" t="s">
        <v>6109</v>
      </c>
      <c r="B143" s="226" t="s">
        <v>6111</v>
      </c>
      <c r="C143" s="844" t="s">
        <v>5567</v>
      </c>
      <c r="D143" s="184" t="s">
        <v>5422</v>
      </c>
      <c r="E143" s="844" t="s">
        <v>5572</v>
      </c>
      <c r="F143" s="184" t="s">
        <v>5078</v>
      </c>
      <c r="G143" s="235" t="s">
        <v>5030</v>
      </c>
      <c r="H143" s="638">
        <v>21154</v>
      </c>
      <c r="I143" s="194">
        <v>0</v>
      </c>
      <c r="J143" s="194">
        <v>48000</v>
      </c>
      <c r="K143" s="185">
        <v>0.5</v>
      </c>
      <c r="L143" s="183" t="s">
        <v>4706</v>
      </c>
      <c r="M143" s="184" t="s">
        <v>3433</v>
      </c>
      <c r="N143" s="184" t="s">
        <v>3433</v>
      </c>
      <c r="O143" s="839"/>
    </row>
    <row r="144" spans="1:15" s="182" customFormat="1" ht="21.75" customHeight="1" x14ac:dyDescent="0.15">
      <c r="A144" s="151" t="s">
        <v>6110</v>
      </c>
      <c r="B144" s="226" t="s">
        <v>1030</v>
      </c>
      <c r="C144" s="241" t="s">
        <v>3368</v>
      </c>
      <c r="D144" s="241" t="s">
        <v>3439</v>
      </c>
      <c r="E144" s="241" t="s">
        <v>3730</v>
      </c>
      <c r="F144" s="292" t="s">
        <v>3328</v>
      </c>
      <c r="G144" s="242" t="s">
        <v>3341</v>
      </c>
      <c r="H144" s="638">
        <v>20038</v>
      </c>
      <c r="I144" s="194">
        <v>0</v>
      </c>
      <c r="J144" s="194">
        <v>80000</v>
      </c>
      <c r="K144" s="185">
        <v>0.5</v>
      </c>
      <c r="L144" s="183" t="s">
        <v>4706</v>
      </c>
      <c r="M144" s="241" t="s">
        <v>4699</v>
      </c>
      <c r="N144" s="241" t="s">
        <v>4399</v>
      </c>
      <c r="O144" s="839"/>
    </row>
    <row r="145" spans="1:15" s="182" customFormat="1" ht="21.75" customHeight="1" x14ac:dyDescent="0.15">
      <c r="A145" s="151" t="s">
        <v>6112</v>
      </c>
      <c r="B145" s="226" t="s">
        <v>6084</v>
      </c>
      <c r="C145" s="184" t="s">
        <v>4963</v>
      </c>
      <c r="D145" s="184" t="s">
        <v>5028</v>
      </c>
      <c r="E145" s="184" t="s">
        <v>5722</v>
      </c>
      <c r="F145" s="224" t="s">
        <v>3328</v>
      </c>
      <c r="G145" s="235" t="s">
        <v>4923</v>
      </c>
      <c r="H145" s="638">
        <v>23049</v>
      </c>
      <c r="I145" s="194">
        <v>0</v>
      </c>
      <c r="J145" s="194">
        <v>4000</v>
      </c>
      <c r="K145" s="185">
        <v>1</v>
      </c>
      <c r="L145" s="183" t="s">
        <v>4707</v>
      </c>
      <c r="M145" s="184" t="s">
        <v>5765</v>
      </c>
      <c r="N145" s="184" t="s">
        <v>5765</v>
      </c>
      <c r="O145" s="840"/>
    </row>
    <row r="146" spans="1:15" s="182" customFormat="1" ht="21.75" customHeight="1" x14ac:dyDescent="0.15">
      <c r="A146" s="151" t="s">
        <v>6113</v>
      </c>
      <c r="B146" s="226" t="s">
        <v>6067</v>
      </c>
      <c r="C146" s="224" t="s">
        <v>3363</v>
      </c>
      <c r="D146" s="224" t="s">
        <v>3457</v>
      </c>
      <c r="E146" s="224" t="s">
        <v>3458</v>
      </c>
      <c r="F146" s="207" t="s">
        <v>3328</v>
      </c>
      <c r="G146" s="235" t="s">
        <v>5030</v>
      </c>
      <c r="H146" s="638">
        <v>22071</v>
      </c>
      <c r="I146" s="194">
        <v>0</v>
      </c>
      <c r="J146" s="194">
        <v>49805</v>
      </c>
      <c r="K146" s="185" t="s">
        <v>6118</v>
      </c>
      <c r="L146" s="183" t="s">
        <v>4706</v>
      </c>
      <c r="M146" s="184" t="s">
        <v>5765</v>
      </c>
      <c r="N146" s="184" t="s">
        <v>5765</v>
      </c>
      <c r="O146" s="840"/>
    </row>
    <row r="147" spans="1:15" s="182" customFormat="1" ht="21.75" customHeight="1" x14ac:dyDescent="0.15">
      <c r="A147" s="151" t="s">
        <v>6113</v>
      </c>
      <c r="B147" s="226" t="s">
        <v>6067</v>
      </c>
      <c r="C147" s="224" t="s">
        <v>3363</v>
      </c>
      <c r="D147" s="224" t="s">
        <v>3457</v>
      </c>
      <c r="E147" s="224" t="s">
        <v>3458</v>
      </c>
      <c r="F147" s="207" t="s">
        <v>3328</v>
      </c>
      <c r="G147" s="235" t="s">
        <v>5030</v>
      </c>
      <c r="H147" s="638">
        <v>23031</v>
      </c>
      <c r="I147" s="194">
        <v>0</v>
      </c>
      <c r="J147" s="194">
        <v>50000</v>
      </c>
      <c r="K147" s="185">
        <v>0.5</v>
      </c>
      <c r="L147" s="183" t="s">
        <v>4706</v>
      </c>
      <c r="M147" s="184" t="s">
        <v>5765</v>
      </c>
      <c r="N147" s="184" t="s">
        <v>5765</v>
      </c>
      <c r="O147" s="844"/>
    </row>
    <row r="148" spans="1:15" s="182" customFormat="1" ht="21.75" customHeight="1" x14ac:dyDescent="0.15">
      <c r="A148" s="151" t="s">
        <v>6114</v>
      </c>
      <c r="B148" s="226" t="s">
        <v>6115</v>
      </c>
      <c r="C148" s="566"/>
      <c r="D148" s="566"/>
      <c r="E148" s="566"/>
      <c r="F148" s="766"/>
      <c r="G148" s="555"/>
      <c r="H148" s="638">
        <v>22112</v>
      </c>
      <c r="I148" s="194">
        <v>0</v>
      </c>
      <c r="J148" s="194">
        <v>661500</v>
      </c>
      <c r="K148" s="185">
        <v>0.35</v>
      </c>
      <c r="L148" s="183" t="s">
        <v>4707</v>
      </c>
      <c r="M148" s="184" t="s">
        <v>3725</v>
      </c>
      <c r="N148" s="184" t="s">
        <v>3725</v>
      </c>
      <c r="O148" s="841"/>
    </row>
    <row r="149" spans="1:15" s="182" customFormat="1" ht="21.75" customHeight="1" x14ac:dyDescent="0.15">
      <c r="A149" s="151" t="s">
        <v>6116</v>
      </c>
      <c r="B149" s="226" t="s">
        <v>6117</v>
      </c>
      <c r="C149" s="236" t="s">
        <v>3351</v>
      </c>
      <c r="D149" s="843" t="s">
        <v>3354</v>
      </c>
      <c r="E149" s="180" t="s">
        <v>5874</v>
      </c>
      <c r="F149" s="224" t="s">
        <v>4178</v>
      </c>
      <c r="G149" s="235" t="s">
        <v>3386</v>
      </c>
      <c r="H149" s="638">
        <v>23056</v>
      </c>
      <c r="I149" s="194">
        <v>0</v>
      </c>
      <c r="J149" s="194">
        <v>30000</v>
      </c>
      <c r="K149" s="185">
        <v>1</v>
      </c>
      <c r="L149" s="183" t="s">
        <v>4707</v>
      </c>
      <c r="M149" s="241" t="s">
        <v>3726</v>
      </c>
      <c r="N149" s="241" t="s">
        <v>3726</v>
      </c>
      <c r="O149" s="842"/>
    </row>
    <row r="150" spans="1:15" s="182" customFormat="1" ht="21.75" customHeight="1" x14ac:dyDescent="0.15">
      <c r="A150" s="151" t="s">
        <v>6119</v>
      </c>
      <c r="B150" s="226" t="s">
        <v>5224</v>
      </c>
      <c r="C150" s="620" t="s">
        <v>3371</v>
      </c>
      <c r="D150" s="620" t="s">
        <v>3405</v>
      </c>
      <c r="E150" s="620" t="s">
        <v>4325</v>
      </c>
      <c r="F150" s="241" t="s">
        <v>3328</v>
      </c>
      <c r="G150" s="242" t="s">
        <v>3566</v>
      </c>
      <c r="H150" s="638">
        <v>20178</v>
      </c>
      <c r="I150" s="194">
        <v>0</v>
      </c>
      <c r="J150" s="194">
        <v>50000</v>
      </c>
      <c r="K150" s="185" t="s">
        <v>4960</v>
      </c>
      <c r="L150" s="183" t="s">
        <v>4706</v>
      </c>
      <c r="M150" s="241" t="s">
        <v>3434</v>
      </c>
      <c r="N150" s="241" t="s">
        <v>3434</v>
      </c>
      <c r="O150" s="845"/>
    </row>
    <row r="151" spans="1:15" s="182" customFormat="1" ht="21.75" customHeight="1" x14ac:dyDescent="0.15">
      <c r="A151" s="151" t="s">
        <v>6120</v>
      </c>
      <c r="B151" s="226" t="s">
        <v>5813</v>
      </c>
      <c r="C151" s="846" t="s">
        <v>4982</v>
      </c>
      <c r="D151" s="846" t="s">
        <v>5153</v>
      </c>
      <c r="E151" s="846" t="s">
        <v>6123</v>
      </c>
      <c r="F151" s="184" t="s">
        <v>5078</v>
      </c>
      <c r="G151" s="235" t="s">
        <v>5030</v>
      </c>
      <c r="H151" s="638">
        <v>22114</v>
      </c>
      <c r="I151" s="194">
        <v>0</v>
      </c>
      <c r="J151" s="194">
        <v>78000</v>
      </c>
      <c r="K151" s="185">
        <v>1</v>
      </c>
      <c r="L151" s="183" t="s">
        <v>4706</v>
      </c>
      <c r="M151" s="241" t="s">
        <v>3434</v>
      </c>
      <c r="N151" s="241" t="s">
        <v>3434</v>
      </c>
      <c r="O151" s="845"/>
    </row>
    <row r="152" spans="1:15" s="182" customFormat="1" ht="52.5" customHeight="1" x14ac:dyDescent="0.15">
      <c r="A152" s="151" t="s">
        <v>6120</v>
      </c>
      <c r="B152" s="848" t="s">
        <v>6124</v>
      </c>
      <c r="C152" s="224" t="s">
        <v>3351</v>
      </c>
      <c r="D152" s="224" t="s">
        <v>3352</v>
      </c>
      <c r="E152" s="180" t="s">
        <v>2794</v>
      </c>
      <c r="F152" s="207" t="s">
        <v>3340</v>
      </c>
      <c r="G152" s="235" t="s">
        <v>3381</v>
      </c>
      <c r="H152" s="638">
        <v>21096</v>
      </c>
      <c r="I152" s="194">
        <v>0</v>
      </c>
      <c r="J152" s="194">
        <v>35000</v>
      </c>
      <c r="K152" s="185">
        <v>0.5</v>
      </c>
      <c r="L152" s="183" t="s">
        <v>4706</v>
      </c>
      <c r="M152" s="184" t="s">
        <v>5255</v>
      </c>
      <c r="N152" s="184" t="s">
        <v>5255</v>
      </c>
      <c r="O152" s="845"/>
    </row>
    <row r="153" spans="1:15" s="182" customFormat="1" ht="21.75" customHeight="1" x14ac:dyDescent="0.15">
      <c r="A153" s="151" t="s">
        <v>6121</v>
      </c>
      <c r="B153" s="226" t="s">
        <v>6075</v>
      </c>
      <c r="C153" s="846" t="s">
        <v>5567</v>
      </c>
      <c r="D153" s="846" t="s">
        <v>5422</v>
      </c>
      <c r="E153" s="846" t="s">
        <v>5774</v>
      </c>
      <c r="F153" s="184" t="s">
        <v>3328</v>
      </c>
      <c r="G153" s="235" t="s">
        <v>5030</v>
      </c>
      <c r="H153" s="181">
        <v>22136</v>
      </c>
      <c r="I153" s="194">
        <v>0</v>
      </c>
      <c r="J153" s="194">
        <v>46000</v>
      </c>
      <c r="K153" s="185">
        <v>0.5</v>
      </c>
      <c r="L153" s="183" t="s">
        <v>4706</v>
      </c>
      <c r="M153" s="184" t="s">
        <v>693</v>
      </c>
      <c r="N153" s="184" t="s">
        <v>693</v>
      </c>
      <c r="O153" s="845"/>
    </row>
    <row r="154" spans="1:15" s="182" customFormat="1" ht="30.75" customHeight="1" x14ac:dyDescent="0.15">
      <c r="A154" s="151" t="s">
        <v>6121</v>
      </c>
      <c r="B154" s="849" t="s">
        <v>6125</v>
      </c>
      <c r="C154" s="224" t="s">
        <v>3351</v>
      </c>
      <c r="D154" s="224" t="s">
        <v>3352</v>
      </c>
      <c r="E154" s="180" t="s">
        <v>3643</v>
      </c>
      <c r="F154" s="207" t="s">
        <v>3340</v>
      </c>
      <c r="G154" s="235" t="s">
        <v>3381</v>
      </c>
      <c r="H154" s="638">
        <v>21101</v>
      </c>
      <c r="I154" s="194">
        <v>0</v>
      </c>
      <c r="J154" s="194">
        <v>35000</v>
      </c>
      <c r="K154" s="185">
        <v>0.5</v>
      </c>
      <c r="L154" s="183" t="s">
        <v>4706</v>
      </c>
      <c r="M154" s="184" t="s">
        <v>5255</v>
      </c>
      <c r="N154" s="184" t="s">
        <v>5255</v>
      </c>
      <c r="O154" s="845"/>
    </row>
    <row r="155" spans="1:15" s="182" customFormat="1" ht="21.75" customHeight="1" x14ac:dyDescent="0.15">
      <c r="A155" s="151" t="s">
        <v>6122</v>
      </c>
      <c r="B155" s="226" t="s">
        <v>719</v>
      </c>
      <c r="C155" s="184" t="s">
        <v>4982</v>
      </c>
      <c r="D155" s="184" t="s">
        <v>5153</v>
      </c>
      <c r="E155" s="184" t="s">
        <v>720</v>
      </c>
      <c r="F155" s="184" t="s">
        <v>3328</v>
      </c>
      <c r="G155" s="239" t="s">
        <v>5240</v>
      </c>
      <c r="H155" s="638">
        <v>22117</v>
      </c>
      <c r="I155" s="194">
        <v>0</v>
      </c>
      <c r="J155" s="194">
        <v>28000</v>
      </c>
      <c r="K155" s="185">
        <v>1</v>
      </c>
      <c r="L155" s="183" t="s">
        <v>4707</v>
      </c>
      <c r="M155" s="241" t="s">
        <v>3434</v>
      </c>
      <c r="N155" s="241" t="s">
        <v>3434</v>
      </c>
      <c r="O155" s="845"/>
    </row>
    <row r="156" spans="1:15" s="182" customFormat="1" ht="21.75" customHeight="1" x14ac:dyDescent="0.15">
      <c r="A156" s="151" t="s">
        <v>6122</v>
      </c>
      <c r="B156" s="226" t="s">
        <v>5912</v>
      </c>
      <c r="C156" s="224" t="s">
        <v>3351</v>
      </c>
      <c r="D156" s="224" t="s">
        <v>3352</v>
      </c>
      <c r="E156" s="180" t="s">
        <v>2788</v>
      </c>
      <c r="F156" s="207" t="s">
        <v>3340</v>
      </c>
      <c r="G156" s="235" t="s">
        <v>3381</v>
      </c>
      <c r="H156" s="638">
        <v>21099</v>
      </c>
      <c r="I156" s="194">
        <v>0</v>
      </c>
      <c r="J156" s="194">
        <v>35000</v>
      </c>
      <c r="K156" s="185">
        <v>0.5</v>
      </c>
      <c r="L156" s="183" t="s">
        <v>4706</v>
      </c>
      <c r="M156" s="184" t="s">
        <v>5255</v>
      </c>
      <c r="N156" s="184" t="s">
        <v>5255</v>
      </c>
      <c r="O156" s="845"/>
    </row>
    <row r="157" spans="1:15" s="182" customFormat="1" ht="21.75" customHeight="1" x14ac:dyDescent="0.15">
      <c r="A157" s="151" t="s">
        <v>6122</v>
      </c>
      <c r="B157" s="226" t="s">
        <v>5912</v>
      </c>
      <c r="C157" s="224" t="s">
        <v>3351</v>
      </c>
      <c r="D157" s="224" t="s">
        <v>3352</v>
      </c>
      <c r="E157" s="180" t="s">
        <v>2789</v>
      </c>
      <c r="F157" s="207" t="s">
        <v>3340</v>
      </c>
      <c r="G157" s="235" t="s">
        <v>3381</v>
      </c>
      <c r="H157" s="638">
        <v>21100</v>
      </c>
      <c r="I157" s="194">
        <v>0</v>
      </c>
      <c r="J157" s="194">
        <v>35000</v>
      </c>
      <c r="K157" s="185">
        <v>0.5</v>
      </c>
      <c r="L157" s="183" t="s">
        <v>4706</v>
      </c>
      <c r="M157" s="184" t="s">
        <v>5255</v>
      </c>
      <c r="N157" s="184" t="s">
        <v>5255</v>
      </c>
      <c r="O157" s="845"/>
    </row>
    <row r="158" spans="1:15" s="182" customFormat="1" ht="21.75" customHeight="1" x14ac:dyDescent="0.15">
      <c r="A158" s="151" t="s">
        <v>6122</v>
      </c>
      <c r="B158" s="226" t="s">
        <v>5813</v>
      </c>
      <c r="C158" s="846" t="s">
        <v>4982</v>
      </c>
      <c r="D158" s="846" t="s">
        <v>5153</v>
      </c>
      <c r="E158" s="846" t="s">
        <v>6123</v>
      </c>
      <c r="F158" s="184" t="s">
        <v>5078</v>
      </c>
      <c r="G158" s="239" t="s">
        <v>5240</v>
      </c>
      <c r="H158" s="638">
        <v>22115</v>
      </c>
      <c r="I158" s="194">
        <v>0</v>
      </c>
      <c r="J158" s="194">
        <v>28000</v>
      </c>
      <c r="K158" s="185">
        <v>1</v>
      </c>
      <c r="L158" s="183" t="s">
        <v>4707</v>
      </c>
      <c r="M158" s="241" t="s">
        <v>3434</v>
      </c>
      <c r="N158" s="241" t="s">
        <v>3434</v>
      </c>
      <c r="O158" s="845"/>
    </row>
    <row r="159" spans="1:15" s="182" customFormat="1" ht="21.75" customHeight="1" x14ac:dyDescent="0.15">
      <c r="A159" s="151" t="s">
        <v>6122</v>
      </c>
      <c r="B159" s="226" t="s">
        <v>719</v>
      </c>
      <c r="C159" s="184" t="s">
        <v>4982</v>
      </c>
      <c r="D159" s="184" t="s">
        <v>5153</v>
      </c>
      <c r="E159" s="184" t="s">
        <v>720</v>
      </c>
      <c r="F159" s="184" t="s">
        <v>3328</v>
      </c>
      <c r="G159" s="235" t="s">
        <v>3349</v>
      </c>
      <c r="H159" s="638">
        <v>22116</v>
      </c>
      <c r="I159" s="194">
        <v>0</v>
      </c>
      <c r="J159" s="194">
        <v>78000</v>
      </c>
      <c r="K159" s="185">
        <v>1</v>
      </c>
      <c r="L159" s="183" t="s">
        <v>4706</v>
      </c>
      <c r="M159" s="241" t="s">
        <v>3434</v>
      </c>
      <c r="N159" s="241" t="s">
        <v>3434</v>
      </c>
      <c r="O159" s="850"/>
    </row>
    <row r="160" spans="1:15" s="182" customFormat="1" ht="21.75" customHeight="1" x14ac:dyDescent="0.15">
      <c r="A160" s="151" t="s">
        <v>6126</v>
      </c>
      <c r="B160" s="226" t="s">
        <v>666</v>
      </c>
      <c r="C160" s="241" t="s">
        <v>3376</v>
      </c>
      <c r="D160" s="368" t="s">
        <v>3516</v>
      </c>
      <c r="E160" s="596" t="s">
        <v>3871</v>
      </c>
      <c r="F160" s="241" t="s">
        <v>3332</v>
      </c>
      <c r="G160" s="242" t="s">
        <v>3566</v>
      </c>
      <c r="H160" s="638">
        <v>20190</v>
      </c>
      <c r="I160" s="194">
        <v>0</v>
      </c>
      <c r="J160" s="194">
        <v>100000</v>
      </c>
      <c r="K160" s="185" t="s">
        <v>6032</v>
      </c>
      <c r="L160" s="183" t="s">
        <v>4706</v>
      </c>
      <c r="M160" s="241" t="s">
        <v>4708</v>
      </c>
      <c r="N160" s="241" t="s">
        <v>4708</v>
      </c>
      <c r="O160" s="847"/>
    </row>
    <row r="161" spans="1:15" s="182" customFormat="1" ht="21.75" customHeight="1" x14ac:dyDescent="0.15">
      <c r="A161" s="151" t="s">
        <v>6126</v>
      </c>
      <c r="B161" s="226" t="s">
        <v>6127</v>
      </c>
      <c r="C161" s="241" t="s">
        <v>3376</v>
      </c>
      <c r="D161" s="241" t="s">
        <v>3682</v>
      </c>
      <c r="E161" s="236" t="s">
        <v>3683</v>
      </c>
      <c r="F161" s="241" t="s">
        <v>3332</v>
      </c>
      <c r="G161" s="242" t="s">
        <v>3566</v>
      </c>
      <c r="H161" s="638">
        <v>20191</v>
      </c>
      <c r="I161" s="194">
        <v>0</v>
      </c>
      <c r="J161" s="194">
        <v>70000</v>
      </c>
      <c r="K161" s="185" t="s">
        <v>6032</v>
      </c>
      <c r="L161" s="183" t="s">
        <v>4706</v>
      </c>
      <c r="M161" s="241" t="s">
        <v>4708</v>
      </c>
      <c r="N161" s="241" t="s">
        <v>4708</v>
      </c>
      <c r="O161" s="847"/>
    </row>
    <row r="162" spans="1:15" s="182" customFormat="1" ht="21.75" customHeight="1" x14ac:dyDescent="0.15">
      <c r="A162" s="151" t="s">
        <v>6126</v>
      </c>
      <c r="B162" s="226" t="s">
        <v>6128</v>
      </c>
      <c r="C162" s="241" t="s">
        <v>3376</v>
      </c>
      <c r="D162" s="241" t="s">
        <v>3682</v>
      </c>
      <c r="E162" s="241" t="s">
        <v>4243</v>
      </c>
      <c r="F162" s="241" t="s">
        <v>3332</v>
      </c>
      <c r="G162" s="242" t="s">
        <v>3566</v>
      </c>
      <c r="H162" s="638">
        <v>20192</v>
      </c>
      <c r="I162" s="194">
        <v>0</v>
      </c>
      <c r="J162" s="194">
        <v>70000</v>
      </c>
      <c r="K162" s="185" t="s">
        <v>6032</v>
      </c>
      <c r="L162" s="183" t="s">
        <v>4706</v>
      </c>
      <c r="M162" s="241" t="s">
        <v>4708</v>
      </c>
      <c r="N162" s="241" t="s">
        <v>4708</v>
      </c>
      <c r="O162" s="847"/>
    </row>
    <row r="163" spans="1:15" s="182" customFormat="1" ht="21.75" customHeight="1" x14ac:dyDescent="0.15">
      <c r="A163" s="151" t="s">
        <v>6126</v>
      </c>
      <c r="B163" s="226" t="s">
        <v>6129</v>
      </c>
      <c r="C163" s="241" t="s">
        <v>3376</v>
      </c>
      <c r="D163" s="241" t="s">
        <v>3682</v>
      </c>
      <c r="E163" s="241" t="s">
        <v>4245</v>
      </c>
      <c r="F163" s="241" t="s">
        <v>3332</v>
      </c>
      <c r="G163" s="242" t="s">
        <v>3566</v>
      </c>
      <c r="H163" s="638">
        <v>20193</v>
      </c>
      <c r="I163" s="194">
        <v>0</v>
      </c>
      <c r="J163" s="194">
        <v>70000</v>
      </c>
      <c r="K163" s="185" t="s">
        <v>6032</v>
      </c>
      <c r="L163" s="183" t="s">
        <v>4706</v>
      </c>
      <c r="M163" s="241" t="s">
        <v>4708</v>
      </c>
      <c r="N163" s="241" t="s">
        <v>4708</v>
      </c>
      <c r="O163" s="847"/>
    </row>
    <row r="164" spans="1:15" s="182" customFormat="1" ht="21.75" customHeight="1" x14ac:dyDescent="0.15">
      <c r="A164" s="151" t="s">
        <v>6126</v>
      </c>
      <c r="B164" s="226" t="s">
        <v>5845</v>
      </c>
      <c r="C164" s="851" t="s">
        <v>5567</v>
      </c>
      <c r="D164" s="851" t="s">
        <v>4942</v>
      </c>
      <c r="E164" s="851" t="s">
        <v>5728</v>
      </c>
      <c r="F164" s="184" t="s">
        <v>5078</v>
      </c>
      <c r="G164" s="235" t="s">
        <v>3370</v>
      </c>
      <c r="H164" s="638">
        <v>23045</v>
      </c>
      <c r="I164" s="194">
        <v>0</v>
      </c>
      <c r="J164" s="194">
        <v>87500</v>
      </c>
      <c r="K164" s="185">
        <v>0.5</v>
      </c>
      <c r="L164" s="183" t="s">
        <v>4706</v>
      </c>
      <c r="M164" s="184" t="s">
        <v>5765</v>
      </c>
      <c r="N164" s="184" t="s">
        <v>5765</v>
      </c>
      <c r="O164" s="850"/>
    </row>
    <row r="165" spans="1:15" s="182" customFormat="1" ht="21.75" customHeight="1" x14ac:dyDescent="0.15">
      <c r="A165" s="151" t="s">
        <v>6130</v>
      </c>
      <c r="B165" s="226" t="s">
        <v>6131</v>
      </c>
      <c r="C165" s="164" t="s">
        <v>3351</v>
      </c>
      <c r="D165" s="164" t="s">
        <v>3352</v>
      </c>
      <c r="E165" s="164" t="s">
        <v>5680</v>
      </c>
      <c r="F165" s="184" t="s">
        <v>5078</v>
      </c>
      <c r="G165" s="235" t="s">
        <v>5681</v>
      </c>
      <c r="H165" s="638" t="s">
        <v>6015</v>
      </c>
      <c r="I165" s="194">
        <v>0</v>
      </c>
      <c r="J165" s="194">
        <v>929500</v>
      </c>
      <c r="K165" s="185" t="s">
        <v>6132</v>
      </c>
      <c r="L165" s="183" t="s">
        <v>4707</v>
      </c>
      <c r="M165" s="184" t="s">
        <v>5255</v>
      </c>
      <c r="N165" s="184" t="s">
        <v>5255</v>
      </c>
      <c r="O165" s="851"/>
    </row>
    <row r="166" spans="1:15" s="182" customFormat="1" ht="21.75" customHeight="1" x14ac:dyDescent="0.15">
      <c r="A166" s="151" t="s">
        <v>6133</v>
      </c>
      <c r="B166" s="226" t="s">
        <v>6134</v>
      </c>
      <c r="C166" s="241" t="s">
        <v>4872</v>
      </c>
      <c r="D166" s="368" t="s">
        <v>3347</v>
      </c>
      <c r="E166" s="596" t="s">
        <v>4873</v>
      </c>
      <c r="F166" s="241" t="s">
        <v>3328</v>
      </c>
      <c r="G166" s="242" t="s">
        <v>6004</v>
      </c>
      <c r="H166" s="638">
        <v>20180</v>
      </c>
      <c r="I166" s="194">
        <v>0</v>
      </c>
      <c r="J166" s="194">
        <v>39000</v>
      </c>
      <c r="K166" s="185">
        <v>1</v>
      </c>
      <c r="L166" s="183" t="s">
        <v>5743</v>
      </c>
      <c r="M166" s="184" t="s">
        <v>6038</v>
      </c>
      <c r="N166" s="184" t="s">
        <v>6038</v>
      </c>
      <c r="O166" s="852"/>
    </row>
    <row r="167" spans="1:15" s="182" customFormat="1" ht="21.75" customHeight="1" x14ac:dyDescent="0.15">
      <c r="A167" s="151" t="s">
        <v>6136</v>
      </c>
      <c r="B167" s="226" t="s">
        <v>770</v>
      </c>
      <c r="C167" s="279" t="s">
        <v>3363</v>
      </c>
      <c r="D167" s="279" t="s">
        <v>3702</v>
      </c>
      <c r="E167" s="596" t="s">
        <v>3986</v>
      </c>
      <c r="F167" s="241" t="s">
        <v>3332</v>
      </c>
      <c r="G167" s="242" t="s">
        <v>4574</v>
      </c>
      <c r="H167" s="638">
        <v>20194</v>
      </c>
      <c r="I167" s="194">
        <v>0</v>
      </c>
      <c r="J167" s="194">
        <v>12500</v>
      </c>
      <c r="K167" s="185">
        <v>0.1</v>
      </c>
      <c r="L167" s="183" t="s">
        <v>5744</v>
      </c>
      <c r="M167" s="241" t="s">
        <v>3434</v>
      </c>
      <c r="N167" s="241" t="s">
        <v>3957</v>
      </c>
      <c r="O167" s="853"/>
    </row>
    <row r="168" spans="1:15" s="182" customFormat="1" ht="21.75" customHeight="1" x14ac:dyDescent="0.15">
      <c r="A168" s="151" t="s">
        <v>6137</v>
      </c>
      <c r="B168" s="226" t="s">
        <v>6135</v>
      </c>
      <c r="C168" s="854" t="s">
        <v>4982</v>
      </c>
      <c r="D168" s="854" t="s">
        <v>5541</v>
      </c>
      <c r="E168" s="854" t="s">
        <v>6143</v>
      </c>
      <c r="F168" s="207" t="s">
        <v>3328</v>
      </c>
      <c r="G168" s="235" t="s">
        <v>5658</v>
      </c>
      <c r="H168" s="638" t="s">
        <v>6142</v>
      </c>
      <c r="I168" s="194">
        <v>20322</v>
      </c>
      <c r="J168" s="194">
        <v>0</v>
      </c>
      <c r="K168" s="185">
        <v>0.1</v>
      </c>
      <c r="L168" s="183" t="s">
        <v>6144</v>
      </c>
      <c r="M168" s="184" t="s">
        <v>6038</v>
      </c>
      <c r="N168" s="184" t="s">
        <v>6038</v>
      </c>
      <c r="O168" s="854" t="s">
        <v>6149</v>
      </c>
    </row>
    <row r="169" spans="1:15" s="182" customFormat="1" ht="21.75" customHeight="1" x14ac:dyDescent="0.15">
      <c r="A169" s="151" t="s">
        <v>6137</v>
      </c>
      <c r="B169" s="226" t="s">
        <v>6135</v>
      </c>
      <c r="C169" s="854" t="s">
        <v>4982</v>
      </c>
      <c r="D169" s="854" t="s">
        <v>5541</v>
      </c>
      <c r="E169" s="854" t="s">
        <v>6145</v>
      </c>
      <c r="F169" s="207" t="s">
        <v>3328</v>
      </c>
      <c r="G169" s="235" t="s">
        <v>3329</v>
      </c>
      <c r="H169" s="638" t="s">
        <v>6141</v>
      </c>
      <c r="I169" s="194">
        <v>9678</v>
      </c>
      <c r="J169" s="194">
        <v>0</v>
      </c>
      <c r="K169" s="185" t="s">
        <v>6146</v>
      </c>
      <c r="L169" s="183" t="s">
        <v>6144</v>
      </c>
      <c r="M169" s="184" t="s">
        <v>6038</v>
      </c>
      <c r="N169" s="184" t="s">
        <v>6038</v>
      </c>
      <c r="O169" s="854" t="s">
        <v>6149</v>
      </c>
    </row>
    <row r="170" spans="1:15" s="182" customFormat="1" ht="21.75" customHeight="1" x14ac:dyDescent="0.15">
      <c r="A170" s="151" t="s">
        <v>6137</v>
      </c>
      <c r="B170" s="226" t="s">
        <v>6135</v>
      </c>
      <c r="C170" s="854" t="s">
        <v>4982</v>
      </c>
      <c r="D170" s="854" t="s">
        <v>5541</v>
      </c>
      <c r="E170" s="854" t="s">
        <v>6145</v>
      </c>
      <c r="F170" s="207" t="s">
        <v>3328</v>
      </c>
      <c r="G170" s="235" t="s">
        <v>3329</v>
      </c>
      <c r="H170" s="638" t="s">
        <v>6141</v>
      </c>
      <c r="I170" s="194">
        <v>30000</v>
      </c>
      <c r="J170" s="194">
        <v>0</v>
      </c>
      <c r="K170" s="185" t="s">
        <v>6147</v>
      </c>
      <c r="L170" s="183" t="s">
        <v>6144</v>
      </c>
      <c r="M170" s="184" t="s">
        <v>6038</v>
      </c>
      <c r="N170" s="184" t="s">
        <v>6038</v>
      </c>
      <c r="O170" s="854" t="s">
        <v>6148</v>
      </c>
    </row>
    <row r="171" spans="1:15" s="182" customFormat="1" ht="21.75" customHeight="1" x14ac:dyDescent="0.15">
      <c r="A171" s="151" t="s">
        <v>6138</v>
      </c>
      <c r="B171" s="226" t="s">
        <v>5949</v>
      </c>
      <c r="C171" s="581" t="s">
        <v>3346</v>
      </c>
      <c r="D171" s="581" t="s">
        <v>3354</v>
      </c>
      <c r="E171" s="285" t="s">
        <v>4723</v>
      </c>
      <c r="F171" s="224" t="s">
        <v>3328</v>
      </c>
      <c r="G171" s="235" t="s">
        <v>6152</v>
      </c>
      <c r="H171" s="638" t="s">
        <v>6151</v>
      </c>
      <c r="I171" s="194">
        <v>0</v>
      </c>
      <c r="J171" s="194">
        <v>55055</v>
      </c>
      <c r="K171" s="185">
        <v>1</v>
      </c>
      <c r="L171" s="183" t="s">
        <v>5743</v>
      </c>
      <c r="M171" s="184" t="s">
        <v>3725</v>
      </c>
      <c r="N171" s="184" t="s">
        <v>5255</v>
      </c>
      <c r="O171" s="853"/>
    </row>
    <row r="172" spans="1:15" s="182" customFormat="1" ht="21.75" customHeight="1" x14ac:dyDescent="0.15">
      <c r="A172" s="151" t="s">
        <v>6138</v>
      </c>
      <c r="B172" s="226" t="s">
        <v>5261</v>
      </c>
      <c r="C172" s="854" t="s">
        <v>3346</v>
      </c>
      <c r="D172" s="854" t="s">
        <v>3354</v>
      </c>
      <c r="E172" s="854" t="s">
        <v>844</v>
      </c>
      <c r="F172" s="267" t="s">
        <v>3328</v>
      </c>
      <c r="G172" s="235" t="s">
        <v>6152</v>
      </c>
      <c r="H172" s="638" t="s">
        <v>6154</v>
      </c>
      <c r="I172" s="194">
        <v>0</v>
      </c>
      <c r="J172" s="194">
        <v>55055</v>
      </c>
      <c r="K172" s="185">
        <v>1</v>
      </c>
      <c r="L172" s="183" t="s">
        <v>5743</v>
      </c>
      <c r="M172" s="184" t="s">
        <v>3725</v>
      </c>
      <c r="N172" s="184" t="s">
        <v>5255</v>
      </c>
      <c r="O172" s="853"/>
    </row>
    <row r="173" spans="1:15" s="182" customFormat="1" ht="21.75" customHeight="1" x14ac:dyDescent="0.15">
      <c r="A173" s="151" t="s">
        <v>6139</v>
      </c>
      <c r="B173" s="226" t="s">
        <v>5260</v>
      </c>
      <c r="C173" s="854" t="s">
        <v>3346</v>
      </c>
      <c r="D173" s="236" t="s">
        <v>3354</v>
      </c>
      <c r="E173" s="30" t="s">
        <v>3562</v>
      </c>
      <c r="F173" s="184" t="s">
        <v>3328</v>
      </c>
      <c r="G173" s="235" t="s">
        <v>6152</v>
      </c>
      <c r="H173" s="638" t="s">
        <v>6150</v>
      </c>
      <c r="I173" s="194">
        <v>0</v>
      </c>
      <c r="J173" s="194">
        <v>55055</v>
      </c>
      <c r="K173" s="185">
        <v>1</v>
      </c>
      <c r="L173" s="183" t="s">
        <v>5743</v>
      </c>
      <c r="M173" s="184" t="s">
        <v>3725</v>
      </c>
      <c r="N173" s="184" t="s">
        <v>3726</v>
      </c>
      <c r="O173" s="853"/>
    </row>
    <row r="174" spans="1:15" s="182" customFormat="1" ht="21.75" customHeight="1" x14ac:dyDescent="0.15">
      <c r="A174" s="151" t="s">
        <v>6140</v>
      </c>
      <c r="B174" s="226" t="s">
        <v>5221</v>
      </c>
      <c r="C174" s="854" t="s">
        <v>3346</v>
      </c>
      <c r="D174" s="854" t="s">
        <v>3354</v>
      </c>
      <c r="E174" s="854" t="s">
        <v>845</v>
      </c>
      <c r="F174" s="267" t="s">
        <v>3328</v>
      </c>
      <c r="G174" s="235" t="s">
        <v>6152</v>
      </c>
      <c r="H174" s="638" t="s">
        <v>6153</v>
      </c>
      <c r="I174" s="194">
        <v>0</v>
      </c>
      <c r="J174" s="194">
        <v>55055</v>
      </c>
      <c r="K174" s="185">
        <v>1</v>
      </c>
      <c r="L174" s="183" t="s">
        <v>5743</v>
      </c>
      <c r="M174" s="184" t="s">
        <v>3725</v>
      </c>
      <c r="N174" s="184" t="s">
        <v>3726</v>
      </c>
      <c r="O174" s="854"/>
    </row>
    <row r="175" spans="1:15" s="182" customFormat="1" ht="21.75" customHeight="1" x14ac:dyDescent="0.15">
      <c r="A175" s="151" t="s">
        <v>6155</v>
      </c>
      <c r="B175" s="226" t="s">
        <v>6156</v>
      </c>
      <c r="C175" s="224" t="s">
        <v>3363</v>
      </c>
      <c r="D175" s="224" t="s">
        <v>3360</v>
      </c>
      <c r="E175" s="184" t="s">
        <v>3961</v>
      </c>
      <c r="F175" s="184" t="s">
        <v>5036</v>
      </c>
      <c r="G175" s="235" t="s">
        <v>5036</v>
      </c>
      <c r="H175" s="181">
        <v>23076</v>
      </c>
      <c r="I175" s="194">
        <v>0</v>
      </c>
      <c r="J175" s="194">
        <v>30000</v>
      </c>
      <c r="K175" s="185">
        <v>1</v>
      </c>
      <c r="L175" s="183" t="s">
        <v>4707</v>
      </c>
      <c r="M175" s="184" t="s">
        <v>5765</v>
      </c>
      <c r="N175" s="184" t="s">
        <v>5765</v>
      </c>
      <c r="O175" s="855"/>
    </row>
    <row r="176" spans="1:15" s="182" customFormat="1" ht="21.75" customHeight="1" x14ac:dyDescent="0.15">
      <c r="A176" s="151" t="s">
        <v>6157</v>
      </c>
      <c r="B176" s="226" t="s">
        <v>6074</v>
      </c>
      <c r="C176" s="856" t="s">
        <v>4963</v>
      </c>
      <c r="D176" s="856" t="s">
        <v>5714</v>
      </c>
      <c r="E176" s="856" t="s">
        <v>5715</v>
      </c>
      <c r="F176" s="224" t="s">
        <v>3328</v>
      </c>
      <c r="G176" s="239" t="s">
        <v>5480</v>
      </c>
      <c r="H176" s="638">
        <v>23055</v>
      </c>
      <c r="I176" s="194">
        <v>0</v>
      </c>
      <c r="J176" s="194">
        <v>45000</v>
      </c>
      <c r="K176" s="185" t="s">
        <v>6032</v>
      </c>
      <c r="L176" s="183" t="s">
        <v>4707</v>
      </c>
      <c r="M176" s="184" t="s">
        <v>5765</v>
      </c>
      <c r="N176" s="184" t="s">
        <v>5765</v>
      </c>
      <c r="O176" s="855"/>
    </row>
    <row r="177" spans="1:15" s="182" customFormat="1" ht="21.75" customHeight="1" x14ac:dyDescent="0.15">
      <c r="A177" s="151" t="s">
        <v>6158</v>
      </c>
      <c r="B177" s="226" t="s">
        <v>679</v>
      </c>
      <c r="C177" s="856" t="s">
        <v>3346</v>
      </c>
      <c r="D177" s="236" t="s">
        <v>3354</v>
      </c>
      <c r="E177" s="30" t="s">
        <v>921</v>
      </c>
      <c r="F177" s="184" t="s">
        <v>3328</v>
      </c>
      <c r="G177" s="235" t="s">
        <v>6152</v>
      </c>
      <c r="H177" s="638" t="s">
        <v>6162</v>
      </c>
      <c r="I177" s="194">
        <v>0</v>
      </c>
      <c r="J177" s="194">
        <v>55055</v>
      </c>
      <c r="K177" s="185">
        <v>1</v>
      </c>
      <c r="L177" s="183" t="s">
        <v>5743</v>
      </c>
      <c r="M177" s="184" t="s">
        <v>3725</v>
      </c>
      <c r="N177" s="184" t="s">
        <v>5255</v>
      </c>
      <c r="O177" s="855"/>
    </row>
    <row r="178" spans="1:15" s="182" customFormat="1" ht="21.75" customHeight="1" x14ac:dyDescent="0.15">
      <c r="A178" s="151" t="s">
        <v>6158</v>
      </c>
      <c r="B178" s="226" t="s">
        <v>679</v>
      </c>
      <c r="C178" s="856" t="s">
        <v>3346</v>
      </c>
      <c r="D178" s="236" t="s">
        <v>3354</v>
      </c>
      <c r="E178" s="30" t="s">
        <v>925</v>
      </c>
      <c r="F178" s="184" t="s">
        <v>3328</v>
      </c>
      <c r="G178" s="235" t="s">
        <v>6152</v>
      </c>
      <c r="H178" s="638" t="s">
        <v>6163</v>
      </c>
      <c r="I178" s="194">
        <v>0</v>
      </c>
      <c r="J178" s="194">
        <v>55055</v>
      </c>
      <c r="K178" s="185">
        <v>1</v>
      </c>
      <c r="L178" s="183" t="s">
        <v>5743</v>
      </c>
      <c r="M178" s="184" t="s">
        <v>3725</v>
      </c>
      <c r="N178" s="184" t="s">
        <v>5255</v>
      </c>
      <c r="O178" s="856"/>
    </row>
    <row r="179" spans="1:15" s="182" customFormat="1" ht="21.75" customHeight="1" x14ac:dyDescent="0.15">
      <c r="A179" s="151" t="s">
        <v>6159</v>
      </c>
      <c r="B179" s="226" t="s">
        <v>6074</v>
      </c>
      <c r="C179" s="856" t="s">
        <v>4963</v>
      </c>
      <c r="D179" s="856" t="s">
        <v>5714</v>
      </c>
      <c r="E179" s="856" t="s">
        <v>5715</v>
      </c>
      <c r="F179" s="224" t="s">
        <v>3328</v>
      </c>
      <c r="G179" s="239" t="s">
        <v>5480</v>
      </c>
      <c r="H179" s="638">
        <v>23055</v>
      </c>
      <c r="I179" s="194">
        <v>0</v>
      </c>
      <c r="J179" s="194">
        <v>45000</v>
      </c>
      <c r="K179" s="185" t="s">
        <v>6032</v>
      </c>
      <c r="L179" s="183" t="s">
        <v>4706</v>
      </c>
      <c r="M179" s="184" t="s">
        <v>5765</v>
      </c>
      <c r="N179" s="184" t="s">
        <v>5765</v>
      </c>
      <c r="O179" s="856"/>
    </row>
    <row r="180" spans="1:15" s="182" customFormat="1" ht="21.75" customHeight="1" x14ac:dyDescent="0.15">
      <c r="A180" s="151" t="s">
        <v>6160</v>
      </c>
      <c r="B180" s="226" t="s">
        <v>6161</v>
      </c>
      <c r="C180" s="856" t="s">
        <v>4982</v>
      </c>
      <c r="D180" s="856" t="s">
        <v>5541</v>
      </c>
      <c r="E180" s="856" t="s">
        <v>5713</v>
      </c>
      <c r="F180" s="184" t="s">
        <v>4944</v>
      </c>
      <c r="G180" s="235" t="s">
        <v>6164</v>
      </c>
      <c r="H180" s="638">
        <v>22023</v>
      </c>
      <c r="I180" s="194">
        <v>0</v>
      </c>
      <c r="J180" s="194">
        <v>80000</v>
      </c>
      <c r="K180" s="185">
        <v>1</v>
      </c>
      <c r="L180" s="183" t="s">
        <v>4707</v>
      </c>
      <c r="M180" s="184" t="s">
        <v>5835</v>
      </c>
      <c r="N180" s="184" t="s">
        <v>662</v>
      </c>
      <c r="O180" s="856"/>
    </row>
    <row r="181" spans="1:15" s="182" customFormat="1" ht="21.75" customHeight="1" x14ac:dyDescent="0.15">
      <c r="A181" s="151" t="s">
        <v>6165</v>
      </c>
      <c r="B181" s="226" t="s">
        <v>5831</v>
      </c>
      <c r="C181" s="236" t="s">
        <v>3337</v>
      </c>
      <c r="D181" s="602" t="s">
        <v>3702</v>
      </c>
      <c r="E181" s="236" t="s">
        <v>4589</v>
      </c>
      <c r="F181" s="241" t="s">
        <v>3340</v>
      </c>
      <c r="G181" s="242" t="s">
        <v>3566</v>
      </c>
      <c r="H181" s="610">
        <v>21027</v>
      </c>
      <c r="I181" s="194">
        <v>0</v>
      </c>
      <c r="J181" s="194">
        <v>70000</v>
      </c>
      <c r="K181" s="185" t="s">
        <v>6032</v>
      </c>
      <c r="L181" s="183" t="s">
        <v>4706</v>
      </c>
      <c r="M181" s="241" t="s">
        <v>4957</v>
      </c>
      <c r="N181" s="241" t="s">
        <v>3726</v>
      </c>
      <c r="O181" s="857"/>
    </row>
    <row r="182" spans="1:15" s="182" customFormat="1" ht="21.75" customHeight="1" x14ac:dyDescent="0.15">
      <c r="A182" s="151" t="s">
        <v>6165</v>
      </c>
      <c r="B182" s="226" t="s">
        <v>913</v>
      </c>
      <c r="C182" s="184" t="s">
        <v>4963</v>
      </c>
      <c r="D182" s="184" t="s">
        <v>5422</v>
      </c>
      <c r="E182" s="184" t="s">
        <v>843</v>
      </c>
      <c r="F182" s="267" t="s">
        <v>3328</v>
      </c>
      <c r="G182" s="239" t="s">
        <v>5240</v>
      </c>
      <c r="H182" s="638">
        <v>22181</v>
      </c>
      <c r="I182" s="194">
        <v>0</v>
      </c>
      <c r="J182" s="194">
        <v>28000</v>
      </c>
      <c r="K182" s="185">
        <v>1</v>
      </c>
      <c r="L182" s="183" t="s">
        <v>4707</v>
      </c>
      <c r="M182" s="241" t="s">
        <v>3433</v>
      </c>
      <c r="N182" s="241" t="s">
        <v>3433</v>
      </c>
      <c r="O182" s="858"/>
    </row>
    <row r="183" spans="1:15" s="182" customFormat="1" ht="21.75" customHeight="1" x14ac:dyDescent="0.15">
      <c r="A183" s="151" t="s">
        <v>6166</v>
      </c>
      <c r="B183" s="226" t="s">
        <v>5224</v>
      </c>
      <c r="C183" s="184" t="s">
        <v>4982</v>
      </c>
      <c r="D183" s="184" t="s">
        <v>4964</v>
      </c>
      <c r="E183" s="184" t="s">
        <v>5856</v>
      </c>
      <c r="F183" s="184" t="s">
        <v>3328</v>
      </c>
      <c r="G183" s="239" t="s">
        <v>5240</v>
      </c>
      <c r="H183" s="638">
        <v>23079</v>
      </c>
      <c r="I183" s="194">
        <v>0</v>
      </c>
      <c r="J183" s="194">
        <v>39620</v>
      </c>
      <c r="K183" s="185">
        <v>1</v>
      </c>
      <c r="L183" s="183" t="s">
        <v>4707</v>
      </c>
      <c r="M183" s="184" t="s">
        <v>6038</v>
      </c>
      <c r="N183" s="184" t="s">
        <v>6038</v>
      </c>
      <c r="O183" s="858"/>
    </row>
    <row r="184" spans="1:15" s="182" customFormat="1" ht="51.75" customHeight="1" x14ac:dyDescent="0.15">
      <c r="A184" s="151" t="s">
        <v>6167</v>
      </c>
      <c r="B184" s="848" t="s">
        <v>6171</v>
      </c>
      <c r="C184" s="860" t="s">
        <v>4982</v>
      </c>
      <c r="D184" s="860" t="s">
        <v>5018</v>
      </c>
      <c r="E184" s="860" t="s">
        <v>664</v>
      </c>
      <c r="F184" s="224" t="s">
        <v>3328</v>
      </c>
      <c r="G184" s="235" t="s">
        <v>6152</v>
      </c>
      <c r="H184" s="638" t="s">
        <v>6170</v>
      </c>
      <c r="I184" s="194">
        <v>0</v>
      </c>
      <c r="J184" s="194">
        <v>55055</v>
      </c>
      <c r="K184" s="185">
        <v>1</v>
      </c>
      <c r="L184" s="183" t="s">
        <v>5743</v>
      </c>
      <c r="M184" s="184" t="s">
        <v>3725</v>
      </c>
      <c r="N184" s="184" t="s">
        <v>3726</v>
      </c>
      <c r="O184" s="859"/>
    </row>
    <row r="185" spans="1:15" s="182" customFormat="1" ht="21.75" customHeight="1" x14ac:dyDescent="0.15">
      <c r="A185" s="151" t="s">
        <v>6168</v>
      </c>
      <c r="B185" s="226" t="s">
        <v>6093</v>
      </c>
      <c r="C185" s="184" t="s">
        <v>4982</v>
      </c>
      <c r="D185" s="184" t="s">
        <v>5018</v>
      </c>
      <c r="E185" s="184" t="s">
        <v>6172</v>
      </c>
      <c r="F185" s="184" t="s">
        <v>5198</v>
      </c>
      <c r="G185" s="235" t="s">
        <v>5530</v>
      </c>
      <c r="H185" s="638">
        <v>23006</v>
      </c>
      <c r="I185" s="194">
        <v>0</v>
      </c>
      <c r="J185" s="194">
        <v>127623.97</v>
      </c>
      <c r="K185" s="185" t="s">
        <v>6173</v>
      </c>
      <c r="L185" s="183" t="s">
        <v>6175</v>
      </c>
      <c r="M185" s="184" t="s">
        <v>5161</v>
      </c>
      <c r="N185" s="184" t="s">
        <v>3726</v>
      </c>
      <c r="O185" s="859"/>
    </row>
    <row r="186" spans="1:15" s="182" customFormat="1" ht="21.75" customHeight="1" x14ac:dyDescent="0.15">
      <c r="A186" s="151" t="s">
        <v>6169</v>
      </c>
      <c r="B186" s="226" t="s">
        <v>6093</v>
      </c>
      <c r="C186" s="184" t="s">
        <v>4982</v>
      </c>
      <c r="D186" s="184" t="s">
        <v>5018</v>
      </c>
      <c r="E186" s="184" t="s">
        <v>6172</v>
      </c>
      <c r="F186" s="184" t="s">
        <v>5198</v>
      </c>
      <c r="G186" s="235" t="s">
        <v>5530</v>
      </c>
      <c r="H186" s="638">
        <v>23006</v>
      </c>
      <c r="I186" s="194">
        <v>220000</v>
      </c>
      <c r="J186" s="194">
        <v>0</v>
      </c>
      <c r="K186" s="185" t="s">
        <v>6174</v>
      </c>
      <c r="L186" s="183" t="s">
        <v>6105</v>
      </c>
      <c r="M186" s="184" t="s">
        <v>5161</v>
      </c>
      <c r="N186" s="184" t="s">
        <v>3726</v>
      </c>
      <c r="O186" s="860" t="s">
        <v>6176</v>
      </c>
    </row>
    <row r="187" spans="1:15" s="182" customFormat="1" ht="21.75" customHeight="1" x14ac:dyDescent="0.15">
      <c r="A187" s="151" t="s">
        <v>6177</v>
      </c>
      <c r="B187" s="226" t="s">
        <v>6178</v>
      </c>
      <c r="C187" s="184" t="s">
        <v>5148</v>
      </c>
      <c r="D187" s="184" t="s">
        <v>5410</v>
      </c>
      <c r="E187" s="184" t="s">
        <v>6182</v>
      </c>
      <c r="F187" s="267" t="s">
        <v>3328</v>
      </c>
      <c r="G187" s="235" t="s">
        <v>5658</v>
      </c>
      <c r="H187" s="638">
        <v>23008</v>
      </c>
      <c r="I187" s="194">
        <v>0</v>
      </c>
      <c r="J187" s="194">
        <v>15000</v>
      </c>
      <c r="K187" s="185">
        <v>0.3</v>
      </c>
      <c r="L187" s="183" t="s">
        <v>4707</v>
      </c>
      <c r="M187" s="184" t="s">
        <v>5771</v>
      </c>
      <c r="N187" s="184" t="s">
        <v>5771</v>
      </c>
      <c r="O187" s="861"/>
    </row>
    <row r="188" spans="1:15" s="182" customFormat="1" ht="21.75" customHeight="1" x14ac:dyDescent="0.15">
      <c r="A188" s="151" t="s">
        <v>6179</v>
      </c>
      <c r="B188" s="226" t="s">
        <v>6180</v>
      </c>
      <c r="C188" s="184" t="s">
        <v>4982</v>
      </c>
      <c r="D188" s="184" t="s">
        <v>5721</v>
      </c>
      <c r="E188" s="184" t="s">
        <v>820</v>
      </c>
      <c r="F188" s="292" t="s">
        <v>3328</v>
      </c>
      <c r="G188" s="235" t="s">
        <v>3381</v>
      </c>
      <c r="H188" s="638">
        <v>23039</v>
      </c>
      <c r="I188" s="194">
        <v>0</v>
      </c>
      <c r="J188" s="194">
        <v>20000</v>
      </c>
      <c r="K188" s="185">
        <v>0.25</v>
      </c>
      <c r="L188" s="183" t="s">
        <v>4706</v>
      </c>
      <c r="M188" s="184" t="s">
        <v>3434</v>
      </c>
      <c r="N188" s="184" t="s">
        <v>5771</v>
      </c>
      <c r="O188" s="861"/>
    </row>
    <row r="189" spans="1:15" s="182" customFormat="1" ht="21.75" customHeight="1" x14ac:dyDescent="0.15">
      <c r="A189" s="151" t="s">
        <v>6179</v>
      </c>
      <c r="B189" s="226" t="s">
        <v>6181</v>
      </c>
      <c r="C189" s="184" t="s">
        <v>4982</v>
      </c>
      <c r="D189" s="184" t="s">
        <v>5721</v>
      </c>
      <c r="E189" s="184" t="s">
        <v>820</v>
      </c>
      <c r="F189" s="292" t="s">
        <v>3328</v>
      </c>
      <c r="G189" s="235" t="s">
        <v>3381</v>
      </c>
      <c r="H189" s="638">
        <v>23039</v>
      </c>
      <c r="I189" s="194">
        <v>0</v>
      </c>
      <c r="J189" s="194">
        <v>20000</v>
      </c>
      <c r="K189" s="185">
        <v>0.25</v>
      </c>
      <c r="L189" s="183" t="s">
        <v>4706</v>
      </c>
      <c r="M189" s="184" t="s">
        <v>3434</v>
      </c>
      <c r="N189" s="184" t="s">
        <v>4708</v>
      </c>
      <c r="O189" s="861"/>
    </row>
    <row r="190" spans="1:15" s="182" customFormat="1" ht="21.75" customHeight="1" x14ac:dyDescent="0.15">
      <c r="A190" s="151" t="s">
        <v>6183</v>
      </c>
      <c r="B190" s="226" t="s">
        <v>5808</v>
      </c>
      <c r="C190" s="862" t="s">
        <v>3368</v>
      </c>
      <c r="D190" s="862" t="s">
        <v>3369</v>
      </c>
      <c r="E190" s="862" t="s">
        <v>3466</v>
      </c>
      <c r="F190" s="224" t="s">
        <v>3328</v>
      </c>
      <c r="G190" s="239" t="s">
        <v>3349</v>
      </c>
      <c r="H190" s="638">
        <v>22036</v>
      </c>
      <c r="I190" s="194">
        <v>0</v>
      </c>
      <c r="J190" s="194">
        <v>79000</v>
      </c>
      <c r="K190" s="222">
        <v>0.98750000000000004</v>
      </c>
      <c r="L190" s="183" t="s">
        <v>4706</v>
      </c>
      <c r="M190" s="184" t="s">
        <v>4399</v>
      </c>
      <c r="N190" s="184" t="s">
        <v>4399</v>
      </c>
      <c r="O190" s="862"/>
    </row>
    <row r="191" spans="1:15" s="182" customFormat="1" ht="21.75" customHeight="1" x14ac:dyDescent="0.15">
      <c r="A191" s="151" t="s">
        <v>6184</v>
      </c>
      <c r="B191" s="226" t="s">
        <v>6185</v>
      </c>
      <c r="C191" s="241" t="s">
        <v>3346</v>
      </c>
      <c r="D191" s="241" t="s">
        <v>3439</v>
      </c>
      <c r="E191" s="241" t="s">
        <v>4194</v>
      </c>
      <c r="F191" s="241" t="s">
        <v>3355</v>
      </c>
      <c r="G191" s="242" t="s">
        <v>4017</v>
      </c>
      <c r="H191" s="638">
        <v>20033</v>
      </c>
      <c r="I191" s="194">
        <v>0</v>
      </c>
      <c r="J191" s="194">
        <v>9400</v>
      </c>
      <c r="K191" s="185">
        <v>0.1</v>
      </c>
      <c r="L191" s="183" t="s">
        <v>4724</v>
      </c>
      <c r="M191" s="184" t="s">
        <v>3433</v>
      </c>
      <c r="N191" s="184" t="s">
        <v>3433</v>
      </c>
      <c r="O191" s="862"/>
    </row>
    <row r="192" spans="1:15" s="182" customFormat="1" ht="21.75" customHeight="1" x14ac:dyDescent="0.15">
      <c r="A192" s="151" t="s">
        <v>6184</v>
      </c>
      <c r="B192" s="226" t="s">
        <v>6185</v>
      </c>
      <c r="C192" s="184" t="s">
        <v>4982</v>
      </c>
      <c r="D192" s="184" t="s">
        <v>5422</v>
      </c>
      <c r="E192" s="184" t="s">
        <v>879</v>
      </c>
      <c r="F192" s="184" t="s">
        <v>4944</v>
      </c>
      <c r="G192" s="235" t="s">
        <v>3336</v>
      </c>
      <c r="H192" s="638" t="s">
        <v>6189</v>
      </c>
      <c r="I192" s="194">
        <v>0</v>
      </c>
      <c r="J192" s="194">
        <v>4400</v>
      </c>
      <c r="K192" s="185" t="s">
        <v>6190</v>
      </c>
      <c r="L192" s="183" t="s">
        <v>4707</v>
      </c>
      <c r="M192" s="184" t="s">
        <v>3433</v>
      </c>
      <c r="N192" s="184" t="s">
        <v>3433</v>
      </c>
      <c r="O192" s="862"/>
    </row>
    <row r="193" spans="1:15" s="182" customFormat="1" ht="21.75" customHeight="1" x14ac:dyDescent="0.15">
      <c r="A193" s="151" t="s">
        <v>6186</v>
      </c>
      <c r="B193" s="226" t="s">
        <v>6111</v>
      </c>
      <c r="C193" s="862" t="s">
        <v>5567</v>
      </c>
      <c r="D193" s="184" t="s">
        <v>5422</v>
      </c>
      <c r="E193" s="862" t="s">
        <v>5572</v>
      </c>
      <c r="F193" s="184" t="s">
        <v>5078</v>
      </c>
      <c r="G193" s="235" t="s">
        <v>5030</v>
      </c>
      <c r="H193" s="181">
        <v>22140</v>
      </c>
      <c r="I193" s="194">
        <v>0</v>
      </c>
      <c r="J193" s="194">
        <v>46000</v>
      </c>
      <c r="K193" s="185">
        <v>0.5</v>
      </c>
      <c r="L193" s="183" t="s">
        <v>4706</v>
      </c>
      <c r="M193" s="184" t="s">
        <v>3433</v>
      </c>
      <c r="N193" s="184" t="s">
        <v>3433</v>
      </c>
      <c r="O193" s="862"/>
    </row>
    <row r="194" spans="1:15" s="182" customFormat="1" ht="21.75" customHeight="1" x14ac:dyDescent="0.15">
      <c r="A194" s="151" t="s">
        <v>6187</v>
      </c>
      <c r="B194" s="226" t="s">
        <v>6188</v>
      </c>
      <c r="C194" s="864"/>
      <c r="D194" s="566"/>
      <c r="E194" s="566"/>
      <c r="F194" s="566"/>
      <c r="G194" s="865"/>
      <c r="H194" s="638">
        <v>23034</v>
      </c>
      <c r="I194" s="194">
        <v>0</v>
      </c>
      <c r="J194" s="194">
        <v>300000</v>
      </c>
      <c r="K194" s="185">
        <v>1</v>
      </c>
      <c r="L194" s="183" t="s">
        <v>4707</v>
      </c>
      <c r="M194" s="184" t="s">
        <v>3725</v>
      </c>
      <c r="N194" s="184" t="s">
        <v>3725</v>
      </c>
      <c r="O194" s="862"/>
    </row>
    <row r="195" spans="1:15" s="182" customFormat="1" ht="21.75" customHeight="1" x14ac:dyDescent="0.15">
      <c r="A195" s="151" t="s">
        <v>6191</v>
      </c>
      <c r="B195" s="226" t="s">
        <v>6128</v>
      </c>
      <c r="C195" s="236" t="s">
        <v>3376</v>
      </c>
      <c r="D195" s="602" t="s">
        <v>3682</v>
      </c>
      <c r="E195" s="236" t="s">
        <v>4243</v>
      </c>
      <c r="F195" s="279" t="s">
        <v>3328</v>
      </c>
      <c r="G195" s="242" t="s">
        <v>3353</v>
      </c>
      <c r="H195" s="638">
        <v>20086</v>
      </c>
      <c r="I195" s="194">
        <v>0</v>
      </c>
      <c r="J195" s="194">
        <v>1200</v>
      </c>
      <c r="K195" s="185">
        <v>0.1</v>
      </c>
      <c r="L195" s="183" t="s">
        <v>4724</v>
      </c>
      <c r="M195" s="184" t="s">
        <v>4708</v>
      </c>
      <c r="N195" s="184" t="s">
        <v>4708</v>
      </c>
      <c r="O195" s="863"/>
    </row>
    <row r="196" spans="1:15" s="182" customFormat="1" ht="21.75" customHeight="1" x14ac:dyDescent="0.15">
      <c r="A196" s="151" t="s">
        <v>6191</v>
      </c>
      <c r="B196" s="226" t="s">
        <v>666</v>
      </c>
      <c r="C196" s="184" t="s">
        <v>3376</v>
      </c>
      <c r="D196" s="184" t="s">
        <v>3682</v>
      </c>
      <c r="E196" s="184" t="s">
        <v>3871</v>
      </c>
      <c r="F196" s="184" t="s">
        <v>3328</v>
      </c>
      <c r="G196" s="235" t="s">
        <v>3353</v>
      </c>
      <c r="H196" s="638">
        <v>21082</v>
      </c>
      <c r="I196" s="194">
        <v>0</v>
      </c>
      <c r="J196" s="194">
        <v>1500</v>
      </c>
      <c r="K196" s="185">
        <v>0.1</v>
      </c>
      <c r="L196" s="183" t="s">
        <v>4724</v>
      </c>
      <c r="M196" s="184" t="s">
        <v>4708</v>
      </c>
      <c r="N196" s="184" t="s">
        <v>4708</v>
      </c>
      <c r="O196" s="863"/>
    </row>
    <row r="197" spans="1:15" s="182" customFormat="1" ht="21.75" customHeight="1" x14ac:dyDescent="0.15">
      <c r="A197" s="151" t="s">
        <v>6191</v>
      </c>
      <c r="B197" s="226" t="s">
        <v>6127</v>
      </c>
      <c r="C197" s="241" t="s">
        <v>3376</v>
      </c>
      <c r="D197" s="241" t="s">
        <v>3682</v>
      </c>
      <c r="E197" s="236" t="s">
        <v>3683</v>
      </c>
      <c r="F197" s="241" t="s">
        <v>3332</v>
      </c>
      <c r="G197" s="242" t="s">
        <v>3353</v>
      </c>
      <c r="H197" s="638">
        <v>21050</v>
      </c>
      <c r="I197" s="194">
        <v>0</v>
      </c>
      <c r="J197" s="194">
        <v>1850</v>
      </c>
      <c r="K197" s="185">
        <v>0.1</v>
      </c>
      <c r="L197" s="183" t="s">
        <v>4724</v>
      </c>
      <c r="M197" s="184" t="s">
        <v>4708</v>
      </c>
      <c r="N197" s="184" t="s">
        <v>4708</v>
      </c>
      <c r="O197" s="863"/>
    </row>
    <row r="198" spans="1:15" s="182" customFormat="1" ht="21.75" customHeight="1" x14ac:dyDescent="0.15">
      <c r="A198" s="151" t="s">
        <v>6191</v>
      </c>
      <c r="B198" s="226" t="s">
        <v>6127</v>
      </c>
      <c r="C198" s="241" t="s">
        <v>3376</v>
      </c>
      <c r="D198" s="241" t="s">
        <v>3682</v>
      </c>
      <c r="E198" s="236" t="s">
        <v>3683</v>
      </c>
      <c r="F198" s="241" t="s">
        <v>4710</v>
      </c>
      <c r="G198" s="242" t="s">
        <v>3386</v>
      </c>
      <c r="H198" s="638">
        <v>21051</v>
      </c>
      <c r="I198" s="194">
        <v>0</v>
      </c>
      <c r="J198" s="194">
        <v>600</v>
      </c>
      <c r="K198" s="185">
        <v>0.1</v>
      </c>
      <c r="L198" s="183" t="s">
        <v>4724</v>
      </c>
      <c r="M198" s="184" t="s">
        <v>4708</v>
      </c>
      <c r="N198" s="184" t="s">
        <v>4708</v>
      </c>
      <c r="O198" s="867"/>
    </row>
    <row r="199" spans="1:15" s="182" customFormat="1" ht="21.75" customHeight="1" x14ac:dyDescent="0.15">
      <c r="A199" s="151" t="s">
        <v>6191</v>
      </c>
      <c r="B199" s="226" t="s">
        <v>6129</v>
      </c>
      <c r="C199" s="236" t="s">
        <v>3376</v>
      </c>
      <c r="D199" s="602" t="s">
        <v>3682</v>
      </c>
      <c r="E199" s="236" t="s">
        <v>4245</v>
      </c>
      <c r="F199" s="279" t="s">
        <v>3328</v>
      </c>
      <c r="G199" s="242" t="s">
        <v>3353</v>
      </c>
      <c r="H199" s="638">
        <v>20097</v>
      </c>
      <c r="I199" s="194">
        <v>0</v>
      </c>
      <c r="J199" s="194">
        <v>970</v>
      </c>
      <c r="K199" s="185">
        <v>0.1</v>
      </c>
      <c r="L199" s="183" t="s">
        <v>4724</v>
      </c>
      <c r="M199" s="184" t="s">
        <v>4708</v>
      </c>
      <c r="N199" s="184" t="s">
        <v>4708</v>
      </c>
      <c r="O199" s="863"/>
    </row>
    <row r="200" spans="1:15" s="182" customFormat="1" ht="21.75" customHeight="1" x14ac:dyDescent="0.15">
      <c r="A200" s="151" t="s">
        <v>6191</v>
      </c>
      <c r="B200" s="226" t="s">
        <v>5852</v>
      </c>
      <c r="C200" s="867" t="s">
        <v>5156</v>
      </c>
      <c r="D200" s="867" t="s">
        <v>5153</v>
      </c>
      <c r="E200" s="867" t="s">
        <v>5863</v>
      </c>
      <c r="F200" s="184" t="s">
        <v>5078</v>
      </c>
      <c r="G200" s="235" t="s">
        <v>6195</v>
      </c>
      <c r="H200" s="638">
        <v>21119</v>
      </c>
      <c r="I200" s="194">
        <v>0</v>
      </c>
      <c r="J200" s="194">
        <v>220000</v>
      </c>
      <c r="K200" s="185" t="s">
        <v>6196</v>
      </c>
      <c r="L200" s="183" t="s">
        <v>4707</v>
      </c>
      <c r="M200" s="184" t="s">
        <v>4708</v>
      </c>
      <c r="N200" s="184" t="s">
        <v>4708</v>
      </c>
      <c r="O200" s="863"/>
    </row>
    <row r="201" spans="1:15" s="182" customFormat="1" ht="21.75" customHeight="1" x14ac:dyDescent="0.15">
      <c r="A201" s="151" t="s">
        <v>6192</v>
      </c>
      <c r="B201" s="226" t="s">
        <v>866</v>
      </c>
      <c r="C201" s="867" t="s">
        <v>4982</v>
      </c>
      <c r="D201" s="184" t="s">
        <v>5422</v>
      </c>
      <c r="E201" s="867" t="s">
        <v>5828</v>
      </c>
      <c r="F201" s="292" t="s">
        <v>3328</v>
      </c>
      <c r="G201" s="235" t="s">
        <v>5030</v>
      </c>
      <c r="H201" s="638">
        <v>21164</v>
      </c>
      <c r="I201" s="194">
        <v>0</v>
      </c>
      <c r="J201" s="194">
        <v>48000</v>
      </c>
      <c r="K201" s="185">
        <v>0.5</v>
      </c>
      <c r="L201" s="183" t="s">
        <v>4706</v>
      </c>
      <c r="M201" s="184" t="s">
        <v>3433</v>
      </c>
      <c r="N201" s="184" t="s">
        <v>3433</v>
      </c>
      <c r="O201" s="866"/>
    </row>
    <row r="202" spans="1:15" s="182" customFormat="1" ht="21.75" customHeight="1" x14ac:dyDescent="0.15">
      <c r="A202" s="151" t="s">
        <v>6192</v>
      </c>
      <c r="B202" s="226" t="s">
        <v>6194</v>
      </c>
      <c r="C202" s="867" t="s">
        <v>4982</v>
      </c>
      <c r="D202" s="867" t="s">
        <v>5422</v>
      </c>
      <c r="E202" s="867" t="s">
        <v>5506</v>
      </c>
      <c r="F202" s="184" t="s">
        <v>5078</v>
      </c>
      <c r="G202" s="235" t="s">
        <v>5030</v>
      </c>
      <c r="H202" s="638">
        <v>21160</v>
      </c>
      <c r="I202" s="194">
        <v>0</v>
      </c>
      <c r="J202" s="194">
        <v>48000</v>
      </c>
      <c r="K202" s="185">
        <v>0.5</v>
      </c>
      <c r="L202" s="183" t="s">
        <v>4706</v>
      </c>
      <c r="M202" s="184" t="s">
        <v>3433</v>
      </c>
      <c r="N202" s="184" t="s">
        <v>3433</v>
      </c>
      <c r="O202" s="866"/>
    </row>
    <row r="203" spans="1:15" s="182" customFormat="1" ht="21.75" customHeight="1" x14ac:dyDescent="0.15">
      <c r="A203" s="151" t="s">
        <v>6192</v>
      </c>
      <c r="B203" s="226" t="s">
        <v>6194</v>
      </c>
      <c r="C203" s="867" t="s">
        <v>4982</v>
      </c>
      <c r="D203" s="867" t="s">
        <v>5422</v>
      </c>
      <c r="E203" s="867" t="s">
        <v>5506</v>
      </c>
      <c r="F203" s="184" t="s">
        <v>5078</v>
      </c>
      <c r="G203" s="235" t="s">
        <v>5030</v>
      </c>
      <c r="H203" s="638">
        <v>21160</v>
      </c>
      <c r="I203" s="194">
        <v>0</v>
      </c>
      <c r="J203" s="194">
        <v>48000</v>
      </c>
      <c r="K203" s="185">
        <v>0.5</v>
      </c>
      <c r="L203" s="183" t="s">
        <v>4706</v>
      </c>
      <c r="M203" s="184" t="s">
        <v>3433</v>
      </c>
      <c r="N203" s="184" t="s">
        <v>3433</v>
      </c>
      <c r="O203" s="866"/>
    </row>
    <row r="204" spans="1:15" s="182" customFormat="1" ht="21.75" customHeight="1" x14ac:dyDescent="0.15">
      <c r="A204" s="151" t="s">
        <v>6192</v>
      </c>
      <c r="B204" s="226" t="s">
        <v>5849</v>
      </c>
      <c r="C204" s="241" t="s">
        <v>3376</v>
      </c>
      <c r="D204" s="241" t="s">
        <v>3380</v>
      </c>
      <c r="E204" s="241" t="s">
        <v>3914</v>
      </c>
      <c r="F204" s="241" t="s">
        <v>3328</v>
      </c>
      <c r="G204" s="242" t="s">
        <v>6197</v>
      </c>
      <c r="H204" s="638">
        <v>21017</v>
      </c>
      <c r="I204" s="194">
        <v>0</v>
      </c>
      <c r="J204" s="194">
        <v>198000</v>
      </c>
      <c r="K204" s="185">
        <v>1</v>
      </c>
      <c r="L204" s="183" t="s">
        <v>4707</v>
      </c>
      <c r="M204" s="184" t="s">
        <v>4708</v>
      </c>
      <c r="N204" s="184" t="s">
        <v>4708</v>
      </c>
      <c r="O204" s="866"/>
    </row>
    <row r="205" spans="1:15" s="182" customFormat="1" ht="21.75" customHeight="1" x14ac:dyDescent="0.15">
      <c r="A205" s="151" t="s">
        <v>6193</v>
      </c>
      <c r="B205" s="226" t="s">
        <v>5201</v>
      </c>
      <c r="C205" s="868" t="s">
        <v>5213</v>
      </c>
      <c r="D205" s="868" t="s">
        <v>5214</v>
      </c>
      <c r="E205" s="868" t="s">
        <v>5215</v>
      </c>
      <c r="F205" s="184" t="s">
        <v>3340</v>
      </c>
      <c r="G205" s="235" t="s">
        <v>6198</v>
      </c>
      <c r="H205" s="181">
        <v>23084</v>
      </c>
      <c r="I205" s="194">
        <v>0</v>
      </c>
      <c r="J205" s="194">
        <v>48000</v>
      </c>
      <c r="K205" s="185">
        <v>1</v>
      </c>
      <c r="L205" s="183" t="s">
        <v>4707</v>
      </c>
      <c r="M205" s="184" t="s">
        <v>3726</v>
      </c>
      <c r="N205" s="184" t="s">
        <v>3726</v>
      </c>
      <c r="O205" s="866"/>
    </row>
    <row r="206" spans="1:15" s="182" customFormat="1" ht="54" customHeight="1" x14ac:dyDescent="0.15">
      <c r="A206" s="151" t="s">
        <v>6199</v>
      </c>
      <c r="B206" s="848" t="s">
        <v>6204</v>
      </c>
      <c r="C206" s="869" t="s">
        <v>3346</v>
      </c>
      <c r="D206" s="869" t="s">
        <v>3354</v>
      </c>
      <c r="E206" s="869" t="s">
        <v>3675</v>
      </c>
      <c r="F206" s="224" t="s">
        <v>3328</v>
      </c>
      <c r="G206" s="235" t="s">
        <v>6152</v>
      </c>
      <c r="H206" s="638" t="s">
        <v>6203</v>
      </c>
      <c r="I206" s="194">
        <v>0</v>
      </c>
      <c r="J206" s="194">
        <v>55055</v>
      </c>
      <c r="K206" s="185">
        <v>1</v>
      </c>
      <c r="L206" s="183" t="s">
        <v>4706</v>
      </c>
      <c r="M206" s="184" t="s">
        <v>3725</v>
      </c>
      <c r="N206" s="184" t="s">
        <v>3726</v>
      </c>
      <c r="O206" s="869"/>
    </row>
    <row r="207" spans="1:15" s="182" customFormat="1" ht="21.75" customHeight="1" x14ac:dyDescent="0.15">
      <c r="A207" s="151" t="s">
        <v>6200</v>
      </c>
      <c r="B207" s="226" t="s">
        <v>6111</v>
      </c>
      <c r="C207" s="184" t="s">
        <v>5567</v>
      </c>
      <c r="D207" s="184" t="s">
        <v>5422</v>
      </c>
      <c r="E207" s="184" t="s">
        <v>5572</v>
      </c>
      <c r="F207" s="184" t="s">
        <v>5078</v>
      </c>
      <c r="G207" s="235" t="s">
        <v>3353</v>
      </c>
      <c r="H207" s="638">
        <v>22132</v>
      </c>
      <c r="I207" s="194">
        <v>0</v>
      </c>
      <c r="J207" s="194">
        <v>9450</v>
      </c>
      <c r="K207" s="185">
        <v>1</v>
      </c>
      <c r="L207" s="183" t="s">
        <v>4707</v>
      </c>
      <c r="M207" s="184" t="s">
        <v>3433</v>
      </c>
      <c r="N207" s="184" t="s">
        <v>3433</v>
      </c>
      <c r="O207" s="869"/>
    </row>
    <row r="208" spans="1:15" s="182" customFormat="1" ht="21.75" customHeight="1" x14ac:dyDescent="0.15">
      <c r="A208" s="151" t="s">
        <v>6201</v>
      </c>
      <c r="B208" s="226" t="s">
        <v>6202</v>
      </c>
      <c r="C208" s="184" t="s">
        <v>4982</v>
      </c>
      <c r="D208" s="184" t="s">
        <v>6205</v>
      </c>
      <c r="E208" s="184" t="s">
        <v>6206</v>
      </c>
      <c r="F208" s="184" t="s">
        <v>3328</v>
      </c>
      <c r="G208" s="239" t="s">
        <v>5240</v>
      </c>
      <c r="H208" s="638">
        <v>22119</v>
      </c>
      <c r="I208" s="194">
        <v>0</v>
      </c>
      <c r="J208" s="194">
        <v>30000</v>
      </c>
      <c r="K208" s="185">
        <v>1</v>
      </c>
      <c r="L208" s="183" t="s">
        <v>4707</v>
      </c>
      <c r="M208" s="184" t="s">
        <v>3434</v>
      </c>
      <c r="N208" s="184" t="s">
        <v>3434</v>
      </c>
      <c r="O208" s="869"/>
    </row>
    <row r="209" spans="1:15" s="182" customFormat="1" ht="21.75" customHeight="1" x14ac:dyDescent="0.15">
      <c r="A209" s="151" t="s">
        <v>6207</v>
      </c>
      <c r="B209" s="226" t="s">
        <v>6209</v>
      </c>
      <c r="C209" s="184" t="s">
        <v>6216</v>
      </c>
      <c r="D209" s="184" t="s">
        <v>5422</v>
      </c>
      <c r="E209" s="184" t="s">
        <v>6217</v>
      </c>
      <c r="F209" s="184" t="s">
        <v>5078</v>
      </c>
      <c r="G209" s="235" t="s">
        <v>6218</v>
      </c>
      <c r="H209" s="638">
        <v>23047</v>
      </c>
      <c r="I209" s="194">
        <v>0</v>
      </c>
      <c r="J209" s="194">
        <v>30000</v>
      </c>
      <c r="K209" s="185">
        <v>1</v>
      </c>
      <c r="L209" s="183" t="s">
        <v>4707</v>
      </c>
      <c r="M209" s="184" t="s">
        <v>4399</v>
      </c>
      <c r="N209" s="184" t="s">
        <v>4399</v>
      </c>
      <c r="O209" s="870"/>
    </row>
    <row r="210" spans="1:15" s="182" customFormat="1" ht="21.75" customHeight="1" x14ac:dyDescent="0.15">
      <c r="A210" s="151" t="s">
        <v>6208</v>
      </c>
      <c r="B210" s="226" t="s">
        <v>5968</v>
      </c>
      <c r="C210" s="236" t="s">
        <v>3346</v>
      </c>
      <c r="D210" s="872" t="s">
        <v>3354</v>
      </c>
      <c r="E210" s="180" t="s">
        <v>4130</v>
      </c>
      <c r="F210" s="224" t="s">
        <v>3328</v>
      </c>
      <c r="G210" s="235" t="s">
        <v>6152</v>
      </c>
      <c r="H210" s="638">
        <v>23003</v>
      </c>
      <c r="I210" s="194">
        <v>0</v>
      </c>
      <c r="J210" s="194">
        <v>55055</v>
      </c>
      <c r="K210" s="185">
        <v>1</v>
      </c>
      <c r="L210" s="183" t="s">
        <v>4706</v>
      </c>
      <c r="M210" s="184" t="s">
        <v>3725</v>
      </c>
      <c r="N210" s="184" t="s">
        <v>3726</v>
      </c>
      <c r="O210" s="870"/>
    </row>
    <row r="211" spans="1:15" s="182" customFormat="1" ht="21.75" customHeight="1" x14ac:dyDescent="0.15">
      <c r="A211" s="151" t="s">
        <v>6208</v>
      </c>
      <c r="B211" s="226" t="s">
        <v>6210</v>
      </c>
      <c r="C211" s="241" t="s">
        <v>3363</v>
      </c>
      <c r="D211" s="241" t="s">
        <v>3460</v>
      </c>
      <c r="E211" s="241" t="s">
        <v>3461</v>
      </c>
      <c r="F211" s="241" t="s">
        <v>3332</v>
      </c>
      <c r="G211" s="242" t="s">
        <v>3349</v>
      </c>
      <c r="H211" s="638">
        <v>20113</v>
      </c>
      <c r="I211" s="194">
        <v>0</v>
      </c>
      <c r="J211" s="194">
        <v>20000</v>
      </c>
      <c r="K211" s="185">
        <v>0.2</v>
      </c>
      <c r="L211" s="183" t="s">
        <v>4706</v>
      </c>
      <c r="M211" s="241" t="s">
        <v>6219</v>
      </c>
      <c r="N211" s="241" t="s">
        <v>3957</v>
      </c>
      <c r="O211" s="870"/>
    </row>
    <row r="212" spans="1:15" s="182" customFormat="1" ht="21.75" customHeight="1" x14ac:dyDescent="0.15">
      <c r="A212" s="151" t="s">
        <v>6211</v>
      </c>
      <c r="B212" s="226" t="s">
        <v>6214</v>
      </c>
      <c r="C212" s="873" t="s">
        <v>4982</v>
      </c>
      <c r="D212" s="873" t="s">
        <v>6220</v>
      </c>
      <c r="E212" s="873" t="s">
        <v>6221</v>
      </c>
      <c r="F212" s="184" t="s">
        <v>5078</v>
      </c>
      <c r="G212" s="235" t="s">
        <v>6222</v>
      </c>
      <c r="H212" s="638">
        <v>23097</v>
      </c>
      <c r="I212" s="194">
        <v>0</v>
      </c>
      <c r="J212" s="194">
        <v>18600</v>
      </c>
      <c r="K212" s="185">
        <v>0.1</v>
      </c>
      <c r="L212" s="183" t="s">
        <v>4727</v>
      </c>
      <c r="M212" s="184" t="s">
        <v>4399</v>
      </c>
      <c r="N212" s="184" t="s">
        <v>4399</v>
      </c>
      <c r="O212" s="871"/>
    </row>
    <row r="213" spans="1:15" s="182" customFormat="1" ht="21.75" customHeight="1" x14ac:dyDescent="0.15">
      <c r="A213" s="151" t="s">
        <v>6212</v>
      </c>
      <c r="B213" s="226" t="s">
        <v>5933</v>
      </c>
      <c r="C213" s="241" t="s">
        <v>3351</v>
      </c>
      <c r="D213" s="241" t="s">
        <v>3354</v>
      </c>
      <c r="E213" s="241" t="s">
        <v>3635</v>
      </c>
      <c r="F213" s="241" t="s">
        <v>3328</v>
      </c>
      <c r="G213" s="242" t="s">
        <v>5482</v>
      </c>
      <c r="H213" s="638">
        <v>20109</v>
      </c>
      <c r="I213" s="194">
        <v>0</v>
      </c>
      <c r="J213" s="194">
        <v>90000</v>
      </c>
      <c r="K213" s="185" t="s">
        <v>6032</v>
      </c>
      <c r="L213" s="183" t="s">
        <v>4706</v>
      </c>
      <c r="M213" s="184" t="s">
        <v>4699</v>
      </c>
      <c r="N213" s="184" t="s">
        <v>3726</v>
      </c>
      <c r="O213" s="871"/>
    </row>
    <row r="214" spans="1:15" s="182" customFormat="1" ht="21.75" customHeight="1" x14ac:dyDescent="0.15">
      <c r="A214" s="151" t="s">
        <v>6213</v>
      </c>
      <c r="B214" s="226" t="s">
        <v>6215</v>
      </c>
      <c r="C214" s="615" t="s">
        <v>3371</v>
      </c>
      <c r="D214" s="241" t="s">
        <v>3398</v>
      </c>
      <c r="E214" s="614" t="s">
        <v>3592</v>
      </c>
      <c r="F214" s="238" t="s">
        <v>3328</v>
      </c>
      <c r="G214" s="240" t="s">
        <v>3417</v>
      </c>
      <c r="H214" s="638">
        <v>15016</v>
      </c>
      <c r="I214" s="194">
        <v>0</v>
      </c>
      <c r="J214" s="194">
        <v>227334</v>
      </c>
      <c r="K214" s="185" t="s">
        <v>6224</v>
      </c>
      <c r="L214" s="183" t="s">
        <v>5004</v>
      </c>
      <c r="M214" s="267" t="s">
        <v>3612</v>
      </c>
      <c r="N214" s="241" t="s">
        <v>4399</v>
      </c>
      <c r="O214" s="871"/>
    </row>
    <row r="215" spans="1:15" s="182" customFormat="1" ht="21.75" customHeight="1" x14ac:dyDescent="0.15">
      <c r="A215" s="151" t="s">
        <v>6223</v>
      </c>
      <c r="B215" s="226" t="s">
        <v>5265</v>
      </c>
      <c r="C215" s="875" t="s">
        <v>3346</v>
      </c>
      <c r="D215" s="875" t="s">
        <v>3354</v>
      </c>
      <c r="E215" s="875" t="s">
        <v>846</v>
      </c>
      <c r="F215" s="267" t="s">
        <v>3328</v>
      </c>
      <c r="G215" s="235" t="s">
        <v>6152</v>
      </c>
      <c r="H215" s="638" t="s">
        <v>6225</v>
      </c>
      <c r="I215" s="194">
        <v>0</v>
      </c>
      <c r="J215" s="194">
        <v>55055</v>
      </c>
      <c r="K215" s="185">
        <v>1</v>
      </c>
      <c r="L215" s="183" t="s">
        <v>4706</v>
      </c>
      <c r="M215" s="184" t="s">
        <v>3725</v>
      </c>
      <c r="N215" s="184" t="s">
        <v>3726</v>
      </c>
      <c r="O215" s="874"/>
    </row>
    <row r="216" spans="1:15" s="182" customFormat="1" ht="21.75" customHeight="1" x14ac:dyDescent="0.15">
      <c r="A216" s="151" t="s">
        <v>6226</v>
      </c>
      <c r="B216" s="226" t="s">
        <v>6227</v>
      </c>
      <c r="C216" s="184" t="s">
        <v>4963</v>
      </c>
      <c r="D216" s="184" t="s">
        <v>5422</v>
      </c>
      <c r="E216" s="184" t="s">
        <v>5423</v>
      </c>
      <c r="F216" s="267" t="s">
        <v>3328</v>
      </c>
      <c r="G216" s="239" t="s">
        <v>5240</v>
      </c>
      <c r="H216" s="638">
        <v>22180</v>
      </c>
      <c r="I216" s="194">
        <v>0</v>
      </c>
      <c r="J216" s="194">
        <v>28000</v>
      </c>
      <c r="K216" s="185">
        <v>1</v>
      </c>
      <c r="L216" s="183" t="s">
        <v>4707</v>
      </c>
      <c r="M216" s="184" t="s">
        <v>3433</v>
      </c>
      <c r="N216" s="184" t="s">
        <v>3433</v>
      </c>
      <c r="O216" s="876"/>
    </row>
    <row r="217" spans="1:15" s="182" customFormat="1" ht="21.75" customHeight="1" x14ac:dyDescent="0.15">
      <c r="A217" s="151" t="s">
        <v>6226</v>
      </c>
      <c r="B217" s="226" t="s">
        <v>6228</v>
      </c>
      <c r="C217" s="184" t="s">
        <v>4982</v>
      </c>
      <c r="D217" s="184" t="s">
        <v>5422</v>
      </c>
      <c r="E217" s="184" t="s">
        <v>5427</v>
      </c>
      <c r="F217" s="267" t="s">
        <v>3328</v>
      </c>
      <c r="G217" s="239" t="s">
        <v>5240</v>
      </c>
      <c r="H217" s="638">
        <v>22182</v>
      </c>
      <c r="I217" s="194">
        <v>0</v>
      </c>
      <c r="J217" s="194">
        <v>28000</v>
      </c>
      <c r="K217" s="185">
        <v>1</v>
      </c>
      <c r="L217" s="183" t="s">
        <v>4707</v>
      </c>
      <c r="M217" s="184" t="s">
        <v>3433</v>
      </c>
      <c r="N217" s="184" t="s">
        <v>3433</v>
      </c>
      <c r="O217" s="876"/>
    </row>
    <row r="218" spans="1:15" s="182" customFormat="1" ht="21.75" customHeight="1" x14ac:dyDescent="0.15">
      <c r="A218" s="151" t="s">
        <v>6229</v>
      </c>
      <c r="B218" s="226" t="s">
        <v>5894</v>
      </c>
      <c r="C218" s="883" t="s">
        <v>4963</v>
      </c>
      <c r="D218" s="883" t="s">
        <v>5018</v>
      </c>
      <c r="E218" s="883" t="s">
        <v>5907</v>
      </c>
      <c r="F218" s="184" t="s">
        <v>5078</v>
      </c>
      <c r="G218" s="235" t="s">
        <v>5795</v>
      </c>
      <c r="H218" s="638">
        <v>23012</v>
      </c>
      <c r="I218" s="194">
        <v>0</v>
      </c>
      <c r="J218" s="194">
        <v>230000</v>
      </c>
      <c r="K218" s="185">
        <v>1</v>
      </c>
      <c r="L218" s="183" t="s">
        <v>4707</v>
      </c>
      <c r="M218" s="184" t="s">
        <v>5765</v>
      </c>
      <c r="N218" s="184" t="s">
        <v>5765</v>
      </c>
      <c r="O218" s="876"/>
    </row>
    <row r="219" spans="1:15" s="182" customFormat="1" ht="21.75" customHeight="1" x14ac:dyDescent="0.15">
      <c r="A219" s="151" t="s">
        <v>6229</v>
      </c>
      <c r="B219" s="226" t="s">
        <v>5893</v>
      </c>
      <c r="C219" s="883" t="s">
        <v>4963</v>
      </c>
      <c r="D219" s="883" t="s">
        <v>5018</v>
      </c>
      <c r="E219" s="883" t="s">
        <v>5904</v>
      </c>
      <c r="F219" s="184" t="s">
        <v>5078</v>
      </c>
      <c r="G219" s="235" t="s">
        <v>5795</v>
      </c>
      <c r="H219" s="638">
        <v>23009</v>
      </c>
      <c r="I219" s="194">
        <v>0</v>
      </c>
      <c r="J219" s="194">
        <v>205000</v>
      </c>
      <c r="K219" s="185">
        <v>1</v>
      </c>
      <c r="L219" s="183" t="s">
        <v>4707</v>
      </c>
      <c r="M219" s="184" t="s">
        <v>5765</v>
      </c>
      <c r="N219" s="184" t="s">
        <v>5765</v>
      </c>
      <c r="O219" s="876"/>
    </row>
    <row r="220" spans="1:15" s="182" customFormat="1" ht="21.75" customHeight="1" x14ac:dyDescent="0.15">
      <c r="A220" s="151" t="s">
        <v>6229</v>
      </c>
      <c r="B220" s="226" t="s">
        <v>6227</v>
      </c>
      <c r="C220" s="184" t="s">
        <v>4963</v>
      </c>
      <c r="D220" s="184" t="s">
        <v>5422</v>
      </c>
      <c r="E220" s="184" t="s">
        <v>5423</v>
      </c>
      <c r="F220" s="292" t="s">
        <v>3328</v>
      </c>
      <c r="G220" s="235" t="s">
        <v>5030</v>
      </c>
      <c r="H220" s="638">
        <v>21191</v>
      </c>
      <c r="I220" s="194">
        <v>0</v>
      </c>
      <c r="J220" s="194">
        <v>48000</v>
      </c>
      <c r="K220" s="185">
        <v>0.5</v>
      </c>
      <c r="L220" s="183" t="s">
        <v>4706</v>
      </c>
      <c r="M220" s="184" t="s">
        <v>3433</v>
      </c>
      <c r="N220" s="184" t="s">
        <v>3433</v>
      </c>
      <c r="O220" s="876"/>
    </row>
    <row r="221" spans="1:15" s="182" customFormat="1" ht="21.75" customHeight="1" x14ac:dyDescent="0.15">
      <c r="A221" s="151" t="s">
        <v>6229</v>
      </c>
      <c r="B221" s="226" t="s">
        <v>5845</v>
      </c>
      <c r="C221" s="883" t="s">
        <v>5567</v>
      </c>
      <c r="D221" s="883" t="s">
        <v>4942</v>
      </c>
      <c r="E221" s="883" t="s">
        <v>5728</v>
      </c>
      <c r="F221" s="184" t="s">
        <v>5078</v>
      </c>
      <c r="G221" s="235" t="s">
        <v>5249</v>
      </c>
      <c r="H221" s="878" t="s">
        <v>6246</v>
      </c>
      <c r="I221" s="194">
        <v>0</v>
      </c>
      <c r="J221" s="194">
        <v>79538.399999999994</v>
      </c>
      <c r="K221" s="185">
        <v>0.9</v>
      </c>
      <c r="L221" s="183" t="s">
        <v>4711</v>
      </c>
      <c r="M221" s="184" t="s">
        <v>5765</v>
      </c>
      <c r="N221" s="184" t="s">
        <v>5765</v>
      </c>
      <c r="O221" s="876"/>
    </row>
    <row r="222" spans="1:15" s="182" customFormat="1" ht="21.75" customHeight="1" x14ac:dyDescent="0.15">
      <c r="A222" s="151" t="s">
        <v>6229</v>
      </c>
      <c r="B222" s="226" t="s">
        <v>5845</v>
      </c>
      <c r="C222" s="883" t="s">
        <v>5567</v>
      </c>
      <c r="D222" s="883" t="s">
        <v>4942</v>
      </c>
      <c r="E222" s="883" t="s">
        <v>5728</v>
      </c>
      <c r="F222" s="184" t="s">
        <v>3400</v>
      </c>
      <c r="G222" s="235" t="s">
        <v>5249</v>
      </c>
      <c r="H222" s="878" t="s">
        <v>6247</v>
      </c>
      <c r="I222" s="194">
        <v>0</v>
      </c>
      <c r="J222" s="194">
        <v>29160</v>
      </c>
      <c r="K222" s="185">
        <v>0.9</v>
      </c>
      <c r="L222" s="183" t="s">
        <v>4711</v>
      </c>
      <c r="M222" s="184" t="s">
        <v>5765</v>
      </c>
      <c r="N222" s="184" t="s">
        <v>5765</v>
      </c>
      <c r="O222" s="883"/>
    </row>
    <row r="223" spans="1:15" s="182" customFormat="1" ht="21.75" customHeight="1" x14ac:dyDescent="0.15">
      <c r="A223" s="151" t="s">
        <v>6230</v>
      </c>
      <c r="B223" s="226" t="s">
        <v>5797</v>
      </c>
      <c r="C223" s="184" t="s">
        <v>4982</v>
      </c>
      <c r="D223" s="184" t="s">
        <v>5422</v>
      </c>
      <c r="E223" s="184" t="s">
        <v>5798</v>
      </c>
      <c r="F223" s="184" t="s">
        <v>3400</v>
      </c>
      <c r="G223" s="235" t="s">
        <v>5799</v>
      </c>
      <c r="H223" s="638" t="s">
        <v>5801</v>
      </c>
      <c r="I223" s="194">
        <v>0</v>
      </c>
      <c r="J223" s="194">
        <v>9240</v>
      </c>
      <c r="K223" s="185" t="s">
        <v>6147</v>
      </c>
      <c r="L223" s="183" t="s">
        <v>4849</v>
      </c>
      <c r="M223" s="184" t="s">
        <v>3433</v>
      </c>
      <c r="N223" s="184" t="s">
        <v>3433</v>
      </c>
      <c r="O223" s="876" t="s">
        <v>6264</v>
      </c>
    </row>
    <row r="224" spans="1:15" s="182" customFormat="1" ht="21.75" customHeight="1" x14ac:dyDescent="0.15">
      <c r="A224" s="151" t="s">
        <v>6231</v>
      </c>
      <c r="B224" s="226" t="s">
        <v>6227</v>
      </c>
      <c r="C224" s="184" t="s">
        <v>4963</v>
      </c>
      <c r="D224" s="184" t="s">
        <v>5422</v>
      </c>
      <c r="E224" s="184" t="s">
        <v>5423</v>
      </c>
      <c r="F224" s="267" t="s">
        <v>3328</v>
      </c>
      <c r="G224" s="239" t="s">
        <v>3353</v>
      </c>
      <c r="H224" s="638">
        <v>23046</v>
      </c>
      <c r="I224" s="194">
        <v>0</v>
      </c>
      <c r="J224" s="194">
        <v>47620</v>
      </c>
      <c r="K224" s="185">
        <v>1</v>
      </c>
      <c r="L224" s="183" t="s">
        <v>4707</v>
      </c>
      <c r="M224" s="184" t="s">
        <v>3433</v>
      </c>
      <c r="N224" s="184" t="s">
        <v>3433</v>
      </c>
      <c r="O224" s="876"/>
    </row>
    <row r="225" spans="1:15" s="182" customFormat="1" ht="21.75" customHeight="1" x14ac:dyDescent="0.15">
      <c r="A225" s="151" t="s">
        <v>6231</v>
      </c>
      <c r="B225" s="226" t="s">
        <v>5260</v>
      </c>
      <c r="C225" s="883" t="s">
        <v>3346</v>
      </c>
      <c r="D225" s="883" t="s">
        <v>3354</v>
      </c>
      <c r="E225" s="883" t="s">
        <v>3562</v>
      </c>
      <c r="F225" s="267" t="s">
        <v>3328</v>
      </c>
      <c r="G225" s="235" t="s">
        <v>3336</v>
      </c>
      <c r="H225" s="638" t="s">
        <v>5280</v>
      </c>
      <c r="I225" s="194">
        <v>0</v>
      </c>
      <c r="J225" s="194">
        <v>4300</v>
      </c>
      <c r="K225" s="185">
        <v>0.1</v>
      </c>
      <c r="L225" s="183" t="s">
        <v>4724</v>
      </c>
      <c r="M225" s="184" t="s">
        <v>3726</v>
      </c>
      <c r="N225" s="184" t="s">
        <v>3726</v>
      </c>
      <c r="O225" s="876"/>
    </row>
    <row r="226" spans="1:15" s="182" customFormat="1" ht="36.75" customHeight="1" x14ac:dyDescent="0.15">
      <c r="A226" s="151" t="s">
        <v>6231</v>
      </c>
      <c r="B226" s="848" t="s">
        <v>6171</v>
      </c>
      <c r="C226" s="883" t="s">
        <v>4982</v>
      </c>
      <c r="D226" s="883" t="s">
        <v>5018</v>
      </c>
      <c r="E226" s="883" t="s">
        <v>664</v>
      </c>
      <c r="F226" s="224" t="s">
        <v>3328</v>
      </c>
      <c r="G226" s="235" t="s">
        <v>5249</v>
      </c>
      <c r="H226" s="638" t="s">
        <v>6234</v>
      </c>
      <c r="I226" s="194">
        <v>0</v>
      </c>
      <c r="J226" s="194">
        <v>4300</v>
      </c>
      <c r="K226" s="185">
        <v>0.1</v>
      </c>
      <c r="L226" s="183" t="s">
        <v>4724</v>
      </c>
      <c r="M226" s="184" t="s">
        <v>3726</v>
      </c>
      <c r="N226" s="184" t="s">
        <v>3726</v>
      </c>
      <c r="O226" s="876"/>
    </row>
    <row r="227" spans="1:15" s="182" customFormat="1" ht="36.75" customHeight="1" x14ac:dyDescent="0.15">
      <c r="A227" s="151" t="s">
        <v>6231</v>
      </c>
      <c r="B227" s="848" t="s">
        <v>6171</v>
      </c>
      <c r="C227" s="883" t="s">
        <v>4982</v>
      </c>
      <c r="D227" s="883" t="s">
        <v>5018</v>
      </c>
      <c r="E227" s="883" t="s">
        <v>664</v>
      </c>
      <c r="F227" s="224" t="s">
        <v>5250</v>
      </c>
      <c r="G227" s="235" t="s">
        <v>5251</v>
      </c>
      <c r="H227" s="638" t="s">
        <v>6235</v>
      </c>
      <c r="I227" s="194">
        <v>0</v>
      </c>
      <c r="J227" s="194">
        <v>7000</v>
      </c>
      <c r="K227" s="185">
        <v>0.1</v>
      </c>
      <c r="L227" s="183" t="s">
        <v>4724</v>
      </c>
      <c r="M227" s="184" t="s">
        <v>3726</v>
      </c>
      <c r="N227" s="184" t="s">
        <v>3726</v>
      </c>
      <c r="O227" s="876"/>
    </row>
    <row r="228" spans="1:15" s="182" customFormat="1" ht="21.75" customHeight="1" x14ac:dyDescent="0.15">
      <c r="A228" s="151" t="s">
        <v>6232</v>
      </c>
      <c r="B228" s="226" t="s">
        <v>679</v>
      </c>
      <c r="C228" s="883" t="s">
        <v>3346</v>
      </c>
      <c r="D228" s="883" t="s">
        <v>3354</v>
      </c>
      <c r="E228" s="883" t="s">
        <v>921</v>
      </c>
      <c r="F228" s="267" t="s">
        <v>3328</v>
      </c>
      <c r="G228" s="235" t="s">
        <v>3336</v>
      </c>
      <c r="H228" s="638" t="s">
        <v>5329</v>
      </c>
      <c r="I228" s="194">
        <v>0</v>
      </c>
      <c r="J228" s="194">
        <v>4300</v>
      </c>
      <c r="K228" s="185">
        <v>0.1</v>
      </c>
      <c r="L228" s="183" t="s">
        <v>4724</v>
      </c>
      <c r="M228" s="184" t="s">
        <v>3726</v>
      </c>
      <c r="N228" s="184" t="s">
        <v>3726</v>
      </c>
      <c r="O228" s="876"/>
    </row>
    <row r="229" spans="1:15" s="182" customFormat="1" ht="21.75" customHeight="1" x14ac:dyDescent="0.15">
      <c r="A229" s="151" t="s">
        <v>6232</v>
      </c>
      <c r="B229" s="226" t="s">
        <v>5221</v>
      </c>
      <c r="C229" s="883" t="s">
        <v>3346</v>
      </c>
      <c r="D229" s="883" t="s">
        <v>3354</v>
      </c>
      <c r="E229" s="883" t="s">
        <v>845</v>
      </c>
      <c r="F229" s="267" t="s">
        <v>3328</v>
      </c>
      <c r="G229" s="235" t="s">
        <v>3336</v>
      </c>
      <c r="H229" s="638" t="s">
        <v>5226</v>
      </c>
      <c r="I229" s="194">
        <v>0</v>
      </c>
      <c r="J229" s="194">
        <v>4300</v>
      </c>
      <c r="K229" s="185">
        <v>0.1</v>
      </c>
      <c r="L229" s="183" t="s">
        <v>4724</v>
      </c>
      <c r="M229" s="184" t="s">
        <v>3726</v>
      </c>
      <c r="N229" s="184" t="s">
        <v>3726</v>
      </c>
      <c r="O229" s="881"/>
    </row>
    <row r="230" spans="1:15" s="182" customFormat="1" ht="21.75" customHeight="1" x14ac:dyDescent="0.15">
      <c r="A230" s="151" t="s">
        <v>6232</v>
      </c>
      <c r="B230" s="226" t="s">
        <v>5948</v>
      </c>
      <c r="C230" s="236" t="s">
        <v>3346</v>
      </c>
      <c r="D230" s="882" t="s">
        <v>3354</v>
      </c>
      <c r="E230" s="180" t="s">
        <v>3777</v>
      </c>
      <c r="F230" s="224" t="s">
        <v>3328</v>
      </c>
      <c r="G230" s="235" t="s">
        <v>3336</v>
      </c>
      <c r="H230" s="638" t="s">
        <v>6236</v>
      </c>
      <c r="I230" s="194">
        <v>0</v>
      </c>
      <c r="J230" s="194">
        <v>4300</v>
      </c>
      <c r="K230" s="185">
        <v>0.1</v>
      </c>
      <c r="L230" s="183" t="s">
        <v>4724</v>
      </c>
      <c r="M230" s="184" t="s">
        <v>3726</v>
      </c>
      <c r="N230" s="184" t="s">
        <v>3726</v>
      </c>
      <c r="O230" s="876"/>
    </row>
    <row r="231" spans="1:15" s="182" customFormat="1" ht="21.75" customHeight="1" x14ac:dyDescent="0.15">
      <c r="A231" s="151" t="s">
        <v>6232</v>
      </c>
      <c r="B231" s="226" t="s">
        <v>5949</v>
      </c>
      <c r="C231" s="581" t="s">
        <v>3346</v>
      </c>
      <c r="D231" s="581" t="s">
        <v>3354</v>
      </c>
      <c r="E231" s="285" t="s">
        <v>4723</v>
      </c>
      <c r="F231" s="224" t="s">
        <v>3328</v>
      </c>
      <c r="G231" s="235" t="s">
        <v>5333</v>
      </c>
      <c r="H231" s="638" t="s">
        <v>6237</v>
      </c>
      <c r="I231" s="194">
        <v>0</v>
      </c>
      <c r="J231" s="194">
        <v>4300</v>
      </c>
      <c r="K231" s="185">
        <v>0.1</v>
      </c>
      <c r="L231" s="183" t="s">
        <v>4724</v>
      </c>
      <c r="M231" s="184" t="s">
        <v>3726</v>
      </c>
      <c r="N231" s="184" t="s">
        <v>3726</v>
      </c>
      <c r="O231" s="876"/>
    </row>
    <row r="232" spans="1:15" s="182" customFormat="1" ht="21.75" customHeight="1" x14ac:dyDescent="0.15">
      <c r="A232" s="151" t="s">
        <v>6232</v>
      </c>
      <c r="B232" s="226" t="s">
        <v>5956</v>
      </c>
      <c r="C232" s="883" t="s">
        <v>4982</v>
      </c>
      <c r="D232" s="883" t="s">
        <v>5018</v>
      </c>
      <c r="E232" s="285" t="s">
        <v>5339</v>
      </c>
      <c r="F232" s="224" t="s">
        <v>3328</v>
      </c>
      <c r="G232" s="235" t="s">
        <v>5287</v>
      </c>
      <c r="H232" s="638" t="s">
        <v>6238</v>
      </c>
      <c r="I232" s="194">
        <v>0</v>
      </c>
      <c r="J232" s="194">
        <v>2000</v>
      </c>
      <c r="K232" s="185">
        <v>0.1</v>
      </c>
      <c r="L232" s="183" t="s">
        <v>4724</v>
      </c>
      <c r="M232" s="184" t="s">
        <v>3726</v>
      </c>
      <c r="N232" s="184" t="s">
        <v>3726</v>
      </c>
      <c r="O232" s="876"/>
    </row>
    <row r="233" spans="1:15" s="182" customFormat="1" ht="21.75" customHeight="1" x14ac:dyDescent="0.15">
      <c r="A233" s="151" t="s">
        <v>6232</v>
      </c>
      <c r="B233" s="226" t="s">
        <v>5931</v>
      </c>
      <c r="C233" s="883" t="s">
        <v>4982</v>
      </c>
      <c r="D233" s="883" t="s">
        <v>5018</v>
      </c>
      <c r="E233" s="883" t="s">
        <v>5479</v>
      </c>
      <c r="F233" s="224" t="s">
        <v>3328</v>
      </c>
      <c r="G233" s="235" t="s">
        <v>5287</v>
      </c>
      <c r="H233" s="638" t="s">
        <v>5476</v>
      </c>
      <c r="I233" s="194">
        <v>0</v>
      </c>
      <c r="J233" s="194">
        <v>2000</v>
      </c>
      <c r="K233" s="185">
        <v>0.1</v>
      </c>
      <c r="L233" s="183" t="s">
        <v>4724</v>
      </c>
      <c r="M233" s="184" t="s">
        <v>3726</v>
      </c>
      <c r="N233" s="184" t="s">
        <v>3726</v>
      </c>
      <c r="O233" s="876"/>
    </row>
    <row r="234" spans="1:15" s="182" customFormat="1" ht="21.75" customHeight="1" x14ac:dyDescent="0.15">
      <c r="A234" s="151" t="s">
        <v>6232</v>
      </c>
      <c r="B234" s="226" t="s">
        <v>5849</v>
      </c>
      <c r="C234" s="241" t="s">
        <v>3376</v>
      </c>
      <c r="D234" s="241" t="s">
        <v>3380</v>
      </c>
      <c r="E234" s="241" t="s">
        <v>3914</v>
      </c>
      <c r="F234" s="241" t="s">
        <v>3332</v>
      </c>
      <c r="G234" s="242" t="s">
        <v>5131</v>
      </c>
      <c r="H234" s="638">
        <v>21061</v>
      </c>
      <c r="I234" s="194">
        <v>0</v>
      </c>
      <c r="J234" s="194">
        <v>8400</v>
      </c>
      <c r="K234" s="185">
        <v>0.1</v>
      </c>
      <c r="L234" s="183" t="s">
        <v>4724</v>
      </c>
      <c r="M234" s="184" t="s">
        <v>4708</v>
      </c>
      <c r="N234" s="184" t="s">
        <v>4708</v>
      </c>
      <c r="O234" s="876"/>
    </row>
    <row r="235" spans="1:15" s="182" customFormat="1" ht="21.75" customHeight="1" x14ac:dyDescent="0.15">
      <c r="A235" s="151" t="s">
        <v>6232</v>
      </c>
      <c r="B235" s="226" t="s">
        <v>5849</v>
      </c>
      <c r="C235" s="883" t="s">
        <v>5148</v>
      </c>
      <c r="D235" s="883" t="s">
        <v>5853</v>
      </c>
      <c r="E235" s="883" t="s">
        <v>5854</v>
      </c>
      <c r="F235" s="184" t="s">
        <v>5078</v>
      </c>
      <c r="G235" s="235" t="s">
        <v>5855</v>
      </c>
      <c r="H235" s="638">
        <v>22129</v>
      </c>
      <c r="I235" s="194">
        <v>0</v>
      </c>
      <c r="J235" s="194">
        <v>900</v>
      </c>
      <c r="K235" s="185">
        <v>0.03</v>
      </c>
      <c r="L235" s="183" t="s">
        <v>4724</v>
      </c>
      <c r="M235" s="184" t="s">
        <v>4708</v>
      </c>
      <c r="N235" s="184" t="s">
        <v>4708</v>
      </c>
      <c r="O235" s="876"/>
    </row>
    <row r="236" spans="1:15" s="182" customFormat="1" ht="21.75" customHeight="1" x14ac:dyDescent="0.15">
      <c r="A236" s="151" t="s">
        <v>6232</v>
      </c>
      <c r="B236" s="226" t="s">
        <v>6233</v>
      </c>
      <c r="C236" s="184" t="s">
        <v>4982</v>
      </c>
      <c r="D236" s="184" t="s">
        <v>6220</v>
      </c>
      <c r="E236" s="184" t="s">
        <v>6248</v>
      </c>
      <c r="F236" s="184" t="s">
        <v>3400</v>
      </c>
      <c r="G236" s="235" t="s">
        <v>5799</v>
      </c>
      <c r="H236" s="638">
        <v>23087</v>
      </c>
      <c r="I236" s="194">
        <v>0</v>
      </c>
      <c r="J236" s="194">
        <v>56600</v>
      </c>
      <c r="K236" s="185">
        <v>1</v>
      </c>
      <c r="L236" s="183" t="s">
        <v>4707</v>
      </c>
      <c r="M236" s="184" t="s">
        <v>6038</v>
      </c>
      <c r="N236" s="184" t="s">
        <v>6038</v>
      </c>
      <c r="O236" s="876"/>
    </row>
    <row r="237" spans="1:15" s="182" customFormat="1" ht="21.75" customHeight="1" x14ac:dyDescent="0.15">
      <c r="A237" s="151" t="s">
        <v>6250</v>
      </c>
      <c r="B237" s="226" t="s">
        <v>5224</v>
      </c>
      <c r="C237" s="620" t="s">
        <v>3371</v>
      </c>
      <c r="D237" s="620" t="s">
        <v>3405</v>
      </c>
      <c r="E237" s="620" t="s">
        <v>4325</v>
      </c>
      <c r="F237" s="241" t="s">
        <v>3328</v>
      </c>
      <c r="G237" s="242" t="s">
        <v>3566</v>
      </c>
      <c r="H237" s="638">
        <v>20178</v>
      </c>
      <c r="I237" s="194">
        <v>0</v>
      </c>
      <c r="J237" s="194">
        <v>50000</v>
      </c>
      <c r="K237" s="185" t="s">
        <v>6249</v>
      </c>
      <c r="L237" s="183" t="s">
        <v>4706</v>
      </c>
      <c r="M237" s="184" t="s">
        <v>3434</v>
      </c>
      <c r="N237" s="184" t="s">
        <v>3434</v>
      </c>
      <c r="O237" s="877"/>
    </row>
    <row r="238" spans="1:15" s="182" customFormat="1" ht="21.75" customHeight="1" x14ac:dyDescent="0.15">
      <c r="A238" s="151" t="s">
        <v>6239</v>
      </c>
      <c r="B238" s="226" t="s">
        <v>5797</v>
      </c>
      <c r="C238" s="184" t="s">
        <v>4982</v>
      </c>
      <c r="D238" s="184" t="s">
        <v>5422</v>
      </c>
      <c r="E238" s="184" t="s">
        <v>5798</v>
      </c>
      <c r="F238" s="184" t="s">
        <v>5078</v>
      </c>
      <c r="G238" s="235" t="s">
        <v>3329</v>
      </c>
      <c r="H238" s="638" t="s">
        <v>5800</v>
      </c>
      <c r="I238" s="194">
        <v>181800</v>
      </c>
      <c r="J238" s="194">
        <v>0</v>
      </c>
      <c r="K238" s="185" t="s">
        <v>6265</v>
      </c>
      <c r="L238" s="183" t="s">
        <v>6266</v>
      </c>
      <c r="M238" s="184" t="s">
        <v>3433</v>
      </c>
      <c r="N238" s="184" t="s">
        <v>3433</v>
      </c>
      <c r="O238" s="885" t="s">
        <v>6267</v>
      </c>
    </row>
    <row r="239" spans="1:15" s="182" customFormat="1" ht="21.75" customHeight="1" x14ac:dyDescent="0.15">
      <c r="A239" s="151" t="s">
        <v>6239</v>
      </c>
      <c r="B239" s="226" t="s">
        <v>5797</v>
      </c>
      <c r="C239" s="184" t="s">
        <v>4982</v>
      </c>
      <c r="D239" s="184" t="s">
        <v>5422</v>
      </c>
      <c r="E239" s="184" t="s">
        <v>5798</v>
      </c>
      <c r="F239" s="184" t="s">
        <v>3400</v>
      </c>
      <c r="G239" s="235" t="s">
        <v>5799</v>
      </c>
      <c r="H239" s="638" t="s">
        <v>5801</v>
      </c>
      <c r="I239" s="194">
        <v>18200</v>
      </c>
      <c r="J239" s="194">
        <v>0</v>
      </c>
      <c r="K239" s="185">
        <v>0.14000000000000001</v>
      </c>
      <c r="L239" s="183" t="s">
        <v>4849</v>
      </c>
      <c r="M239" s="184" t="s">
        <v>3433</v>
      </c>
      <c r="N239" s="184" t="s">
        <v>3433</v>
      </c>
      <c r="O239" s="885" t="s">
        <v>6268</v>
      </c>
    </row>
    <row r="240" spans="1:15" s="182" customFormat="1" ht="21.75" customHeight="1" x14ac:dyDescent="0.15">
      <c r="A240" s="151" t="s">
        <v>6239</v>
      </c>
      <c r="B240" s="226" t="s">
        <v>679</v>
      </c>
      <c r="C240" s="883" t="s">
        <v>3346</v>
      </c>
      <c r="D240" s="883" t="s">
        <v>3354</v>
      </c>
      <c r="E240" s="883" t="s">
        <v>925</v>
      </c>
      <c r="F240" s="267" t="s">
        <v>3328</v>
      </c>
      <c r="G240" s="235" t="s">
        <v>3336</v>
      </c>
      <c r="H240" s="638" t="s">
        <v>6244</v>
      </c>
      <c r="I240" s="194">
        <v>0</v>
      </c>
      <c r="J240" s="194">
        <v>4300</v>
      </c>
      <c r="K240" s="185">
        <v>0.1</v>
      </c>
      <c r="L240" s="183" t="s">
        <v>4724</v>
      </c>
      <c r="M240" s="184" t="s">
        <v>3726</v>
      </c>
      <c r="N240" s="184" t="s">
        <v>3726</v>
      </c>
      <c r="O240" s="877"/>
    </row>
    <row r="241" spans="1:15" s="182" customFormat="1" ht="21.75" customHeight="1" x14ac:dyDescent="0.15">
      <c r="A241" s="151" t="s">
        <v>6239</v>
      </c>
      <c r="B241" s="226" t="s">
        <v>5807</v>
      </c>
      <c r="C241" s="241" t="s">
        <v>3351</v>
      </c>
      <c r="D241" s="241" t="s">
        <v>3347</v>
      </c>
      <c r="E241" s="241" t="s">
        <v>5767</v>
      </c>
      <c r="F241" s="241" t="s">
        <v>3328</v>
      </c>
      <c r="G241" s="242" t="s">
        <v>4622</v>
      </c>
      <c r="H241" s="638">
        <v>21067</v>
      </c>
      <c r="I241" s="194">
        <v>0</v>
      </c>
      <c r="J241" s="194">
        <v>1400</v>
      </c>
      <c r="K241" s="185">
        <v>0.05</v>
      </c>
      <c r="L241" s="183" t="s">
        <v>4724</v>
      </c>
      <c r="M241" s="730" t="s">
        <v>4699</v>
      </c>
      <c r="N241" s="241" t="s">
        <v>3726</v>
      </c>
      <c r="O241" s="879"/>
    </row>
    <row r="242" spans="1:15" s="182" customFormat="1" ht="21.75" customHeight="1" x14ac:dyDescent="0.15">
      <c r="A242" s="151" t="s">
        <v>6239</v>
      </c>
      <c r="B242" s="226" t="s">
        <v>6240</v>
      </c>
      <c r="C242" s="884" t="s">
        <v>4982</v>
      </c>
      <c r="D242" s="884" t="s">
        <v>6251</v>
      </c>
      <c r="E242" s="884" t="s">
        <v>6252</v>
      </c>
      <c r="F242" s="184" t="s">
        <v>3400</v>
      </c>
      <c r="G242" s="235" t="s">
        <v>5799</v>
      </c>
      <c r="H242" s="638">
        <v>23078</v>
      </c>
      <c r="I242" s="194">
        <v>0</v>
      </c>
      <c r="J242" s="194">
        <v>125820</v>
      </c>
      <c r="K242" s="185">
        <v>0.6</v>
      </c>
      <c r="L242" s="183" t="s">
        <v>4694</v>
      </c>
      <c r="M242" s="184" t="s">
        <v>6038</v>
      </c>
      <c r="N242" s="184" t="s">
        <v>6038</v>
      </c>
      <c r="O242" s="879"/>
    </row>
    <row r="243" spans="1:15" s="182" customFormat="1" ht="21.75" customHeight="1" x14ac:dyDescent="0.15">
      <c r="A243" s="151" t="s">
        <v>6239</v>
      </c>
      <c r="B243" s="20" t="s">
        <v>6093</v>
      </c>
      <c r="C243" s="184" t="s">
        <v>4982</v>
      </c>
      <c r="D243" s="184" t="s">
        <v>5018</v>
      </c>
      <c r="E243" s="184" t="s">
        <v>6253</v>
      </c>
      <c r="F243" s="184" t="s">
        <v>6254</v>
      </c>
      <c r="G243" s="235" t="s">
        <v>6255</v>
      </c>
      <c r="H243" s="638">
        <v>22011</v>
      </c>
      <c r="I243" s="194">
        <v>990000</v>
      </c>
      <c r="J243" s="194">
        <v>0</v>
      </c>
      <c r="K243" s="185" t="s">
        <v>6257</v>
      </c>
      <c r="L243" s="183" t="s">
        <v>6256</v>
      </c>
      <c r="M243" s="184" t="s">
        <v>6106</v>
      </c>
      <c r="N243" s="184" t="s">
        <v>5255</v>
      </c>
      <c r="O243" s="884" t="s">
        <v>6262</v>
      </c>
    </row>
    <row r="244" spans="1:15" s="182" customFormat="1" ht="21.75" customHeight="1" x14ac:dyDescent="0.15">
      <c r="A244" s="151" t="s">
        <v>6239</v>
      </c>
      <c r="B244" s="20" t="s">
        <v>6093</v>
      </c>
      <c r="C244" s="184" t="s">
        <v>4982</v>
      </c>
      <c r="D244" s="184" t="s">
        <v>5018</v>
      </c>
      <c r="E244" s="184" t="s">
        <v>6253</v>
      </c>
      <c r="F244" s="184" t="s">
        <v>6254</v>
      </c>
      <c r="G244" s="235" t="s">
        <v>6255</v>
      </c>
      <c r="H244" s="638">
        <v>22011</v>
      </c>
      <c r="I244" s="194">
        <v>350000</v>
      </c>
      <c r="J244" s="194">
        <v>0</v>
      </c>
      <c r="K244" s="185" t="s">
        <v>6258</v>
      </c>
      <c r="L244" s="183" t="s">
        <v>6260</v>
      </c>
      <c r="M244" s="184" t="s">
        <v>6106</v>
      </c>
      <c r="N244" s="184" t="s">
        <v>5255</v>
      </c>
      <c r="O244" s="884" t="s">
        <v>6263</v>
      </c>
    </row>
    <row r="245" spans="1:15" s="182" customFormat="1" ht="45" customHeight="1" x14ac:dyDescent="0.15">
      <c r="A245" s="151" t="s">
        <v>6241</v>
      </c>
      <c r="B245" s="848" t="s">
        <v>6245</v>
      </c>
      <c r="C245" s="884" t="s">
        <v>3351</v>
      </c>
      <c r="D245" s="884" t="s">
        <v>3326</v>
      </c>
      <c r="E245" s="184" t="s">
        <v>5672</v>
      </c>
      <c r="F245" s="184" t="s">
        <v>5078</v>
      </c>
      <c r="G245" s="235" t="s">
        <v>5030</v>
      </c>
      <c r="H245" s="638">
        <v>22185</v>
      </c>
      <c r="I245" s="194">
        <v>0</v>
      </c>
      <c r="J245" s="194">
        <v>70000</v>
      </c>
      <c r="K245" s="185">
        <v>1</v>
      </c>
      <c r="L245" s="183" t="s">
        <v>4706</v>
      </c>
      <c r="M245" s="184" t="s">
        <v>3726</v>
      </c>
      <c r="N245" s="184" t="s">
        <v>3726</v>
      </c>
      <c r="O245" s="880"/>
    </row>
    <row r="246" spans="1:15" s="182" customFormat="1" ht="21.75" customHeight="1" x14ac:dyDescent="0.15">
      <c r="A246" s="151" t="s">
        <v>6242</v>
      </c>
      <c r="B246" s="226" t="s">
        <v>6093</v>
      </c>
      <c r="C246" s="184" t="s">
        <v>4982</v>
      </c>
      <c r="D246" s="184" t="s">
        <v>5018</v>
      </c>
      <c r="E246" s="184" t="s">
        <v>6253</v>
      </c>
      <c r="F246" s="184" t="s">
        <v>6254</v>
      </c>
      <c r="G246" s="235" t="s">
        <v>6255</v>
      </c>
      <c r="H246" s="638">
        <v>22011</v>
      </c>
      <c r="I246" s="194">
        <v>0</v>
      </c>
      <c r="J246" s="194">
        <v>70749.69</v>
      </c>
      <c r="K246" s="185" t="s">
        <v>6259</v>
      </c>
      <c r="L246" s="183" t="s">
        <v>6261</v>
      </c>
      <c r="M246" s="184" t="s">
        <v>6106</v>
      </c>
      <c r="N246" s="184" t="s">
        <v>5255</v>
      </c>
      <c r="O246" s="881"/>
    </row>
    <row r="247" spans="1:15" s="182" customFormat="1" ht="21.75" customHeight="1" x14ac:dyDescent="0.15">
      <c r="A247" s="151" t="s">
        <v>6242</v>
      </c>
      <c r="B247" s="226" t="s">
        <v>6243</v>
      </c>
      <c r="C247" s="884" t="s">
        <v>3384</v>
      </c>
      <c r="D247" s="884" t="s">
        <v>3347</v>
      </c>
      <c r="E247" s="884" t="s">
        <v>3952</v>
      </c>
      <c r="F247" s="184" t="s">
        <v>5078</v>
      </c>
      <c r="G247" s="235" t="s">
        <v>5795</v>
      </c>
      <c r="H247" s="638">
        <v>21139</v>
      </c>
      <c r="I247" s="194">
        <v>0</v>
      </c>
      <c r="J247" s="194">
        <v>100000</v>
      </c>
      <c r="K247" s="185">
        <v>1</v>
      </c>
      <c r="L247" s="183" t="s">
        <v>4707</v>
      </c>
      <c r="M247" s="184" t="s">
        <v>4708</v>
      </c>
      <c r="N247" s="184" t="s">
        <v>4708</v>
      </c>
      <c r="O247" s="880"/>
    </row>
    <row r="248" spans="1:15" s="182" customFormat="1" ht="21.75" customHeight="1" x14ac:dyDescent="0.15">
      <c r="A248" s="151" t="s">
        <v>6242</v>
      </c>
      <c r="B248" s="226" t="s">
        <v>6243</v>
      </c>
      <c r="C248" s="884" t="s">
        <v>3384</v>
      </c>
      <c r="D248" s="884" t="s">
        <v>3347</v>
      </c>
      <c r="E248" s="884" t="s">
        <v>3952</v>
      </c>
      <c r="F248" s="184" t="s">
        <v>5078</v>
      </c>
      <c r="G248" s="239" t="s">
        <v>5240</v>
      </c>
      <c r="H248" s="638">
        <v>23001</v>
      </c>
      <c r="I248" s="194">
        <v>0</v>
      </c>
      <c r="J248" s="194">
        <v>40000</v>
      </c>
      <c r="K248" s="185">
        <v>1</v>
      </c>
      <c r="L248" s="183" t="s">
        <v>4707</v>
      </c>
      <c r="M248" s="184" t="s">
        <v>4708</v>
      </c>
      <c r="N248" s="184" t="s">
        <v>4708</v>
      </c>
      <c r="O248" s="880"/>
    </row>
    <row r="249" spans="1:15" s="182" customFormat="1" ht="21.75" customHeight="1" x14ac:dyDescent="0.15">
      <c r="A249" s="151" t="s">
        <v>6269</v>
      </c>
      <c r="B249" s="226" t="s">
        <v>5797</v>
      </c>
      <c r="C249" s="184" t="s">
        <v>4982</v>
      </c>
      <c r="D249" s="184" t="s">
        <v>5098</v>
      </c>
      <c r="E249" s="184" t="s">
        <v>6019</v>
      </c>
      <c r="F249" s="184" t="s">
        <v>5078</v>
      </c>
      <c r="G249" s="235" t="s">
        <v>6020</v>
      </c>
      <c r="H249" s="638" t="s">
        <v>6021</v>
      </c>
      <c r="I249" s="194">
        <v>0</v>
      </c>
      <c r="J249" s="194">
        <v>4350</v>
      </c>
      <c r="K249" s="185" t="s">
        <v>6272</v>
      </c>
      <c r="L249" s="183" t="s">
        <v>4707</v>
      </c>
      <c r="M249" s="184" t="s">
        <v>5835</v>
      </c>
      <c r="N249" s="184" t="s">
        <v>5835</v>
      </c>
      <c r="O249" s="886"/>
    </row>
    <row r="250" spans="1:15" s="182" customFormat="1" ht="21.75" customHeight="1" x14ac:dyDescent="0.15">
      <c r="A250" s="151" t="s">
        <v>6269</v>
      </c>
      <c r="B250" s="226" t="s">
        <v>5797</v>
      </c>
      <c r="C250" s="184" t="s">
        <v>4982</v>
      </c>
      <c r="D250" s="184" t="s">
        <v>5098</v>
      </c>
      <c r="E250" s="184" t="s">
        <v>6019</v>
      </c>
      <c r="F250" s="184" t="s">
        <v>5078</v>
      </c>
      <c r="G250" s="235" t="s">
        <v>6020</v>
      </c>
      <c r="H250" s="638" t="s">
        <v>6021</v>
      </c>
      <c r="I250" s="194">
        <v>124350</v>
      </c>
      <c r="J250" s="194">
        <v>0</v>
      </c>
      <c r="K250" s="185" t="s">
        <v>6273</v>
      </c>
      <c r="L250" s="183" t="s">
        <v>4707</v>
      </c>
      <c r="M250" s="184" t="s">
        <v>5835</v>
      </c>
      <c r="N250" s="184" t="s">
        <v>5835</v>
      </c>
      <c r="O250" s="887" t="s">
        <v>6274</v>
      </c>
    </row>
    <row r="251" spans="1:15" s="182" customFormat="1" ht="21.75" customHeight="1" x14ac:dyDescent="0.15">
      <c r="A251" s="151" t="s">
        <v>6269</v>
      </c>
      <c r="B251" s="226" t="s">
        <v>5797</v>
      </c>
      <c r="C251" s="184" t="s">
        <v>4982</v>
      </c>
      <c r="D251" s="184" t="s">
        <v>5098</v>
      </c>
      <c r="E251" s="184" t="s">
        <v>6019</v>
      </c>
      <c r="F251" s="184" t="s">
        <v>3400</v>
      </c>
      <c r="G251" s="235" t="s">
        <v>5086</v>
      </c>
      <c r="H251" s="638" t="s">
        <v>6270</v>
      </c>
      <c r="I251" s="194">
        <v>30000</v>
      </c>
      <c r="J251" s="194">
        <v>0</v>
      </c>
      <c r="K251" s="185">
        <v>0.3</v>
      </c>
      <c r="L251" s="183" t="s">
        <v>4707</v>
      </c>
      <c r="M251" s="184" t="s">
        <v>5835</v>
      </c>
      <c r="N251" s="184" t="s">
        <v>5835</v>
      </c>
      <c r="O251" s="887" t="s">
        <v>6274</v>
      </c>
    </row>
    <row r="252" spans="1:15" s="182" customFormat="1" ht="21.75" customHeight="1" x14ac:dyDescent="0.15">
      <c r="A252" s="151" t="s">
        <v>6269</v>
      </c>
      <c r="B252" s="226" t="s">
        <v>5797</v>
      </c>
      <c r="C252" s="184" t="s">
        <v>4982</v>
      </c>
      <c r="D252" s="184" t="s">
        <v>5098</v>
      </c>
      <c r="E252" s="184" t="s">
        <v>6019</v>
      </c>
      <c r="F252" s="184" t="s">
        <v>5762</v>
      </c>
      <c r="G252" s="235" t="s">
        <v>5763</v>
      </c>
      <c r="H252" s="638" t="s">
        <v>6271</v>
      </c>
      <c r="I252" s="194">
        <v>37800</v>
      </c>
      <c r="J252" s="194">
        <v>0</v>
      </c>
      <c r="K252" s="185">
        <v>0.3</v>
      </c>
      <c r="L252" s="183" t="s">
        <v>4707</v>
      </c>
      <c r="M252" s="184" t="s">
        <v>5835</v>
      </c>
      <c r="N252" s="184" t="s">
        <v>5835</v>
      </c>
      <c r="O252" s="887" t="s">
        <v>6274</v>
      </c>
    </row>
    <row r="253" spans="1:15" s="182" customFormat="1" ht="21.75" customHeight="1" x14ac:dyDescent="0.15">
      <c r="A253" s="151" t="s">
        <v>6292</v>
      </c>
      <c r="B253" s="226" t="s">
        <v>5261</v>
      </c>
      <c r="C253" s="894" t="s">
        <v>3346</v>
      </c>
      <c r="D253" s="894" t="s">
        <v>3354</v>
      </c>
      <c r="E253" s="894" t="s">
        <v>844</v>
      </c>
      <c r="F253" s="267" t="s">
        <v>3328</v>
      </c>
      <c r="G253" s="235" t="s">
        <v>3336</v>
      </c>
      <c r="H253" s="638" t="s">
        <v>5284</v>
      </c>
      <c r="I253" s="194">
        <v>0</v>
      </c>
      <c r="J253" s="194">
        <v>4300</v>
      </c>
      <c r="K253" s="185">
        <v>0.1</v>
      </c>
      <c r="L253" s="183" t="s">
        <v>4724</v>
      </c>
      <c r="M253" s="184" t="s">
        <v>5255</v>
      </c>
      <c r="N253" s="184" t="s">
        <v>5255</v>
      </c>
      <c r="O253" s="894"/>
    </row>
    <row r="254" spans="1:15" s="182" customFormat="1" ht="21.75" customHeight="1" x14ac:dyDescent="0.15">
      <c r="A254" s="151" t="s">
        <v>6292</v>
      </c>
      <c r="B254" s="226" t="s">
        <v>5265</v>
      </c>
      <c r="C254" s="894" t="s">
        <v>3346</v>
      </c>
      <c r="D254" s="894" t="s">
        <v>3354</v>
      </c>
      <c r="E254" s="894" t="s">
        <v>846</v>
      </c>
      <c r="F254" s="267" t="s">
        <v>3328</v>
      </c>
      <c r="G254" s="235" t="s">
        <v>3336</v>
      </c>
      <c r="H254" s="638" t="s">
        <v>5286</v>
      </c>
      <c r="I254" s="194">
        <v>0</v>
      </c>
      <c r="J254" s="194">
        <v>4300</v>
      </c>
      <c r="K254" s="185">
        <v>0.1</v>
      </c>
      <c r="L254" s="183" t="s">
        <v>4724</v>
      </c>
      <c r="M254" s="184" t="s">
        <v>5255</v>
      </c>
      <c r="N254" s="184" t="s">
        <v>5255</v>
      </c>
      <c r="O254" s="894"/>
    </row>
    <row r="255" spans="1:15" s="182" customFormat="1" ht="21.75" customHeight="1" x14ac:dyDescent="0.15">
      <c r="A255" s="151" t="s">
        <v>6275</v>
      </c>
      <c r="B255" s="226" t="s">
        <v>5269</v>
      </c>
      <c r="C255" s="236" t="s">
        <v>3346</v>
      </c>
      <c r="D255" s="888" t="s">
        <v>3354</v>
      </c>
      <c r="E255" s="180" t="s">
        <v>4130</v>
      </c>
      <c r="F255" s="224" t="s">
        <v>3328</v>
      </c>
      <c r="G255" s="235" t="s">
        <v>5287</v>
      </c>
      <c r="H255" s="638" t="s">
        <v>6276</v>
      </c>
      <c r="I255" s="194">
        <v>0</v>
      </c>
      <c r="J255" s="194">
        <v>2000</v>
      </c>
      <c r="K255" s="185">
        <v>0.1</v>
      </c>
      <c r="L255" s="183" t="s">
        <v>4724</v>
      </c>
      <c r="M255" s="184" t="s">
        <v>3726</v>
      </c>
      <c r="N255" s="184" t="s">
        <v>5255</v>
      </c>
      <c r="O255" s="889"/>
    </row>
    <row r="256" spans="1:15" s="182" customFormat="1" ht="53.25" customHeight="1" x14ac:dyDescent="0.15">
      <c r="A256" s="151" t="s">
        <v>6275</v>
      </c>
      <c r="B256" s="848" t="s">
        <v>6280</v>
      </c>
      <c r="C256" s="184" t="s">
        <v>4982</v>
      </c>
      <c r="D256" s="184" t="s">
        <v>5018</v>
      </c>
      <c r="E256" s="184" t="s">
        <v>5278</v>
      </c>
      <c r="F256" s="184" t="s">
        <v>5098</v>
      </c>
      <c r="G256" s="235" t="s">
        <v>5249</v>
      </c>
      <c r="H256" s="638" t="s">
        <v>6281</v>
      </c>
      <c r="I256" s="194">
        <v>0</v>
      </c>
      <c r="J256" s="194">
        <v>9000</v>
      </c>
      <c r="K256" s="185">
        <v>0.1</v>
      </c>
      <c r="L256" s="183" t="s">
        <v>4724</v>
      </c>
      <c r="M256" s="184" t="s">
        <v>5255</v>
      </c>
      <c r="N256" s="184" t="s">
        <v>5255</v>
      </c>
      <c r="O256" s="889"/>
    </row>
    <row r="257" spans="1:15" s="182" customFormat="1" ht="39.75" customHeight="1" x14ac:dyDescent="0.15">
      <c r="A257" s="151" t="s">
        <v>6275</v>
      </c>
      <c r="B257" s="848" t="s">
        <v>6204</v>
      </c>
      <c r="C257" s="889" t="s">
        <v>3346</v>
      </c>
      <c r="D257" s="889" t="s">
        <v>3354</v>
      </c>
      <c r="E257" s="889" t="s">
        <v>3675</v>
      </c>
      <c r="F257" s="224" t="s">
        <v>3328</v>
      </c>
      <c r="G257" s="235" t="s">
        <v>5249</v>
      </c>
      <c r="H257" s="638" t="s">
        <v>5274</v>
      </c>
      <c r="I257" s="194">
        <v>0</v>
      </c>
      <c r="J257" s="194">
        <v>4300</v>
      </c>
      <c r="K257" s="185">
        <v>0.1</v>
      </c>
      <c r="L257" s="183" t="s">
        <v>4724</v>
      </c>
      <c r="M257" s="184" t="s">
        <v>5255</v>
      </c>
      <c r="N257" s="184" t="s">
        <v>5255</v>
      </c>
      <c r="O257" s="889"/>
    </row>
    <row r="258" spans="1:15" s="182" customFormat="1" ht="39.75" customHeight="1" x14ac:dyDescent="0.15">
      <c r="A258" s="151" t="s">
        <v>6275</v>
      </c>
      <c r="B258" s="848" t="s">
        <v>6204</v>
      </c>
      <c r="C258" s="889" t="s">
        <v>3346</v>
      </c>
      <c r="D258" s="889" t="s">
        <v>3354</v>
      </c>
      <c r="E258" s="889" t="s">
        <v>3675</v>
      </c>
      <c r="F258" s="224" t="s">
        <v>5250</v>
      </c>
      <c r="G258" s="235" t="s">
        <v>5276</v>
      </c>
      <c r="H258" s="638" t="s">
        <v>5275</v>
      </c>
      <c r="I258" s="194">
        <v>0</v>
      </c>
      <c r="J258" s="194">
        <v>7000</v>
      </c>
      <c r="K258" s="185">
        <v>0.1</v>
      </c>
      <c r="L258" s="183" t="s">
        <v>4724</v>
      </c>
      <c r="M258" s="184" t="s">
        <v>5255</v>
      </c>
      <c r="N258" s="184" t="s">
        <v>5255</v>
      </c>
      <c r="O258" s="889"/>
    </row>
    <row r="259" spans="1:15" s="182" customFormat="1" ht="21.75" customHeight="1" x14ac:dyDescent="0.15">
      <c r="A259" s="151" t="s">
        <v>6275</v>
      </c>
      <c r="B259" s="226" t="s">
        <v>5225</v>
      </c>
      <c r="C259" s="889" t="s">
        <v>5213</v>
      </c>
      <c r="D259" s="889" t="s">
        <v>6277</v>
      </c>
      <c r="E259" s="889" t="s">
        <v>6278</v>
      </c>
      <c r="F259" s="184" t="s">
        <v>5078</v>
      </c>
      <c r="G259" s="235" t="s">
        <v>6198</v>
      </c>
      <c r="H259" s="638">
        <v>23110</v>
      </c>
      <c r="I259" s="194">
        <v>0</v>
      </c>
      <c r="J259" s="194">
        <v>40000</v>
      </c>
      <c r="K259" s="185">
        <v>1</v>
      </c>
      <c r="L259" s="183" t="s">
        <v>4707</v>
      </c>
      <c r="M259" s="184" t="s">
        <v>5255</v>
      </c>
      <c r="N259" s="184" t="s">
        <v>5255</v>
      </c>
      <c r="O259" s="889"/>
    </row>
    <row r="260" spans="1:15" s="182" customFormat="1" ht="21.75" customHeight="1" x14ac:dyDescent="0.15">
      <c r="A260" s="151" t="s">
        <v>6279</v>
      </c>
      <c r="B260" s="226" t="s">
        <v>6084</v>
      </c>
      <c r="C260" s="184" t="s">
        <v>4963</v>
      </c>
      <c r="D260" s="184" t="s">
        <v>5028</v>
      </c>
      <c r="E260" s="184" t="s">
        <v>5722</v>
      </c>
      <c r="F260" s="224" t="s">
        <v>3328</v>
      </c>
      <c r="G260" s="239" t="s">
        <v>3349</v>
      </c>
      <c r="H260" s="181">
        <v>22145</v>
      </c>
      <c r="I260" s="194">
        <v>0</v>
      </c>
      <c r="J260" s="194">
        <v>100000</v>
      </c>
      <c r="K260" s="185">
        <v>1</v>
      </c>
      <c r="L260" s="183" t="s">
        <v>5743</v>
      </c>
      <c r="M260" s="184" t="s">
        <v>5765</v>
      </c>
      <c r="N260" s="184" t="s">
        <v>5765</v>
      </c>
      <c r="O260" s="889"/>
    </row>
    <row r="261" spans="1:15" s="182" customFormat="1" ht="21.75" customHeight="1" x14ac:dyDescent="0.15">
      <c r="A261" s="151" t="s">
        <v>6279</v>
      </c>
      <c r="B261" s="226" t="s">
        <v>6156</v>
      </c>
      <c r="C261" s="184" t="s">
        <v>4963</v>
      </c>
      <c r="D261" s="184" t="s">
        <v>5028</v>
      </c>
      <c r="E261" s="184" t="s">
        <v>5029</v>
      </c>
      <c r="F261" s="224" t="s">
        <v>3328</v>
      </c>
      <c r="G261" s="239" t="s">
        <v>3349</v>
      </c>
      <c r="H261" s="181">
        <v>22146</v>
      </c>
      <c r="I261" s="194">
        <v>0</v>
      </c>
      <c r="J261" s="194">
        <v>110000</v>
      </c>
      <c r="K261" s="185">
        <v>1</v>
      </c>
      <c r="L261" s="183" t="s">
        <v>5743</v>
      </c>
      <c r="M261" s="184" t="s">
        <v>5765</v>
      </c>
      <c r="N261" s="184" t="s">
        <v>5765</v>
      </c>
      <c r="O261" s="889"/>
    </row>
    <row r="262" spans="1:15" s="182" customFormat="1" ht="21.75" customHeight="1" x14ac:dyDescent="0.15">
      <c r="A262" s="151" t="s">
        <v>6279</v>
      </c>
      <c r="B262" s="226" t="s">
        <v>6085</v>
      </c>
      <c r="C262" s="184" t="s">
        <v>3985</v>
      </c>
      <c r="D262" s="184" t="s">
        <v>3572</v>
      </c>
      <c r="E262" s="184" t="s">
        <v>5697</v>
      </c>
      <c r="F262" s="224" t="s">
        <v>3328</v>
      </c>
      <c r="G262" s="239" t="s">
        <v>3349</v>
      </c>
      <c r="H262" s="181">
        <v>22147</v>
      </c>
      <c r="I262" s="194">
        <v>0</v>
      </c>
      <c r="J262" s="194">
        <v>100000</v>
      </c>
      <c r="K262" s="185">
        <v>1</v>
      </c>
      <c r="L262" s="183" t="s">
        <v>5743</v>
      </c>
      <c r="M262" s="184" t="s">
        <v>5765</v>
      </c>
      <c r="N262" s="184" t="s">
        <v>5765</v>
      </c>
      <c r="O262" s="889"/>
    </row>
    <row r="263" spans="1:15" s="182" customFormat="1" ht="21.75" customHeight="1" x14ac:dyDescent="0.15">
      <c r="A263" s="151" t="s">
        <v>6282</v>
      </c>
      <c r="B263" s="20" t="s">
        <v>6283</v>
      </c>
      <c r="C263" s="891" t="s">
        <v>4963</v>
      </c>
      <c r="D263" s="891" t="s">
        <v>5028</v>
      </c>
      <c r="E263" s="891" t="s">
        <v>6286</v>
      </c>
      <c r="F263" s="292" t="s">
        <v>3328</v>
      </c>
      <c r="G263" s="235" t="s">
        <v>5090</v>
      </c>
      <c r="H263" s="638">
        <v>23040</v>
      </c>
      <c r="I263" s="194">
        <v>190000</v>
      </c>
      <c r="J263" s="194">
        <v>0</v>
      </c>
      <c r="K263" s="185" t="s">
        <v>6287</v>
      </c>
      <c r="L263" s="183" t="s">
        <v>6288</v>
      </c>
      <c r="M263" s="183" t="s">
        <v>5765</v>
      </c>
      <c r="N263" s="183" t="s">
        <v>5765</v>
      </c>
      <c r="O263" s="890" t="s">
        <v>6299</v>
      </c>
    </row>
    <row r="264" spans="1:15" s="182" customFormat="1" ht="21.75" customHeight="1" x14ac:dyDescent="0.15">
      <c r="A264" s="151" t="s">
        <v>6282</v>
      </c>
      <c r="B264" s="20" t="s">
        <v>6284</v>
      </c>
      <c r="C264" s="891" t="s">
        <v>4941</v>
      </c>
      <c r="D264" s="891" t="s">
        <v>4942</v>
      </c>
      <c r="E264" s="891" t="s">
        <v>5657</v>
      </c>
      <c r="F264" s="207" t="s">
        <v>3328</v>
      </c>
      <c r="G264" s="235" t="s">
        <v>5658</v>
      </c>
      <c r="H264" s="638">
        <v>21112</v>
      </c>
      <c r="I264" s="194">
        <v>0</v>
      </c>
      <c r="J264" s="194">
        <v>18500</v>
      </c>
      <c r="K264" s="185">
        <v>0.1</v>
      </c>
      <c r="L264" s="183" t="s">
        <v>5744</v>
      </c>
      <c r="M264" s="184" t="s">
        <v>5255</v>
      </c>
      <c r="N264" s="184" t="s">
        <v>5255</v>
      </c>
      <c r="O264" s="891"/>
    </row>
    <row r="265" spans="1:15" s="182" customFormat="1" ht="21.75" customHeight="1" x14ac:dyDescent="0.15">
      <c r="A265" s="151" t="s">
        <v>6285</v>
      </c>
      <c r="B265" s="20" t="s">
        <v>5225</v>
      </c>
      <c r="C265" s="891" t="s">
        <v>5213</v>
      </c>
      <c r="D265" s="891" t="s">
        <v>6277</v>
      </c>
      <c r="E265" s="891" t="s">
        <v>6278</v>
      </c>
      <c r="F265" s="184" t="s">
        <v>5078</v>
      </c>
      <c r="G265" s="235" t="s">
        <v>5030</v>
      </c>
      <c r="H265" s="638">
        <v>23125</v>
      </c>
      <c r="I265" s="194">
        <v>0</v>
      </c>
      <c r="J265" s="194">
        <v>120000</v>
      </c>
      <c r="K265" s="185">
        <v>1</v>
      </c>
      <c r="L265" s="183" t="s">
        <v>5743</v>
      </c>
      <c r="M265" s="184" t="s">
        <v>5255</v>
      </c>
      <c r="N265" s="184" t="s">
        <v>5255</v>
      </c>
      <c r="O265" s="891"/>
    </row>
    <row r="266" spans="1:15" s="182" customFormat="1" ht="21.75" customHeight="1" x14ac:dyDescent="0.15">
      <c r="A266" s="151" t="s">
        <v>6289</v>
      </c>
      <c r="B266" s="20" t="s">
        <v>5203</v>
      </c>
      <c r="C266" s="275" t="s">
        <v>3664</v>
      </c>
      <c r="D266" s="241" t="s">
        <v>4115</v>
      </c>
      <c r="E266" s="275" t="s">
        <v>4299</v>
      </c>
      <c r="F266" s="599" t="s">
        <v>3328</v>
      </c>
      <c r="G266" s="242" t="s">
        <v>3378</v>
      </c>
      <c r="H266" s="638">
        <v>17147</v>
      </c>
      <c r="I266" s="194">
        <v>0</v>
      </c>
      <c r="J266" s="194">
        <v>37666.67</v>
      </c>
      <c r="K266" s="185">
        <v>0.1</v>
      </c>
      <c r="L266" s="183" t="s">
        <v>5744</v>
      </c>
      <c r="M266" s="184" t="s">
        <v>5771</v>
      </c>
      <c r="N266" s="184" t="s">
        <v>5771</v>
      </c>
      <c r="O266" s="892"/>
    </row>
    <row r="267" spans="1:15" s="182" customFormat="1" ht="21.75" customHeight="1" x14ac:dyDescent="0.15">
      <c r="A267" s="151" t="s">
        <v>6290</v>
      </c>
      <c r="B267" s="20" t="s">
        <v>6291</v>
      </c>
      <c r="C267" s="184" t="s">
        <v>4982</v>
      </c>
      <c r="D267" s="184" t="s">
        <v>6294</v>
      </c>
      <c r="E267" s="184" t="s">
        <v>5984</v>
      </c>
      <c r="F267" s="184" t="s">
        <v>4944</v>
      </c>
      <c r="G267" s="235" t="s">
        <v>5030</v>
      </c>
      <c r="H267" s="638">
        <v>23145</v>
      </c>
      <c r="I267" s="194">
        <v>0</v>
      </c>
      <c r="J267" s="194">
        <v>70000</v>
      </c>
      <c r="K267" s="185">
        <v>1</v>
      </c>
      <c r="L267" s="183" t="s">
        <v>5743</v>
      </c>
      <c r="M267" s="184" t="s">
        <v>6038</v>
      </c>
      <c r="N267" s="184" t="s">
        <v>6038</v>
      </c>
      <c r="O267" s="893"/>
    </row>
    <row r="268" spans="1:15" s="182" customFormat="1" ht="21.75" customHeight="1" x14ac:dyDescent="0.15">
      <c r="A268" s="151" t="s">
        <v>6290</v>
      </c>
      <c r="B268" s="20" t="s">
        <v>6291</v>
      </c>
      <c r="C268" s="895" t="s">
        <v>3371</v>
      </c>
      <c r="D268" s="184" t="s">
        <v>6294</v>
      </c>
      <c r="E268" s="895" t="s">
        <v>4986</v>
      </c>
      <c r="F268" s="184" t="s">
        <v>4944</v>
      </c>
      <c r="G268" s="235" t="s">
        <v>5030</v>
      </c>
      <c r="H268" s="638">
        <v>23146</v>
      </c>
      <c r="I268" s="194">
        <v>0</v>
      </c>
      <c r="J268" s="194">
        <v>70000</v>
      </c>
      <c r="K268" s="185">
        <v>1</v>
      </c>
      <c r="L268" s="183" t="s">
        <v>5743</v>
      </c>
      <c r="M268" s="184" t="s">
        <v>6038</v>
      </c>
      <c r="N268" s="184" t="s">
        <v>6038</v>
      </c>
      <c r="O268" s="893"/>
    </row>
    <row r="269" spans="1:15" s="182" customFormat="1" ht="21.75" customHeight="1" x14ac:dyDescent="0.15">
      <c r="A269" s="151" t="s">
        <v>6290</v>
      </c>
      <c r="B269" s="20" t="s">
        <v>6291</v>
      </c>
      <c r="C269" s="895" t="s">
        <v>3371</v>
      </c>
      <c r="D269" s="184" t="s">
        <v>6294</v>
      </c>
      <c r="E269" s="895" t="s">
        <v>4986</v>
      </c>
      <c r="F269" s="184" t="s">
        <v>4944</v>
      </c>
      <c r="G269" s="235" t="s">
        <v>5030</v>
      </c>
      <c r="H269" s="638">
        <v>23147</v>
      </c>
      <c r="I269" s="194">
        <v>0</v>
      </c>
      <c r="J269" s="194">
        <v>70000</v>
      </c>
      <c r="K269" s="185">
        <v>1</v>
      </c>
      <c r="L269" s="183" t="s">
        <v>5743</v>
      </c>
      <c r="M269" s="184" t="s">
        <v>6038</v>
      </c>
      <c r="N269" s="184" t="s">
        <v>6038</v>
      </c>
      <c r="O269" s="895"/>
    </row>
    <row r="270" spans="1:15" s="182" customFormat="1" ht="21.75" customHeight="1" x14ac:dyDescent="0.15">
      <c r="A270" s="151" t="s">
        <v>6293</v>
      </c>
      <c r="B270" s="226" t="s">
        <v>4715</v>
      </c>
      <c r="C270" s="895" t="s">
        <v>3351</v>
      </c>
      <c r="D270" s="895" t="s">
        <v>3347</v>
      </c>
      <c r="E270" s="895" t="s">
        <v>5767</v>
      </c>
      <c r="F270" s="224" t="s">
        <v>3328</v>
      </c>
      <c r="G270" s="239" t="s">
        <v>5240</v>
      </c>
      <c r="H270" s="638" t="s">
        <v>6295</v>
      </c>
      <c r="I270" s="194">
        <v>0</v>
      </c>
      <c r="J270" s="194">
        <v>2800</v>
      </c>
      <c r="K270" s="185">
        <v>0.1</v>
      </c>
      <c r="L270" s="183" t="s">
        <v>5744</v>
      </c>
      <c r="M270" s="184" t="s">
        <v>5255</v>
      </c>
      <c r="N270" s="184" t="s">
        <v>5255</v>
      </c>
      <c r="O270" s="893"/>
    </row>
    <row r="271" spans="1:15" s="182" customFormat="1" ht="21.75" customHeight="1" x14ac:dyDescent="0.15">
      <c r="A271" s="151" t="s">
        <v>6293</v>
      </c>
      <c r="B271" s="226" t="s">
        <v>4715</v>
      </c>
      <c r="C271" s="895" t="s">
        <v>3351</v>
      </c>
      <c r="D271" s="895" t="s">
        <v>3347</v>
      </c>
      <c r="E271" s="895" t="s">
        <v>4360</v>
      </c>
      <c r="F271" s="184" t="s">
        <v>4944</v>
      </c>
      <c r="G271" s="239" t="s">
        <v>5240</v>
      </c>
      <c r="H271" s="638" t="s">
        <v>6296</v>
      </c>
      <c r="I271" s="194">
        <v>0</v>
      </c>
      <c r="J271" s="194">
        <v>2800</v>
      </c>
      <c r="K271" s="185">
        <v>0.1</v>
      </c>
      <c r="L271" s="183" t="s">
        <v>5744</v>
      </c>
      <c r="M271" s="184" t="s">
        <v>5255</v>
      </c>
      <c r="N271" s="184" t="s">
        <v>5255</v>
      </c>
      <c r="O271" s="895"/>
    </row>
    <row r="272" spans="1:15" s="182" customFormat="1" ht="21.75" customHeight="1" x14ac:dyDescent="0.15">
      <c r="A272" s="151" t="s">
        <v>6293</v>
      </c>
      <c r="B272" s="20" t="s">
        <v>5807</v>
      </c>
      <c r="C272" s="279" t="s">
        <v>3351</v>
      </c>
      <c r="D272" s="896" t="s">
        <v>3347</v>
      </c>
      <c r="E272" s="180" t="s">
        <v>4550</v>
      </c>
      <c r="F272" s="184" t="s">
        <v>3332</v>
      </c>
      <c r="G272" s="235" t="s">
        <v>3381</v>
      </c>
      <c r="H272" s="181" t="s">
        <v>6297</v>
      </c>
      <c r="I272" s="194">
        <v>0</v>
      </c>
      <c r="J272" s="194">
        <v>80000</v>
      </c>
      <c r="K272" s="185">
        <v>1</v>
      </c>
      <c r="L272" s="183" t="s">
        <v>5743</v>
      </c>
      <c r="M272" s="184" t="s">
        <v>5255</v>
      </c>
      <c r="N272" s="184" t="s">
        <v>5255</v>
      </c>
      <c r="O272" s="893"/>
    </row>
    <row r="273" spans="1:15" s="182" customFormat="1" ht="21.75" customHeight="1" x14ac:dyDescent="0.15">
      <c r="A273" s="151" t="s">
        <v>6293</v>
      </c>
      <c r="B273" s="20" t="s">
        <v>5807</v>
      </c>
      <c r="C273" s="897" t="s">
        <v>3351</v>
      </c>
      <c r="D273" s="897" t="s">
        <v>3347</v>
      </c>
      <c r="E273" s="897" t="s">
        <v>4360</v>
      </c>
      <c r="F273" s="184" t="s">
        <v>4944</v>
      </c>
      <c r="G273" s="235" t="s">
        <v>3381</v>
      </c>
      <c r="H273" s="181" t="s">
        <v>6298</v>
      </c>
      <c r="I273" s="194">
        <v>0</v>
      </c>
      <c r="J273" s="194">
        <v>70000</v>
      </c>
      <c r="K273" s="185">
        <v>1</v>
      </c>
      <c r="L273" s="183" t="s">
        <v>5743</v>
      </c>
      <c r="M273" s="184" t="s">
        <v>5255</v>
      </c>
      <c r="N273" s="184" t="s">
        <v>5255</v>
      </c>
      <c r="O273" s="897"/>
    </row>
    <row r="274" spans="1:15" s="182" customFormat="1" ht="21.75" customHeight="1" x14ac:dyDescent="0.15">
      <c r="A274" s="151" t="s">
        <v>6300</v>
      </c>
      <c r="B274" s="20" t="s">
        <v>6301</v>
      </c>
      <c r="C274" s="224" t="s">
        <v>3351</v>
      </c>
      <c r="D274" s="224" t="s">
        <v>3352</v>
      </c>
      <c r="E274" s="180" t="s">
        <v>3643</v>
      </c>
      <c r="F274" s="207" t="s">
        <v>3340</v>
      </c>
      <c r="G274" s="235" t="s">
        <v>6314</v>
      </c>
      <c r="H274" s="638">
        <v>23036</v>
      </c>
      <c r="I274" s="194">
        <v>0</v>
      </c>
      <c r="J274" s="194">
        <v>123025</v>
      </c>
      <c r="K274" s="185">
        <v>0.95</v>
      </c>
      <c r="L274" s="183" t="s">
        <v>6315</v>
      </c>
      <c r="M274" s="184" t="s">
        <v>5255</v>
      </c>
      <c r="N274" s="184" t="s">
        <v>5255</v>
      </c>
      <c r="O274" s="898"/>
    </row>
    <row r="275" spans="1:15" s="182" customFormat="1" ht="21.75" customHeight="1" x14ac:dyDescent="0.15">
      <c r="A275" s="151" t="s">
        <v>6300</v>
      </c>
      <c r="B275" s="20" t="s">
        <v>6302</v>
      </c>
      <c r="C275" s="224" t="s">
        <v>3351</v>
      </c>
      <c r="D275" s="224" t="s">
        <v>3352</v>
      </c>
      <c r="E275" s="180" t="s">
        <v>2794</v>
      </c>
      <c r="F275" s="207" t="s">
        <v>3340</v>
      </c>
      <c r="G275" s="235" t="s">
        <v>6314</v>
      </c>
      <c r="H275" s="181">
        <v>23037</v>
      </c>
      <c r="I275" s="194">
        <v>0</v>
      </c>
      <c r="J275" s="194">
        <v>123025</v>
      </c>
      <c r="K275" s="185">
        <v>0.95</v>
      </c>
      <c r="L275" s="183" t="s">
        <v>6315</v>
      </c>
      <c r="M275" s="184" t="s">
        <v>5255</v>
      </c>
      <c r="N275" s="184" t="s">
        <v>5255</v>
      </c>
      <c r="O275" s="898"/>
    </row>
    <row r="276" spans="1:15" s="182" customFormat="1" ht="21.75" customHeight="1" x14ac:dyDescent="0.15">
      <c r="A276" s="151" t="s">
        <v>6300</v>
      </c>
      <c r="B276" s="20" t="s">
        <v>5890</v>
      </c>
      <c r="C276" s="901" t="s">
        <v>3346</v>
      </c>
      <c r="D276" s="901" t="s">
        <v>3347</v>
      </c>
      <c r="E276" s="184" t="s">
        <v>5397</v>
      </c>
      <c r="F276" s="184" t="s">
        <v>4944</v>
      </c>
      <c r="G276" s="235" t="s">
        <v>5030</v>
      </c>
      <c r="H276" s="638">
        <v>23015</v>
      </c>
      <c r="I276" s="194">
        <v>0</v>
      </c>
      <c r="J276" s="194">
        <v>103500</v>
      </c>
      <c r="K276" s="185">
        <v>1</v>
      </c>
      <c r="L276" s="183" t="s">
        <v>5743</v>
      </c>
      <c r="M276" s="184" t="s">
        <v>662</v>
      </c>
      <c r="N276" s="184" t="s">
        <v>662</v>
      </c>
      <c r="O276" s="899"/>
    </row>
    <row r="277" spans="1:15" s="182" customFormat="1" ht="21.75" customHeight="1" x14ac:dyDescent="0.15">
      <c r="A277" s="151" t="s">
        <v>6300</v>
      </c>
      <c r="B277" s="20" t="s">
        <v>6306</v>
      </c>
      <c r="C277" s="224" t="s">
        <v>3325</v>
      </c>
      <c r="D277" s="224" t="s">
        <v>3439</v>
      </c>
      <c r="E277" s="180" t="s">
        <v>4102</v>
      </c>
      <c r="F277" s="184" t="s">
        <v>5078</v>
      </c>
      <c r="G277" s="239" t="s">
        <v>5240</v>
      </c>
      <c r="H277" s="638">
        <v>23123</v>
      </c>
      <c r="I277" s="194">
        <v>0</v>
      </c>
      <c r="J277" s="194">
        <v>27160</v>
      </c>
      <c r="K277" s="185">
        <v>0.97</v>
      </c>
      <c r="L277" s="183" t="s">
        <v>806</v>
      </c>
      <c r="M277" s="184" t="s">
        <v>693</v>
      </c>
      <c r="N277" s="184" t="s">
        <v>693</v>
      </c>
      <c r="O277" s="899"/>
    </row>
    <row r="278" spans="1:15" s="182" customFormat="1" ht="21.75" customHeight="1" x14ac:dyDescent="0.15">
      <c r="A278" s="151" t="s">
        <v>6303</v>
      </c>
      <c r="B278" s="20" t="s">
        <v>5895</v>
      </c>
      <c r="C278" s="901" t="s">
        <v>4963</v>
      </c>
      <c r="D278" s="901" t="s">
        <v>5018</v>
      </c>
      <c r="E278" s="901" t="s">
        <v>5905</v>
      </c>
      <c r="F278" s="184" t="s">
        <v>5078</v>
      </c>
      <c r="G278" s="235" t="s">
        <v>5795</v>
      </c>
      <c r="H278" s="638">
        <v>23010</v>
      </c>
      <c r="I278" s="194">
        <v>0</v>
      </c>
      <c r="J278" s="194">
        <v>235000</v>
      </c>
      <c r="K278" s="185">
        <v>1</v>
      </c>
      <c r="L278" s="183" t="s">
        <v>806</v>
      </c>
      <c r="M278" s="184" t="s">
        <v>5765</v>
      </c>
      <c r="N278" s="184" t="s">
        <v>5765</v>
      </c>
      <c r="O278" s="899"/>
    </row>
    <row r="279" spans="1:15" s="182" customFormat="1" ht="21.75" customHeight="1" x14ac:dyDescent="0.15">
      <c r="A279" s="151" t="s">
        <v>6303</v>
      </c>
      <c r="B279" s="20" t="s">
        <v>5888</v>
      </c>
      <c r="C279" s="184" t="s">
        <v>4941</v>
      </c>
      <c r="D279" s="184" t="s">
        <v>5901</v>
      </c>
      <c r="E279" s="184" t="s">
        <v>918</v>
      </c>
      <c r="F279" s="184" t="s">
        <v>5078</v>
      </c>
      <c r="G279" s="235" t="s">
        <v>5030</v>
      </c>
      <c r="H279" s="638">
        <v>21089</v>
      </c>
      <c r="I279" s="194">
        <v>0</v>
      </c>
      <c r="J279" s="194">
        <v>63000</v>
      </c>
      <c r="K279" s="185">
        <v>0.7</v>
      </c>
      <c r="L279" s="183" t="s">
        <v>5743</v>
      </c>
      <c r="M279" s="184" t="s">
        <v>5255</v>
      </c>
      <c r="N279" s="184" t="s">
        <v>5255</v>
      </c>
      <c r="O279" s="899"/>
    </row>
    <row r="280" spans="1:15" s="182" customFormat="1" ht="21.75" customHeight="1" x14ac:dyDescent="0.15">
      <c r="A280" s="151" t="s">
        <v>6303</v>
      </c>
      <c r="B280" s="20" t="s">
        <v>6307</v>
      </c>
      <c r="C280" s="901" t="s">
        <v>4982</v>
      </c>
      <c r="D280" s="901" t="s">
        <v>5541</v>
      </c>
      <c r="E280" s="901" t="s">
        <v>5713</v>
      </c>
      <c r="F280" s="184" t="s">
        <v>4944</v>
      </c>
      <c r="G280" s="235" t="s">
        <v>5030</v>
      </c>
      <c r="H280" s="638">
        <v>23013</v>
      </c>
      <c r="I280" s="194">
        <v>0</v>
      </c>
      <c r="J280" s="194">
        <v>103500</v>
      </c>
      <c r="K280" s="185">
        <v>1</v>
      </c>
      <c r="L280" s="183" t="s">
        <v>5743</v>
      </c>
      <c r="M280" s="184" t="s">
        <v>662</v>
      </c>
      <c r="N280" s="184" t="s">
        <v>662</v>
      </c>
      <c r="O280" s="899"/>
    </row>
    <row r="281" spans="1:15" s="182" customFormat="1" ht="21.75" customHeight="1" x14ac:dyDescent="0.15">
      <c r="A281" s="151" t="s">
        <v>6303</v>
      </c>
      <c r="B281" s="20" t="s">
        <v>5808</v>
      </c>
      <c r="C281" s="901" t="s">
        <v>3368</v>
      </c>
      <c r="D281" s="901" t="s">
        <v>3369</v>
      </c>
      <c r="E281" s="901" t="s">
        <v>3466</v>
      </c>
      <c r="F281" s="184" t="s">
        <v>3400</v>
      </c>
      <c r="G281" s="235" t="s">
        <v>6316</v>
      </c>
      <c r="H281" s="575">
        <v>23024</v>
      </c>
      <c r="I281" s="194">
        <v>0</v>
      </c>
      <c r="J281" s="194">
        <v>60300</v>
      </c>
      <c r="K281" s="185">
        <v>0.9</v>
      </c>
      <c r="L281" s="183" t="s">
        <v>5768</v>
      </c>
      <c r="M281" s="184" t="s">
        <v>6038</v>
      </c>
      <c r="N281" s="184" t="s">
        <v>6038</v>
      </c>
      <c r="O281" s="899"/>
    </row>
    <row r="282" spans="1:15" s="182" customFormat="1" ht="21.75" customHeight="1" x14ac:dyDescent="0.15">
      <c r="A282" s="151" t="s">
        <v>6303</v>
      </c>
      <c r="B282" s="20" t="s">
        <v>5291</v>
      </c>
      <c r="C282" s="901" t="s">
        <v>4982</v>
      </c>
      <c r="D282" s="901" t="s">
        <v>5294</v>
      </c>
      <c r="E282" s="901" t="s">
        <v>5295</v>
      </c>
      <c r="F282" s="184" t="s">
        <v>3328</v>
      </c>
      <c r="G282" s="235" t="s">
        <v>5030</v>
      </c>
      <c r="H282" s="638">
        <v>23124</v>
      </c>
      <c r="I282" s="194">
        <v>0</v>
      </c>
      <c r="J282" s="194">
        <v>30000</v>
      </c>
      <c r="K282" s="185">
        <v>0.5</v>
      </c>
      <c r="L282" s="183" t="s">
        <v>5743</v>
      </c>
      <c r="M282" s="184" t="s">
        <v>6038</v>
      </c>
      <c r="N282" s="184" t="s">
        <v>6038</v>
      </c>
      <c r="O282" s="899"/>
    </row>
    <row r="283" spans="1:15" s="182" customFormat="1" ht="21.75" customHeight="1" x14ac:dyDescent="0.15">
      <c r="A283" s="151" t="s">
        <v>6304</v>
      </c>
      <c r="B283" s="20" t="s">
        <v>5932</v>
      </c>
      <c r="C283" s="184" t="s">
        <v>5148</v>
      </c>
      <c r="D283" s="184" t="s">
        <v>5098</v>
      </c>
      <c r="E283" s="184" t="s">
        <v>5149</v>
      </c>
      <c r="F283" s="184" t="s">
        <v>5078</v>
      </c>
      <c r="G283" s="235" t="s">
        <v>5042</v>
      </c>
      <c r="H283" s="638">
        <v>23148</v>
      </c>
      <c r="I283" s="194">
        <v>0</v>
      </c>
      <c r="J283" s="194">
        <v>45100</v>
      </c>
      <c r="K283" s="185">
        <v>1</v>
      </c>
      <c r="L283" s="183" t="s">
        <v>806</v>
      </c>
      <c r="M283" s="184" t="s">
        <v>5771</v>
      </c>
      <c r="N283" s="184" t="s">
        <v>5771</v>
      </c>
      <c r="O283" s="899"/>
    </row>
    <row r="284" spans="1:15" s="182" customFormat="1" ht="21.75" customHeight="1" x14ac:dyDescent="0.15">
      <c r="A284" s="151" t="s">
        <v>6304</v>
      </c>
      <c r="B284" s="20" t="s">
        <v>6308</v>
      </c>
      <c r="C284" s="902" t="s">
        <v>4982</v>
      </c>
      <c r="D284" s="902" t="s">
        <v>5098</v>
      </c>
      <c r="E284" s="902" t="s">
        <v>6318</v>
      </c>
      <c r="F284" s="184" t="s">
        <v>6254</v>
      </c>
      <c r="G284" s="235" t="s">
        <v>5300</v>
      </c>
      <c r="H284" s="181">
        <v>23155</v>
      </c>
      <c r="I284" s="194">
        <v>0</v>
      </c>
      <c r="J284" s="194">
        <v>26375</v>
      </c>
      <c r="K284" s="185">
        <v>0.25</v>
      </c>
      <c r="L284" s="183" t="s">
        <v>6144</v>
      </c>
      <c r="M284" s="184" t="s">
        <v>662</v>
      </c>
      <c r="N284" s="184" t="s">
        <v>662</v>
      </c>
      <c r="O284" s="899"/>
    </row>
    <row r="285" spans="1:15" s="182" customFormat="1" ht="21.75" customHeight="1" x14ac:dyDescent="0.15">
      <c r="A285" s="151" t="s">
        <v>6304</v>
      </c>
      <c r="B285" s="20" t="s">
        <v>6308</v>
      </c>
      <c r="C285" s="902" t="s">
        <v>4982</v>
      </c>
      <c r="D285" s="902" t="s">
        <v>5098</v>
      </c>
      <c r="E285" s="902" t="s">
        <v>6320</v>
      </c>
      <c r="F285" s="184" t="s">
        <v>6254</v>
      </c>
      <c r="G285" s="235" t="s">
        <v>5300</v>
      </c>
      <c r="H285" s="181">
        <v>23157</v>
      </c>
      <c r="I285" s="194">
        <v>0</v>
      </c>
      <c r="J285" s="194">
        <v>155625</v>
      </c>
      <c r="K285" s="185">
        <v>0.25</v>
      </c>
      <c r="L285" s="183" t="s">
        <v>6144</v>
      </c>
      <c r="M285" s="184" t="s">
        <v>662</v>
      </c>
      <c r="N285" s="184" t="s">
        <v>662</v>
      </c>
      <c r="O285" s="899"/>
    </row>
    <row r="286" spans="1:15" s="182" customFormat="1" ht="21.75" customHeight="1" x14ac:dyDescent="0.15">
      <c r="A286" s="151" t="s">
        <v>6305</v>
      </c>
      <c r="B286" s="20" t="s">
        <v>6308</v>
      </c>
      <c r="C286" s="902" t="s">
        <v>4982</v>
      </c>
      <c r="D286" s="902" t="s">
        <v>5098</v>
      </c>
      <c r="E286" s="902" t="s">
        <v>6319</v>
      </c>
      <c r="F286" s="184" t="s">
        <v>6254</v>
      </c>
      <c r="G286" s="235" t="s">
        <v>5300</v>
      </c>
      <c r="H286" s="181">
        <v>23156</v>
      </c>
      <c r="I286" s="194">
        <v>0</v>
      </c>
      <c r="J286" s="194">
        <v>240950</v>
      </c>
      <c r="K286" s="185">
        <v>0.25</v>
      </c>
      <c r="L286" s="183" t="s">
        <v>6144</v>
      </c>
      <c r="M286" s="184" t="s">
        <v>662</v>
      </c>
      <c r="N286" s="184" t="s">
        <v>662</v>
      </c>
      <c r="O286" s="900"/>
    </row>
    <row r="287" spans="1:15" s="182" customFormat="1" ht="21.75" customHeight="1" x14ac:dyDescent="0.15">
      <c r="A287" s="151" t="s">
        <v>6305</v>
      </c>
      <c r="B287" s="20" t="s">
        <v>5919</v>
      </c>
      <c r="C287" s="902" t="s">
        <v>5148</v>
      </c>
      <c r="D287" s="902" t="s">
        <v>6321</v>
      </c>
      <c r="E287" s="902" t="s">
        <v>6322</v>
      </c>
      <c r="F287" s="184" t="s">
        <v>5078</v>
      </c>
      <c r="G287" s="235" t="s">
        <v>6323</v>
      </c>
      <c r="H287" s="638">
        <v>22183</v>
      </c>
      <c r="I287" s="194">
        <v>0</v>
      </c>
      <c r="J287" s="194">
        <v>115000</v>
      </c>
      <c r="K287" s="185">
        <v>0.5</v>
      </c>
      <c r="L287" s="183" t="s">
        <v>5743</v>
      </c>
      <c r="M287" s="184" t="s">
        <v>5771</v>
      </c>
      <c r="N287" s="184" t="s">
        <v>5771</v>
      </c>
      <c r="O287" s="899"/>
    </row>
    <row r="288" spans="1:15" s="182" customFormat="1" ht="21.75" customHeight="1" x14ac:dyDescent="0.15">
      <c r="A288" s="151" t="s">
        <v>6305</v>
      </c>
      <c r="B288" s="20" t="s">
        <v>6228</v>
      </c>
      <c r="C288" s="184" t="s">
        <v>4982</v>
      </c>
      <c r="D288" s="184" t="s">
        <v>5422</v>
      </c>
      <c r="E288" s="184" t="s">
        <v>5427</v>
      </c>
      <c r="F288" s="292" t="s">
        <v>3328</v>
      </c>
      <c r="G288" s="235" t="s">
        <v>5030</v>
      </c>
      <c r="H288" s="638">
        <v>21192</v>
      </c>
      <c r="I288" s="194">
        <v>0</v>
      </c>
      <c r="J288" s="194">
        <v>48000</v>
      </c>
      <c r="K288" s="185">
        <v>0.5</v>
      </c>
      <c r="L288" s="183" t="s">
        <v>5743</v>
      </c>
      <c r="M288" s="184" t="s">
        <v>693</v>
      </c>
      <c r="N288" s="184" t="s">
        <v>693</v>
      </c>
      <c r="O288" s="899"/>
    </row>
    <row r="289" spans="1:15" s="182" customFormat="1" ht="21.75" customHeight="1" x14ac:dyDescent="0.15">
      <c r="A289" s="151" t="s">
        <v>6305</v>
      </c>
      <c r="B289" s="20" t="s">
        <v>6309</v>
      </c>
      <c r="C289" s="279" t="s">
        <v>3337</v>
      </c>
      <c r="D289" s="279" t="s">
        <v>3702</v>
      </c>
      <c r="E289" s="241" t="s">
        <v>4583</v>
      </c>
      <c r="F289" s="279" t="s">
        <v>3328</v>
      </c>
      <c r="G289" s="242" t="s">
        <v>4584</v>
      </c>
      <c r="H289" s="181">
        <v>18117</v>
      </c>
      <c r="I289" s="194">
        <v>0</v>
      </c>
      <c r="J289" s="194">
        <v>53220</v>
      </c>
      <c r="K289" s="185">
        <v>0.15</v>
      </c>
      <c r="L289" s="183" t="s">
        <v>5744</v>
      </c>
      <c r="M289" s="279" t="s">
        <v>4957</v>
      </c>
      <c r="N289" s="596" t="s">
        <v>3726</v>
      </c>
      <c r="O289" s="899"/>
    </row>
    <row r="290" spans="1:15" s="182" customFormat="1" ht="21.75" customHeight="1" x14ac:dyDescent="0.15">
      <c r="A290" s="151" t="s">
        <v>6310</v>
      </c>
      <c r="B290" s="20" t="s">
        <v>6308</v>
      </c>
      <c r="C290" s="902" t="s">
        <v>4982</v>
      </c>
      <c r="D290" s="902" t="s">
        <v>5098</v>
      </c>
      <c r="E290" s="902" t="s">
        <v>6317</v>
      </c>
      <c r="F290" s="184" t="s">
        <v>6254</v>
      </c>
      <c r="G290" s="235" t="s">
        <v>5300</v>
      </c>
      <c r="H290" s="181">
        <v>23154</v>
      </c>
      <c r="I290" s="194">
        <v>0</v>
      </c>
      <c r="J290" s="194">
        <v>155950</v>
      </c>
      <c r="K290" s="185">
        <v>0.25</v>
      </c>
      <c r="L290" s="183" t="s">
        <v>6144</v>
      </c>
      <c r="M290" s="184" t="s">
        <v>662</v>
      </c>
      <c r="N290" s="184" t="s">
        <v>662</v>
      </c>
      <c r="O290" s="901"/>
    </row>
    <row r="291" spans="1:15" s="182" customFormat="1" ht="21.75" customHeight="1" x14ac:dyDescent="0.15">
      <c r="A291" s="151" t="s">
        <v>6311</v>
      </c>
      <c r="B291" s="20" t="s">
        <v>6312</v>
      </c>
      <c r="C291" s="184" t="s">
        <v>4941</v>
      </c>
      <c r="D291" s="184" t="s">
        <v>5076</v>
      </c>
      <c r="E291" s="902" t="s">
        <v>4064</v>
      </c>
      <c r="F291" s="224" t="s">
        <v>3328</v>
      </c>
      <c r="G291" s="235" t="s">
        <v>5030</v>
      </c>
      <c r="H291" s="638">
        <v>22102</v>
      </c>
      <c r="I291" s="194">
        <v>0</v>
      </c>
      <c r="J291" s="194">
        <v>5000</v>
      </c>
      <c r="K291" s="185">
        <v>0.05</v>
      </c>
      <c r="L291" s="183" t="s">
        <v>5743</v>
      </c>
      <c r="M291" s="184" t="s">
        <v>5255</v>
      </c>
      <c r="N291" s="184" t="s">
        <v>5255</v>
      </c>
      <c r="O291" s="901"/>
    </row>
    <row r="292" spans="1:15" s="182" customFormat="1" ht="21.75" customHeight="1" x14ac:dyDescent="0.15">
      <c r="A292" s="151" t="s">
        <v>6311</v>
      </c>
      <c r="B292" s="20" t="s">
        <v>6313</v>
      </c>
      <c r="C292" s="224" t="s">
        <v>3363</v>
      </c>
      <c r="D292" s="224" t="s">
        <v>3352</v>
      </c>
      <c r="E292" s="224" t="s">
        <v>4411</v>
      </c>
      <c r="F292" s="224" t="s">
        <v>3328</v>
      </c>
      <c r="G292" s="235" t="s">
        <v>6324</v>
      </c>
      <c r="H292" s="638">
        <v>23086</v>
      </c>
      <c r="I292" s="194">
        <v>0</v>
      </c>
      <c r="J292" s="194">
        <v>188000</v>
      </c>
      <c r="K292" s="185">
        <v>1</v>
      </c>
      <c r="L292" s="183" t="s">
        <v>806</v>
      </c>
      <c r="M292" s="184" t="s">
        <v>5765</v>
      </c>
      <c r="N292" s="184" t="s">
        <v>5765</v>
      </c>
      <c r="O292" s="901"/>
    </row>
    <row r="293" spans="1:15" s="182" customFormat="1" ht="21.75" customHeight="1" x14ac:dyDescent="0.15">
      <c r="A293" s="151" t="s">
        <v>6325</v>
      </c>
      <c r="B293" s="20" t="s">
        <v>6129</v>
      </c>
      <c r="C293" s="903" t="s">
        <v>3376</v>
      </c>
      <c r="D293" s="903" t="s">
        <v>3682</v>
      </c>
      <c r="E293" s="184" t="s">
        <v>4245</v>
      </c>
      <c r="F293" s="184" t="s">
        <v>3332</v>
      </c>
      <c r="G293" s="235" t="s">
        <v>4590</v>
      </c>
      <c r="H293" s="638">
        <v>23068</v>
      </c>
      <c r="I293" s="194">
        <v>0</v>
      </c>
      <c r="J293" s="194">
        <v>48500</v>
      </c>
      <c r="K293" s="185">
        <v>1</v>
      </c>
      <c r="L293" s="183" t="s">
        <v>806</v>
      </c>
      <c r="M293" s="184" t="s">
        <v>5771</v>
      </c>
      <c r="N293" s="184" t="s">
        <v>5771</v>
      </c>
      <c r="O293" s="903"/>
    </row>
    <row r="294" spans="1:15" s="182" customFormat="1" ht="21.75" customHeight="1" x14ac:dyDescent="0.15">
      <c r="A294" s="151" t="s">
        <v>6325</v>
      </c>
      <c r="B294" s="20" t="s">
        <v>666</v>
      </c>
      <c r="C294" s="903" t="s">
        <v>3376</v>
      </c>
      <c r="D294" s="368" t="s">
        <v>3516</v>
      </c>
      <c r="E294" s="30" t="s">
        <v>6326</v>
      </c>
      <c r="F294" s="184" t="s">
        <v>3332</v>
      </c>
      <c r="G294" s="235" t="s">
        <v>4590</v>
      </c>
      <c r="H294" s="638">
        <v>23066</v>
      </c>
      <c r="I294" s="194">
        <v>0</v>
      </c>
      <c r="J294" s="194">
        <v>48500</v>
      </c>
      <c r="K294" s="185">
        <v>1</v>
      </c>
      <c r="L294" s="183" t="s">
        <v>806</v>
      </c>
      <c r="M294" s="184" t="s">
        <v>5771</v>
      </c>
      <c r="N294" s="184" t="s">
        <v>5771</v>
      </c>
      <c r="O294" s="903"/>
    </row>
    <row r="295" spans="1:15" s="182" customFormat="1" ht="21.75" customHeight="1" x14ac:dyDescent="0.15">
      <c r="A295" s="151" t="s">
        <v>6325</v>
      </c>
      <c r="B295" s="20" t="s">
        <v>6128</v>
      </c>
      <c r="C295" s="904" t="s">
        <v>3376</v>
      </c>
      <c r="D295" s="904" t="s">
        <v>3682</v>
      </c>
      <c r="E295" s="184" t="s">
        <v>4243</v>
      </c>
      <c r="F295" s="184" t="s">
        <v>3332</v>
      </c>
      <c r="G295" s="235" t="s">
        <v>4590</v>
      </c>
      <c r="H295" s="638">
        <v>23067</v>
      </c>
      <c r="I295" s="194">
        <v>0</v>
      </c>
      <c r="J295" s="194">
        <v>48500</v>
      </c>
      <c r="K295" s="185">
        <v>1</v>
      </c>
      <c r="L295" s="183" t="s">
        <v>806</v>
      </c>
      <c r="M295" s="184" t="s">
        <v>5771</v>
      </c>
      <c r="N295" s="184" t="s">
        <v>5771</v>
      </c>
      <c r="O295" s="904"/>
    </row>
    <row r="296" spans="1:15" s="182" customFormat="1" ht="21.75" customHeight="1" x14ac:dyDescent="0.15">
      <c r="A296" s="151" t="s">
        <v>6327</v>
      </c>
      <c r="B296" s="20" t="s">
        <v>6127</v>
      </c>
      <c r="C296" s="905" t="s">
        <v>3376</v>
      </c>
      <c r="D296" s="905" t="s">
        <v>3682</v>
      </c>
      <c r="E296" s="180" t="s">
        <v>3683</v>
      </c>
      <c r="F296" s="184" t="s">
        <v>3332</v>
      </c>
      <c r="G296" s="235" t="s">
        <v>4590</v>
      </c>
      <c r="H296" s="638">
        <v>23152</v>
      </c>
      <c r="I296" s="194">
        <v>0</v>
      </c>
      <c r="J296" s="194">
        <v>48500</v>
      </c>
      <c r="K296" s="185">
        <v>1</v>
      </c>
      <c r="L296" s="183" t="s">
        <v>806</v>
      </c>
      <c r="M296" s="184" t="s">
        <v>5771</v>
      </c>
      <c r="N296" s="184" t="s">
        <v>5771</v>
      </c>
      <c r="O296" s="905"/>
    </row>
    <row r="297" spans="1:15" s="182" customFormat="1" ht="21.75" customHeight="1" x14ac:dyDescent="0.15">
      <c r="A297" s="151" t="s">
        <v>6327</v>
      </c>
      <c r="B297" s="20" t="s">
        <v>6328</v>
      </c>
      <c r="C297" s="184" t="s">
        <v>5148</v>
      </c>
      <c r="D297" s="184" t="s">
        <v>6334</v>
      </c>
      <c r="E297" s="184" t="s">
        <v>6335</v>
      </c>
      <c r="F297" s="184" t="s">
        <v>5078</v>
      </c>
      <c r="G297" s="235" t="s">
        <v>5658</v>
      </c>
      <c r="H297" s="638" t="s">
        <v>6331</v>
      </c>
      <c r="I297" s="194">
        <v>0</v>
      </c>
      <c r="J297" s="194">
        <v>190400</v>
      </c>
      <c r="K297" s="185">
        <v>0.8</v>
      </c>
      <c r="L297" s="183" t="s">
        <v>806</v>
      </c>
      <c r="M297" s="184" t="s">
        <v>5771</v>
      </c>
      <c r="N297" s="184" t="s">
        <v>5771</v>
      </c>
      <c r="O297" s="906"/>
    </row>
    <row r="298" spans="1:15" s="182" customFormat="1" ht="21.75" customHeight="1" x14ac:dyDescent="0.15">
      <c r="A298" s="151" t="s">
        <v>6327</v>
      </c>
      <c r="B298" s="20" t="s">
        <v>6328</v>
      </c>
      <c r="C298" s="184" t="s">
        <v>5148</v>
      </c>
      <c r="D298" s="184" t="s">
        <v>6334</v>
      </c>
      <c r="E298" s="184" t="s">
        <v>6335</v>
      </c>
      <c r="F298" s="184" t="s">
        <v>6336</v>
      </c>
      <c r="G298" s="235" t="s">
        <v>6337</v>
      </c>
      <c r="H298" s="638" t="s">
        <v>6332</v>
      </c>
      <c r="I298" s="194">
        <v>0</v>
      </c>
      <c r="J298" s="194">
        <v>340800</v>
      </c>
      <c r="K298" s="185">
        <v>0.8</v>
      </c>
      <c r="L298" s="183" t="s">
        <v>806</v>
      </c>
      <c r="M298" s="184" t="s">
        <v>5771</v>
      </c>
      <c r="N298" s="184" t="s">
        <v>5771</v>
      </c>
      <c r="O298" s="908"/>
    </row>
    <row r="299" spans="1:15" s="182" customFormat="1" ht="21.75" customHeight="1" x14ac:dyDescent="0.15">
      <c r="A299" s="151" t="s">
        <v>6327</v>
      </c>
      <c r="B299" s="20" t="s">
        <v>6328</v>
      </c>
      <c r="C299" s="184" t="s">
        <v>5148</v>
      </c>
      <c r="D299" s="184" t="s">
        <v>6334</v>
      </c>
      <c r="E299" s="184" t="s">
        <v>6335</v>
      </c>
      <c r="F299" s="184" t="s">
        <v>3400</v>
      </c>
      <c r="G299" s="235" t="s">
        <v>6338</v>
      </c>
      <c r="H299" s="638" t="s">
        <v>6333</v>
      </c>
      <c r="I299" s="194">
        <v>0</v>
      </c>
      <c r="J299" s="194">
        <v>209600</v>
      </c>
      <c r="K299" s="185">
        <v>0.8</v>
      </c>
      <c r="L299" s="183" t="s">
        <v>806</v>
      </c>
      <c r="M299" s="184" t="s">
        <v>5771</v>
      </c>
      <c r="N299" s="184" t="s">
        <v>5771</v>
      </c>
      <c r="O299" s="908"/>
    </row>
    <row r="300" spans="1:15" s="182" customFormat="1" ht="21.75" customHeight="1" x14ac:dyDescent="0.15">
      <c r="A300" s="151" t="s">
        <v>6329</v>
      </c>
      <c r="B300" s="20" t="s">
        <v>6330</v>
      </c>
      <c r="C300" s="908" t="s">
        <v>4982</v>
      </c>
      <c r="D300" s="908" t="s">
        <v>5631</v>
      </c>
      <c r="E300" s="908" t="s">
        <v>761</v>
      </c>
      <c r="F300" s="184" t="s">
        <v>5078</v>
      </c>
      <c r="G300" s="235" t="s">
        <v>5030</v>
      </c>
      <c r="H300" s="638">
        <v>23096</v>
      </c>
      <c r="I300" s="194">
        <v>0</v>
      </c>
      <c r="J300" s="194">
        <v>46500</v>
      </c>
      <c r="K300" s="185">
        <v>0.5</v>
      </c>
      <c r="L300" s="183" t="s">
        <v>5743</v>
      </c>
      <c r="M300" s="184" t="s">
        <v>693</v>
      </c>
      <c r="N300" s="184" t="s">
        <v>693</v>
      </c>
      <c r="O300" s="907"/>
    </row>
    <row r="301" spans="1:15" s="182" customFormat="1" ht="21.75" customHeight="1" x14ac:dyDescent="0.15">
      <c r="A301" s="151" t="s">
        <v>6329</v>
      </c>
      <c r="B301" s="20" t="s">
        <v>764</v>
      </c>
      <c r="C301" s="908" t="s">
        <v>4982</v>
      </c>
      <c r="D301" s="908" t="s">
        <v>5631</v>
      </c>
      <c r="E301" s="908" t="s">
        <v>761</v>
      </c>
      <c r="F301" s="184" t="s">
        <v>5078</v>
      </c>
      <c r="G301" s="235" t="s">
        <v>5030</v>
      </c>
      <c r="H301" s="638">
        <v>23096</v>
      </c>
      <c r="I301" s="194">
        <v>0</v>
      </c>
      <c r="J301" s="194">
        <v>46500</v>
      </c>
      <c r="K301" s="185">
        <v>0.5</v>
      </c>
      <c r="L301" s="183" t="s">
        <v>5743</v>
      </c>
      <c r="M301" s="184" t="s">
        <v>693</v>
      </c>
      <c r="N301" s="184" t="s">
        <v>693</v>
      </c>
      <c r="O301" s="907"/>
    </row>
    <row r="302" spans="1:15" s="182" customFormat="1" ht="21.75" customHeight="1" x14ac:dyDescent="0.15">
      <c r="A302" s="151" t="s">
        <v>6329</v>
      </c>
      <c r="B302" s="20" t="s">
        <v>5912</v>
      </c>
      <c r="C302" s="224" t="s">
        <v>3351</v>
      </c>
      <c r="D302" s="224" t="s">
        <v>3352</v>
      </c>
      <c r="E302" s="180" t="s">
        <v>2788</v>
      </c>
      <c r="F302" s="207" t="s">
        <v>3340</v>
      </c>
      <c r="G302" s="239" t="s">
        <v>5240</v>
      </c>
      <c r="H302" s="638" t="s">
        <v>6345</v>
      </c>
      <c r="I302" s="194">
        <v>0</v>
      </c>
      <c r="J302" s="194">
        <v>25000</v>
      </c>
      <c r="K302" s="185">
        <v>1</v>
      </c>
      <c r="L302" s="183" t="s">
        <v>806</v>
      </c>
      <c r="M302" s="184" t="s">
        <v>5255</v>
      </c>
      <c r="N302" s="184" t="s">
        <v>5255</v>
      </c>
      <c r="O302" s="907"/>
    </row>
    <row r="303" spans="1:15" s="182" customFormat="1" ht="21.75" customHeight="1" x14ac:dyDescent="0.15">
      <c r="A303" s="151" t="s">
        <v>6329</v>
      </c>
      <c r="B303" s="20" t="s">
        <v>5912</v>
      </c>
      <c r="C303" s="224" t="s">
        <v>3351</v>
      </c>
      <c r="D303" s="224" t="s">
        <v>3352</v>
      </c>
      <c r="E303" s="180" t="s">
        <v>2789</v>
      </c>
      <c r="F303" s="207" t="s">
        <v>3340</v>
      </c>
      <c r="G303" s="239" t="s">
        <v>5240</v>
      </c>
      <c r="H303" s="638" t="s">
        <v>6346</v>
      </c>
      <c r="I303" s="194">
        <v>0</v>
      </c>
      <c r="J303" s="194">
        <v>25000</v>
      </c>
      <c r="K303" s="185">
        <v>1</v>
      </c>
      <c r="L303" s="183" t="s">
        <v>806</v>
      </c>
      <c r="M303" s="184" t="s">
        <v>5255</v>
      </c>
      <c r="N303" s="184" t="s">
        <v>5255</v>
      </c>
      <c r="O303" s="911"/>
    </row>
    <row r="304" spans="1:15" s="182" customFormat="1" ht="21.75" customHeight="1" x14ac:dyDescent="0.15">
      <c r="A304" s="151" t="s">
        <v>6329</v>
      </c>
      <c r="B304" s="20" t="s">
        <v>5912</v>
      </c>
      <c r="C304" s="224" t="s">
        <v>3351</v>
      </c>
      <c r="D304" s="224" t="s">
        <v>3352</v>
      </c>
      <c r="E304" s="180" t="s">
        <v>2789</v>
      </c>
      <c r="F304" s="207" t="s">
        <v>3340</v>
      </c>
      <c r="G304" s="235" t="s">
        <v>6314</v>
      </c>
      <c r="H304" s="638" t="s">
        <v>6347</v>
      </c>
      <c r="I304" s="194">
        <v>0</v>
      </c>
      <c r="J304" s="194">
        <v>123025</v>
      </c>
      <c r="K304" s="185">
        <v>0.95</v>
      </c>
      <c r="L304" s="183" t="s">
        <v>5768</v>
      </c>
      <c r="M304" s="184" t="s">
        <v>5255</v>
      </c>
      <c r="N304" s="184" t="s">
        <v>5255</v>
      </c>
      <c r="O304" s="907"/>
    </row>
    <row r="305" spans="1:15" s="182" customFormat="1" ht="21.75" customHeight="1" x14ac:dyDescent="0.15">
      <c r="A305" s="151" t="s">
        <v>6329</v>
      </c>
      <c r="B305" s="20" t="s">
        <v>5912</v>
      </c>
      <c r="C305" s="224" t="s">
        <v>3351</v>
      </c>
      <c r="D305" s="224" t="s">
        <v>3352</v>
      </c>
      <c r="E305" s="180" t="s">
        <v>2788</v>
      </c>
      <c r="F305" s="207" t="s">
        <v>3340</v>
      </c>
      <c r="G305" s="235" t="s">
        <v>6314</v>
      </c>
      <c r="H305" s="638" t="s">
        <v>6348</v>
      </c>
      <c r="I305" s="194">
        <v>0</v>
      </c>
      <c r="J305" s="194">
        <v>123025</v>
      </c>
      <c r="K305" s="185">
        <v>0.95</v>
      </c>
      <c r="L305" s="183" t="s">
        <v>5768</v>
      </c>
      <c r="M305" s="184" t="s">
        <v>5255</v>
      </c>
      <c r="N305" s="184" t="s">
        <v>5255</v>
      </c>
      <c r="O305" s="911"/>
    </row>
    <row r="306" spans="1:15" s="182" customFormat="1" ht="21.75" customHeight="1" x14ac:dyDescent="0.15">
      <c r="A306" s="151" t="s">
        <v>6329</v>
      </c>
      <c r="B306" s="20" t="s">
        <v>5912</v>
      </c>
      <c r="C306" s="224" t="s">
        <v>3351</v>
      </c>
      <c r="D306" s="224" t="s">
        <v>3352</v>
      </c>
      <c r="E306" s="180" t="s">
        <v>2787</v>
      </c>
      <c r="F306" s="207" t="s">
        <v>3328</v>
      </c>
      <c r="G306" s="235" t="s">
        <v>3381</v>
      </c>
      <c r="H306" s="638">
        <v>21097</v>
      </c>
      <c r="I306" s="194">
        <v>0</v>
      </c>
      <c r="J306" s="194">
        <v>35000</v>
      </c>
      <c r="K306" s="185">
        <v>0.5</v>
      </c>
      <c r="L306" s="183" t="s">
        <v>5743</v>
      </c>
      <c r="M306" s="184" t="s">
        <v>5255</v>
      </c>
      <c r="N306" s="184" t="s">
        <v>5255</v>
      </c>
      <c r="O306" s="907"/>
    </row>
    <row r="307" spans="1:15" s="182" customFormat="1" ht="21.75" customHeight="1" x14ac:dyDescent="0.15">
      <c r="A307" s="151" t="s">
        <v>6329</v>
      </c>
      <c r="B307" s="20" t="s">
        <v>5912</v>
      </c>
      <c r="C307" s="224" t="s">
        <v>3351</v>
      </c>
      <c r="D307" s="224" t="s">
        <v>3352</v>
      </c>
      <c r="E307" s="180" t="s">
        <v>2787</v>
      </c>
      <c r="F307" s="207" t="s">
        <v>3328</v>
      </c>
      <c r="G307" s="235" t="s">
        <v>3381</v>
      </c>
      <c r="H307" s="638">
        <v>21097</v>
      </c>
      <c r="I307" s="194">
        <v>0</v>
      </c>
      <c r="J307" s="194">
        <v>35000</v>
      </c>
      <c r="K307" s="185">
        <v>0.5</v>
      </c>
      <c r="L307" s="183" t="s">
        <v>5743</v>
      </c>
      <c r="M307" s="184" t="s">
        <v>5255</v>
      </c>
      <c r="N307" s="184" t="s">
        <v>5255</v>
      </c>
      <c r="O307" s="907"/>
    </row>
    <row r="308" spans="1:15" s="182" customFormat="1" ht="21.75" customHeight="1" x14ac:dyDescent="0.15">
      <c r="A308" s="151" t="s">
        <v>6329</v>
      </c>
      <c r="B308" s="20" t="s">
        <v>5912</v>
      </c>
      <c r="C308" s="224" t="s">
        <v>3351</v>
      </c>
      <c r="D308" s="224" t="s">
        <v>3352</v>
      </c>
      <c r="E308" s="180" t="s">
        <v>2788</v>
      </c>
      <c r="F308" s="207" t="s">
        <v>3340</v>
      </c>
      <c r="G308" s="235" t="s">
        <v>3381</v>
      </c>
      <c r="H308" s="638">
        <v>21099</v>
      </c>
      <c r="I308" s="194">
        <v>0</v>
      </c>
      <c r="J308" s="194">
        <v>35000</v>
      </c>
      <c r="K308" s="185">
        <v>0.5</v>
      </c>
      <c r="L308" s="183" t="s">
        <v>5743</v>
      </c>
      <c r="M308" s="184" t="s">
        <v>5255</v>
      </c>
      <c r="N308" s="184" t="s">
        <v>5255</v>
      </c>
      <c r="O308" s="907"/>
    </row>
    <row r="309" spans="1:15" s="182" customFormat="1" ht="21.75" customHeight="1" x14ac:dyDescent="0.15">
      <c r="A309" s="151" t="s">
        <v>6329</v>
      </c>
      <c r="B309" s="20" t="s">
        <v>5912</v>
      </c>
      <c r="C309" s="224" t="s">
        <v>3351</v>
      </c>
      <c r="D309" s="224" t="s">
        <v>3352</v>
      </c>
      <c r="E309" s="180" t="s">
        <v>2789</v>
      </c>
      <c r="F309" s="207" t="s">
        <v>3340</v>
      </c>
      <c r="G309" s="235" t="s">
        <v>3381</v>
      </c>
      <c r="H309" s="638">
        <v>21100</v>
      </c>
      <c r="I309" s="194">
        <v>0</v>
      </c>
      <c r="J309" s="194">
        <v>35000</v>
      </c>
      <c r="K309" s="185">
        <v>0.5</v>
      </c>
      <c r="L309" s="183" t="s">
        <v>5743</v>
      </c>
      <c r="M309" s="184" t="s">
        <v>5255</v>
      </c>
      <c r="N309" s="184" t="s">
        <v>5255</v>
      </c>
      <c r="O309" s="907"/>
    </row>
    <row r="310" spans="1:15" s="182" customFormat="1" ht="21.75" customHeight="1" x14ac:dyDescent="0.15">
      <c r="A310" s="151" t="s">
        <v>6329</v>
      </c>
      <c r="B310" s="20" t="s">
        <v>5912</v>
      </c>
      <c r="C310" s="224" t="s">
        <v>3351</v>
      </c>
      <c r="D310" s="224" t="s">
        <v>3352</v>
      </c>
      <c r="E310" s="180" t="s">
        <v>2789</v>
      </c>
      <c r="F310" s="207" t="s">
        <v>3340</v>
      </c>
      <c r="G310" s="239" t="s">
        <v>3349</v>
      </c>
      <c r="H310" s="638">
        <v>22092</v>
      </c>
      <c r="I310" s="194">
        <v>0</v>
      </c>
      <c r="J310" s="194">
        <v>35000</v>
      </c>
      <c r="K310" s="185">
        <v>0.5</v>
      </c>
      <c r="L310" s="183" t="s">
        <v>5743</v>
      </c>
      <c r="M310" s="184" t="s">
        <v>5255</v>
      </c>
      <c r="N310" s="184" t="s">
        <v>5255</v>
      </c>
      <c r="O310" s="907"/>
    </row>
    <row r="311" spans="1:15" s="182" customFormat="1" ht="21.75" customHeight="1" x14ac:dyDescent="0.15">
      <c r="A311" s="151" t="s">
        <v>6329</v>
      </c>
      <c r="B311" s="20" t="s">
        <v>5912</v>
      </c>
      <c r="C311" s="224" t="s">
        <v>3351</v>
      </c>
      <c r="D311" s="224" t="s">
        <v>3352</v>
      </c>
      <c r="E311" s="180" t="s">
        <v>2788</v>
      </c>
      <c r="F311" s="207" t="s">
        <v>3340</v>
      </c>
      <c r="G311" s="239" t="s">
        <v>3349</v>
      </c>
      <c r="H311" s="638">
        <v>22099</v>
      </c>
      <c r="I311" s="194">
        <v>0</v>
      </c>
      <c r="J311" s="194">
        <v>35000</v>
      </c>
      <c r="K311" s="185">
        <v>0.5</v>
      </c>
      <c r="L311" s="183" t="s">
        <v>5743</v>
      </c>
      <c r="M311" s="184" t="s">
        <v>5255</v>
      </c>
      <c r="N311" s="184" t="s">
        <v>5255</v>
      </c>
      <c r="O311" s="907"/>
    </row>
    <row r="312" spans="1:15" s="182" customFormat="1" ht="21.75" customHeight="1" x14ac:dyDescent="0.15">
      <c r="A312" s="151" t="s">
        <v>6329</v>
      </c>
      <c r="B312" s="20" t="s">
        <v>5187</v>
      </c>
      <c r="C312" s="241" t="s">
        <v>3351</v>
      </c>
      <c r="D312" s="241" t="s">
        <v>3352</v>
      </c>
      <c r="E312" s="241" t="s">
        <v>5194</v>
      </c>
      <c r="F312" s="241" t="s">
        <v>3328</v>
      </c>
      <c r="G312" s="242" t="s">
        <v>4065</v>
      </c>
      <c r="H312" s="610">
        <v>21036</v>
      </c>
      <c r="I312" s="194">
        <v>0</v>
      </c>
      <c r="J312" s="194">
        <v>28000</v>
      </c>
      <c r="K312" s="185">
        <v>0.4</v>
      </c>
      <c r="L312" s="183" t="s">
        <v>5743</v>
      </c>
      <c r="M312" s="241" t="s">
        <v>3726</v>
      </c>
      <c r="N312" s="241" t="s">
        <v>3726</v>
      </c>
      <c r="O312" s="907"/>
    </row>
    <row r="313" spans="1:15" s="182" customFormat="1" ht="21.75" customHeight="1" x14ac:dyDescent="0.15">
      <c r="A313" s="151" t="s">
        <v>6329</v>
      </c>
      <c r="B313" s="20" t="s">
        <v>5187</v>
      </c>
      <c r="C313" s="224" t="s">
        <v>3351</v>
      </c>
      <c r="D313" s="224" t="s">
        <v>3352</v>
      </c>
      <c r="E313" s="180" t="s">
        <v>4451</v>
      </c>
      <c r="F313" s="207" t="s">
        <v>3328</v>
      </c>
      <c r="G313" s="239" t="s">
        <v>3349</v>
      </c>
      <c r="H313" s="638">
        <v>22095</v>
      </c>
      <c r="I313" s="194">
        <v>0</v>
      </c>
      <c r="J313" s="194">
        <v>35000</v>
      </c>
      <c r="K313" s="185">
        <v>0.5</v>
      </c>
      <c r="L313" s="183" t="s">
        <v>5743</v>
      </c>
      <c r="M313" s="241" t="s">
        <v>3726</v>
      </c>
      <c r="N313" s="241" t="s">
        <v>3726</v>
      </c>
      <c r="O313" s="907"/>
    </row>
    <row r="314" spans="1:15" s="182" customFormat="1" ht="21.75" customHeight="1" x14ac:dyDescent="0.15">
      <c r="A314" s="151" t="s">
        <v>6329</v>
      </c>
      <c r="B314" s="20" t="s">
        <v>5187</v>
      </c>
      <c r="C314" s="224" t="s">
        <v>3351</v>
      </c>
      <c r="D314" s="224" t="s">
        <v>3352</v>
      </c>
      <c r="E314" s="224" t="s">
        <v>3644</v>
      </c>
      <c r="F314" s="207" t="s">
        <v>3328</v>
      </c>
      <c r="G314" s="239" t="s">
        <v>3349</v>
      </c>
      <c r="H314" s="638">
        <v>22096</v>
      </c>
      <c r="I314" s="194">
        <v>0</v>
      </c>
      <c r="J314" s="194">
        <v>35000</v>
      </c>
      <c r="K314" s="185">
        <v>0.5</v>
      </c>
      <c r="L314" s="183" t="s">
        <v>5743</v>
      </c>
      <c r="M314" s="241" t="s">
        <v>3726</v>
      </c>
      <c r="N314" s="241" t="s">
        <v>3726</v>
      </c>
      <c r="O314" s="907"/>
    </row>
    <row r="315" spans="1:15" s="182" customFormat="1" ht="21.75" customHeight="1" x14ac:dyDescent="0.15">
      <c r="A315" s="151" t="s">
        <v>6339</v>
      </c>
      <c r="B315" s="20" t="s">
        <v>5871</v>
      </c>
      <c r="C315" s="910" t="s">
        <v>3346</v>
      </c>
      <c r="D315" s="910" t="s">
        <v>3347</v>
      </c>
      <c r="E315" s="30" t="s">
        <v>3542</v>
      </c>
      <c r="F315" s="184" t="s">
        <v>5078</v>
      </c>
      <c r="G315" s="235" t="s">
        <v>5030</v>
      </c>
      <c r="H315" s="638">
        <v>23014</v>
      </c>
      <c r="I315" s="194">
        <v>0</v>
      </c>
      <c r="J315" s="194">
        <v>145500</v>
      </c>
      <c r="K315" s="185">
        <v>1</v>
      </c>
      <c r="L315" s="183" t="s">
        <v>5743</v>
      </c>
      <c r="M315" s="184" t="s">
        <v>3725</v>
      </c>
      <c r="N315" s="184" t="s">
        <v>662</v>
      </c>
      <c r="O315" s="909"/>
    </row>
    <row r="316" spans="1:15" s="182" customFormat="1" ht="21.75" customHeight="1" x14ac:dyDescent="0.15">
      <c r="A316" s="151" t="s">
        <v>6340</v>
      </c>
      <c r="B316" s="20" t="s">
        <v>6308</v>
      </c>
      <c r="C316" s="910" t="s">
        <v>4982</v>
      </c>
      <c r="D316" s="910" t="s">
        <v>5098</v>
      </c>
      <c r="E316" s="910" t="s">
        <v>6317</v>
      </c>
      <c r="F316" s="184" t="s">
        <v>6254</v>
      </c>
      <c r="G316" s="235" t="s">
        <v>5300</v>
      </c>
      <c r="H316" s="638">
        <v>23154</v>
      </c>
      <c r="I316" s="194">
        <v>0</v>
      </c>
      <c r="J316" s="194">
        <v>187140</v>
      </c>
      <c r="K316" s="185">
        <v>0.3</v>
      </c>
      <c r="L316" s="183" t="s">
        <v>6342</v>
      </c>
      <c r="M316" s="184" t="s">
        <v>3725</v>
      </c>
      <c r="N316" s="184" t="s">
        <v>662</v>
      </c>
      <c r="O316" s="909"/>
    </row>
    <row r="317" spans="1:15" s="182" customFormat="1" ht="21.75" customHeight="1" x14ac:dyDescent="0.15">
      <c r="A317" s="151" t="s">
        <v>6340</v>
      </c>
      <c r="B317" s="20" t="s">
        <v>6341</v>
      </c>
      <c r="C317" s="566"/>
      <c r="D317" s="566"/>
      <c r="E317" s="912"/>
      <c r="F317" s="184" t="s">
        <v>6343</v>
      </c>
      <c r="G317" s="235" t="s">
        <v>6343</v>
      </c>
      <c r="H317" s="638">
        <v>22042</v>
      </c>
      <c r="I317" s="194">
        <v>0</v>
      </c>
      <c r="J317" s="194">
        <v>154000</v>
      </c>
      <c r="K317" s="185" t="s">
        <v>6344</v>
      </c>
      <c r="L317" s="183" t="s">
        <v>806</v>
      </c>
      <c r="M317" s="184" t="s">
        <v>6106</v>
      </c>
      <c r="N317" s="184" t="s">
        <v>5255</v>
      </c>
      <c r="O317" s="910"/>
    </row>
    <row r="318" spans="1:15" s="182" customFormat="1" ht="21.75" customHeight="1" x14ac:dyDescent="0.15">
      <c r="A318" s="151"/>
      <c r="B318" s="20"/>
      <c r="C318" s="224"/>
      <c r="D318" s="224"/>
      <c r="E318" s="30"/>
      <c r="F318" s="184"/>
      <c r="G318" s="235"/>
      <c r="H318" s="873"/>
      <c r="I318" s="194"/>
      <c r="J318" s="194"/>
      <c r="K318" s="185"/>
      <c r="L318" s="183"/>
      <c r="M318" s="183"/>
      <c r="N318" s="183"/>
      <c r="O318" s="873"/>
    </row>
    <row r="319" spans="1:15" s="182" customFormat="1" ht="21.75" customHeight="1" x14ac:dyDescent="0.15">
      <c r="A319" s="151"/>
      <c r="B319" s="20"/>
      <c r="C319" s="224"/>
      <c r="D319" s="224"/>
      <c r="E319" s="30"/>
      <c r="F319" s="184"/>
      <c r="G319" s="235"/>
      <c r="H319" s="787"/>
      <c r="I319" s="194"/>
      <c r="J319" s="194"/>
      <c r="K319" s="185"/>
      <c r="L319" s="183"/>
      <c r="M319" s="183"/>
      <c r="N319" s="183"/>
      <c r="O319" s="787"/>
    </row>
    <row r="320" spans="1:15" s="182" customFormat="1" ht="21.75" customHeight="1" x14ac:dyDescent="0.15">
      <c r="A320" s="151"/>
      <c r="B320" s="20"/>
      <c r="C320" s="20"/>
      <c r="D320" s="20"/>
      <c r="E320" s="30"/>
      <c r="F320" s="30"/>
      <c r="G320" s="30"/>
      <c r="H320" s="787"/>
      <c r="I320" s="194"/>
      <c r="J320" s="194"/>
      <c r="K320" s="231"/>
      <c r="L320" s="232"/>
      <c r="M320" s="232"/>
      <c r="N320" s="232"/>
      <c r="O320" s="233"/>
    </row>
    <row r="321" spans="1:10" x14ac:dyDescent="0.15">
      <c r="A321" s="1165" t="s">
        <v>5881</v>
      </c>
      <c r="B321" s="1166"/>
      <c r="C321" s="1166"/>
      <c r="D321" s="1166"/>
      <c r="E321" s="1166"/>
      <c r="F321" s="1166"/>
      <c r="G321" s="1166"/>
      <c r="H321" s="1167"/>
      <c r="I321" s="230">
        <f>SUM(I3:I320)</f>
        <v>4918050</v>
      </c>
      <c r="J321" s="230">
        <f>SUM(J3:J320)</f>
        <v>18909923.880000003</v>
      </c>
    </row>
  </sheetData>
  <autoFilter ref="A2:O38" xr:uid="{942BD51C-DD4D-41F8-8B6A-3CAFDCE8D5C7}"/>
  <mergeCells count="2">
    <mergeCell ref="A1:O1"/>
    <mergeCell ref="A321:H321"/>
  </mergeCells>
  <phoneticPr fontId="2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FFF01-CC94-4EF9-A99F-5BFABE81571A}">
  <dimension ref="A1:O335"/>
  <sheetViews>
    <sheetView topLeftCell="A322" zoomScaleNormal="100" workbookViewId="0">
      <selection activeCell="A328" sqref="A328:XFD331"/>
    </sheetView>
  </sheetViews>
  <sheetFormatPr defaultRowHeight="13.5" x14ac:dyDescent="0.15"/>
  <cols>
    <col min="1" max="1" width="10.75" customWidth="1"/>
    <col min="2" max="2" width="24.625" customWidth="1"/>
    <col min="3" max="4" width="10.625" customWidth="1"/>
    <col min="5" max="5" width="17.5" customWidth="1"/>
    <col min="6" max="6" width="15" customWidth="1"/>
    <col min="7" max="7" width="24.875" customWidth="1"/>
    <col min="8" max="11" width="15.375" customWidth="1"/>
    <col min="12" max="12" width="18" customWidth="1"/>
    <col min="13" max="13" width="10.75" customWidth="1"/>
    <col min="14" max="14" width="10.875" customWidth="1"/>
    <col min="15" max="15" width="45.625" customWidth="1"/>
  </cols>
  <sheetData>
    <row r="1" spans="1:15" s="176" customFormat="1" ht="40.5" customHeight="1" x14ac:dyDescent="0.15">
      <c r="A1" s="1164" t="s">
        <v>5218</v>
      </c>
      <c r="B1" s="1164"/>
      <c r="C1" s="1164"/>
      <c r="D1" s="1164"/>
      <c r="E1" s="1164"/>
      <c r="F1" s="1164"/>
      <c r="G1" s="1164"/>
      <c r="H1" s="1164"/>
      <c r="I1" s="1164"/>
      <c r="J1" s="1164"/>
      <c r="K1" s="1164"/>
      <c r="L1" s="1164"/>
      <c r="M1" s="1164"/>
      <c r="N1" s="1164"/>
      <c r="O1" s="1164"/>
    </row>
    <row r="2" spans="1:15" s="176" customFormat="1" ht="21.75" customHeight="1" x14ac:dyDescent="0.15">
      <c r="A2" s="16" t="s">
        <v>1755</v>
      </c>
      <c r="B2" s="16" t="s">
        <v>128</v>
      </c>
      <c r="C2" s="245" t="s">
        <v>3322</v>
      </c>
      <c r="D2" s="245" t="s">
        <v>3321</v>
      </c>
      <c r="E2" s="245" t="s">
        <v>1756</v>
      </c>
      <c r="F2" s="245" t="s">
        <v>3323</v>
      </c>
      <c r="G2" s="245" t="s">
        <v>3324</v>
      </c>
      <c r="H2" s="16" t="s">
        <v>130</v>
      </c>
      <c r="I2" s="193" t="s">
        <v>1757</v>
      </c>
      <c r="J2" s="193" t="s">
        <v>1758</v>
      </c>
      <c r="K2" s="16" t="s">
        <v>1759</v>
      </c>
      <c r="L2" s="16" t="s">
        <v>1760</v>
      </c>
      <c r="M2" s="16" t="s">
        <v>3243</v>
      </c>
      <c r="N2" s="16" t="s">
        <v>3244</v>
      </c>
      <c r="O2" s="16" t="s">
        <v>509</v>
      </c>
    </row>
    <row r="3" spans="1:15" s="182" customFormat="1" ht="21.75" customHeight="1" x14ac:dyDescent="0.15">
      <c r="A3" s="151" t="s">
        <v>5220</v>
      </c>
      <c r="B3" s="226" t="s">
        <v>5221</v>
      </c>
      <c r="C3" s="646" t="s">
        <v>3346</v>
      </c>
      <c r="D3" s="646" t="s">
        <v>3354</v>
      </c>
      <c r="E3" s="646" t="s">
        <v>845</v>
      </c>
      <c r="F3" s="267" t="s">
        <v>3328</v>
      </c>
      <c r="G3" s="235" t="s">
        <v>3336</v>
      </c>
      <c r="H3" s="638" t="s">
        <v>5226</v>
      </c>
      <c r="I3" s="194">
        <v>0</v>
      </c>
      <c r="J3" s="194">
        <v>38700</v>
      </c>
      <c r="K3" s="185">
        <v>0.9</v>
      </c>
      <c r="L3" s="183" t="s">
        <v>5227</v>
      </c>
      <c r="M3" s="183" t="s">
        <v>5228</v>
      </c>
      <c r="N3" s="183" t="s">
        <v>5228</v>
      </c>
      <c r="O3" s="645"/>
    </row>
    <row r="4" spans="1:15" s="182" customFormat="1" ht="21.75" customHeight="1" x14ac:dyDescent="0.15">
      <c r="A4" s="151" t="s">
        <v>5220</v>
      </c>
      <c r="B4" s="226" t="s">
        <v>5222</v>
      </c>
      <c r="C4" s="184" t="s">
        <v>5156</v>
      </c>
      <c r="D4" s="184" t="s">
        <v>5076</v>
      </c>
      <c r="E4" s="184" t="s">
        <v>5229</v>
      </c>
      <c r="F4" s="292" t="s">
        <v>3328</v>
      </c>
      <c r="G4" s="235" t="s">
        <v>5030</v>
      </c>
      <c r="H4" s="638">
        <v>21166</v>
      </c>
      <c r="I4" s="194">
        <v>0</v>
      </c>
      <c r="J4" s="194">
        <v>120000</v>
      </c>
      <c r="K4" s="185">
        <v>1</v>
      </c>
      <c r="L4" s="183" t="s">
        <v>5230</v>
      </c>
      <c r="M4" s="183" t="s">
        <v>5231</v>
      </c>
      <c r="N4" s="183" t="s">
        <v>5232</v>
      </c>
      <c r="O4" s="645"/>
    </row>
    <row r="5" spans="1:15" s="182" customFormat="1" ht="21.75" customHeight="1" x14ac:dyDescent="0.15">
      <c r="A5" s="151" t="s">
        <v>5223</v>
      </c>
      <c r="B5" s="226" t="s">
        <v>5224</v>
      </c>
      <c r="C5" s="614" t="s">
        <v>3346</v>
      </c>
      <c r="D5" s="241" t="s">
        <v>3702</v>
      </c>
      <c r="E5" s="614" t="s">
        <v>5233</v>
      </c>
      <c r="F5" s="238" t="s">
        <v>3328</v>
      </c>
      <c r="G5" s="240" t="s">
        <v>3529</v>
      </c>
      <c r="H5" s="638">
        <v>15039</v>
      </c>
      <c r="I5" s="194">
        <v>0</v>
      </c>
      <c r="J5" s="194">
        <v>34000</v>
      </c>
      <c r="K5" s="185">
        <v>0.1</v>
      </c>
      <c r="L5" s="183" t="s">
        <v>5234</v>
      </c>
      <c r="M5" s="183" t="s">
        <v>5235</v>
      </c>
      <c r="N5" s="183" t="s">
        <v>5236</v>
      </c>
      <c r="O5" s="645"/>
    </row>
    <row r="6" spans="1:15" s="182" customFormat="1" ht="21.75" customHeight="1" x14ac:dyDescent="0.15">
      <c r="A6" s="151" t="s">
        <v>5223</v>
      </c>
      <c r="B6" s="226" t="s">
        <v>5224</v>
      </c>
      <c r="C6" s="241" t="s">
        <v>3346</v>
      </c>
      <c r="D6" s="241" t="s">
        <v>3702</v>
      </c>
      <c r="E6" s="599" t="s">
        <v>3406</v>
      </c>
      <c r="F6" s="599" t="s">
        <v>5237</v>
      </c>
      <c r="G6" s="634" t="s">
        <v>5238</v>
      </c>
      <c r="H6" s="638">
        <v>17013</v>
      </c>
      <c r="I6" s="194">
        <v>0</v>
      </c>
      <c r="J6" s="194">
        <v>28000</v>
      </c>
      <c r="K6" s="185">
        <v>0.1</v>
      </c>
      <c r="L6" s="183" t="s">
        <v>5234</v>
      </c>
      <c r="M6" s="183" t="s">
        <v>5235</v>
      </c>
      <c r="N6" s="183" t="s">
        <v>5236</v>
      </c>
      <c r="O6" s="645"/>
    </row>
    <row r="7" spans="1:15" s="182" customFormat="1" ht="21.75" customHeight="1" x14ac:dyDescent="0.15">
      <c r="A7" s="151" t="s">
        <v>5223</v>
      </c>
      <c r="B7" s="226" t="s">
        <v>5225</v>
      </c>
      <c r="C7" s="646" t="s">
        <v>5213</v>
      </c>
      <c r="D7" s="646" t="s">
        <v>5239</v>
      </c>
      <c r="E7" s="646" t="s">
        <v>4177</v>
      </c>
      <c r="F7" s="184" t="s">
        <v>5078</v>
      </c>
      <c r="G7" s="235" t="s">
        <v>5240</v>
      </c>
      <c r="H7" s="638">
        <v>22001</v>
      </c>
      <c r="I7" s="194">
        <v>0</v>
      </c>
      <c r="J7" s="194">
        <v>30000</v>
      </c>
      <c r="K7" s="185">
        <v>1</v>
      </c>
      <c r="L7" s="183" t="s">
        <v>5241</v>
      </c>
      <c r="M7" s="183" t="s">
        <v>5228</v>
      </c>
      <c r="N7" s="183" t="s">
        <v>5228</v>
      </c>
      <c r="O7" s="645"/>
    </row>
    <row r="8" spans="1:15" s="182" customFormat="1" ht="21.75" customHeight="1" x14ac:dyDescent="0.15">
      <c r="A8" s="151" t="s">
        <v>5242</v>
      </c>
      <c r="B8" s="226" t="s">
        <v>5243</v>
      </c>
      <c r="C8" s="236" t="s">
        <v>3363</v>
      </c>
      <c r="D8" s="649" t="s">
        <v>3326</v>
      </c>
      <c r="E8" s="236" t="s">
        <v>2595</v>
      </c>
      <c r="F8" s="236" t="s">
        <v>5246</v>
      </c>
      <c r="G8" s="240" t="s">
        <v>5247</v>
      </c>
      <c r="H8" s="647">
        <v>17028</v>
      </c>
      <c r="I8" s="194">
        <v>0</v>
      </c>
      <c r="J8" s="194">
        <v>44800</v>
      </c>
      <c r="K8" s="185">
        <v>0.14000000000000001</v>
      </c>
      <c r="L8" s="183" t="s">
        <v>5248</v>
      </c>
      <c r="M8" s="597" t="s">
        <v>3552</v>
      </c>
      <c r="N8" s="596" t="s">
        <v>3434</v>
      </c>
      <c r="O8" s="647"/>
    </row>
    <row r="9" spans="1:15" s="182" customFormat="1" ht="21.75" customHeight="1" x14ac:dyDescent="0.15">
      <c r="A9" s="151" t="s">
        <v>5244</v>
      </c>
      <c r="B9" s="226" t="s">
        <v>5245</v>
      </c>
      <c r="C9" s="648" t="s">
        <v>4982</v>
      </c>
      <c r="D9" s="648" t="s">
        <v>5018</v>
      </c>
      <c r="E9" s="648" t="s">
        <v>664</v>
      </c>
      <c r="F9" s="224" t="s">
        <v>3328</v>
      </c>
      <c r="G9" s="235" t="s">
        <v>5249</v>
      </c>
      <c r="H9" s="647" t="s">
        <v>5252</v>
      </c>
      <c r="I9" s="194">
        <v>0</v>
      </c>
      <c r="J9" s="194">
        <v>38700</v>
      </c>
      <c r="K9" s="185">
        <v>0.9</v>
      </c>
      <c r="L9" s="183" t="s">
        <v>5254</v>
      </c>
      <c r="M9" s="184" t="s">
        <v>5255</v>
      </c>
      <c r="N9" s="184" t="s">
        <v>5255</v>
      </c>
      <c r="O9" s="647"/>
    </row>
    <row r="10" spans="1:15" s="182" customFormat="1" ht="21.75" customHeight="1" x14ac:dyDescent="0.15">
      <c r="A10" s="151" t="s">
        <v>5244</v>
      </c>
      <c r="B10" s="226" t="s">
        <v>5245</v>
      </c>
      <c r="C10" s="648" t="s">
        <v>4982</v>
      </c>
      <c r="D10" s="648" t="s">
        <v>5018</v>
      </c>
      <c r="E10" s="648" t="s">
        <v>664</v>
      </c>
      <c r="F10" s="224" t="s">
        <v>5250</v>
      </c>
      <c r="G10" s="235" t="s">
        <v>5251</v>
      </c>
      <c r="H10" s="648" t="s">
        <v>5253</v>
      </c>
      <c r="I10" s="194">
        <v>0</v>
      </c>
      <c r="J10" s="194">
        <v>63000</v>
      </c>
      <c r="K10" s="185">
        <v>0.9</v>
      </c>
      <c r="L10" s="183" t="s">
        <v>5254</v>
      </c>
      <c r="M10" s="184" t="s">
        <v>5255</v>
      </c>
      <c r="N10" s="184" t="s">
        <v>5255</v>
      </c>
      <c r="O10" s="648"/>
    </row>
    <row r="11" spans="1:15" s="182" customFormat="1" ht="21.75" customHeight="1" x14ac:dyDescent="0.15">
      <c r="A11" s="151" t="s">
        <v>5256</v>
      </c>
      <c r="B11" s="226" t="s">
        <v>5257</v>
      </c>
      <c r="C11" s="665" t="s">
        <v>3346</v>
      </c>
      <c r="D11" s="665" t="s">
        <v>3354</v>
      </c>
      <c r="E11" s="665" t="s">
        <v>4604</v>
      </c>
      <c r="F11" s="184" t="s">
        <v>4137</v>
      </c>
      <c r="G11" s="235" t="s">
        <v>4605</v>
      </c>
      <c r="H11" s="650" t="s">
        <v>5314</v>
      </c>
      <c r="I11" s="194">
        <v>0</v>
      </c>
      <c r="J11" s="194">
        <v>2.5499999999999998</v>
      </c>
      <c r="K11" s="185" t="s">
        <v>5315</v>
      </c>
      <c r="L11" s="183" t="s">
        <v>5316</v>
      </c>
      <c r="M11" s="184" t="s">
        <v>3726</v>
      </c>
      <c r="N11" s="184" t="s">
        <v>4563</v>
      </c>
      <c r="O11" s="650"/>
    </row>
    <row r="12" spans="1:15" s="182" customFormat="1" ht="21.75" customHeight="1" x14ac:dyDescent="0.15">
      <c r="A12" s="151" t="s">
        <v>5256</v>
      </c>
      <c r="B12" s="226" t="s">
        <v>5258</v>
      </c>
      <c r="C12" s="241" t="s">
        <v>3346</v>
      </c>
      <c r="D12" s="241" t="s">
        <v>3851</v>
      </c>
      <c r="E12" s="241" t="s">
        <v>4780</v>
      </c>
      <c r="F12" s="241" t="s">
        <v>3355</v>
      </c>
      <c r="G12" s="242" t="s">
        <v>3941</v>
      </c>
      <c r="H12" s="650">
        <v>21063</v>
      </c>
      <c r="I12" s="194">
        <v>0</v>
      </c>
      <c r="J12" s="194">
        <v>69900</v>
      </c>
      <c r="K12" s="185">
        <v>0.3</v>
      </c>
      <c r="L12" s="183" t="s">
        <v>5263</v>
      </c>
      <c r="M12" s="183" t="s">
        <v>5264</v>
      </c>
      <c r="N12" s="183" t="s">
        <v>5264</v>
      </c>
      <c r="O12" s="650"/>
    </row>
    <row r="13" spans="1:15" s="182" customFormat="1" ht="21.75" customHeight="1" x14ac:dyDescent="0.15">
      <c r="A13" s="151" t="s">
        <v>5259</v>
      </c>
      <c r="B13" s="226" t="s">
        <v>5262</v>
      </c>
      <c r="C13" s="279" t="s">
        <v>3351</v>
      </c>
      <c r="D13" s="279" t="s">
        <v>3717</v>
      </c>
      <c r="E13" s="279" t="s">
        <v>3936</v>
      </c>
      <c r="F13" s="267" t="s">
        <v>3328</v>
      </c>
      <c r="G13" s="242" t="s">
        <v>3378</v>
      </c>
      <c r="H13" s="638">
        <v>19107</v>
      </c>
      <c r="I13" s="194">
        <v>0</v>
      </c>
      <c r="J13" s="194">
        <v>36000</v>
      </c>
      <c r="K13" s="185">
        <v>0.1</v>
      </c>
      <c r="L13" s="183" t="s">
        <v>5266</v>
      </c>
      <c r="M13" s="183" t="s">
        <v>5267</v>
      </c>
      <c r="N13" s="183" t="s">
        <v>5268</v>
      </c>
      <c r="O13" s="652"/>
    </row>
    <row r="14" spans="1:15" s="182" customFormat="1" ht="21.75" customHeight="1" x14ac:dyDescent="0.15">
      <c r="A14" s="151" t="s">
        <v>5259</v>
      </c>
      <c r="B14" s="226" t="s">
        <v>5262</v>
      </c>
      <c r="C14" s="279" t="s">
        <v>3351</v>
      </c>
      <c r="D14" s="279" t="s">
        <v>3717</v>
      </c>
      <c r="E14" s="279" t="s">
        <v>3936</v>
      </c>
      <c r="F14" s="279" t="s">
        <v>3937</v>
      </c>
      <c r="G14" s="242" t="s">
        <v>3938</v>
      </c>
      <c r="H14" s="638">
        <v>19108</v>
      </c>
      <c r="I14" s="194">
        <v>0</v>
      </c>
      <c r="J14" s="194">
        <v>59000</v>
      </c>
      <c r="K14" s="185">
        <v>0.1</v>
      </c>
      <c r="L14" s="183" t="s">
        <v>5266</v>
      </c>
      <c r="M14" s="183" t="s">
        <v>5267</v>
      </c>
      <c r="N14" s="183" t="s">
        <v>5268</v>
      </c>
      <c r="O14" s="653"/>
    </row>
    <row r="15" spans="1:15" s="182" customFormat="1" ht="21.75" customHeight="1" x14ac:dyDescent="0.15">
      <c r="A15" s="151" t="s">
        <v>5259</v>
      </c>
      <c r="B15" s="226" t="s">
        <v>5221</v>
      </c>
      <c r="C15" s="241" t="s">
        <v>3346</v>
      </c>
      <c r="D15" s="241" t="s">
        <v>3354</v>
      </c>
      <c r="E15" s="241" t="s">
        <v>845</v>
      </c>
      <c r="F15" s="267" t="s">
        <v>3328</v>
      </c>
      <c r="G15" s="242" t="s">
        <v>3349</v>
      </c>
      <c r="H15" s="610" t="s">
        <v>5270</v>
      </c>
      <c r="I15" s="194">
        <v>0</v>
      </c>
      <c r="J15" s="194">
        <v>75000</v>
      </c>
      <c r="K15" s="185">
        <v>0.5</v>
      </c>
      <c r="L15" s="183" t="s">
        <v>4706</v>
      </c>
      <c r="M15" s="241" t="s">
        <v>3725</v>
      </c>
      <c r="N15" s="241" t="s">
        <v>3726</v>
      </c>
      <c r="O15" s="651"/>
    </row>
    <row r="16" spans="1:15" s="182" customFormat="1" ht="21.75" customHeight="1" x14ac:dyDescent="0.15">
      <c r="A16" s="151" t="s">
        <v>5259</v>
      </c>
      <c r="B16" s="226" t="s">
        <v>5245</v>
      </c>
      <c r="C16" s="241" t="s">
        <v>3346</v>
      </c>
      <c r="D16" s="241" t="s">
        <v>3354</v>
      </c>
      <c r="E16" s="241" t="s">
        <v>3565</v>
      </c>
      <c r="F16" s="241" t="s">
        <v>3328</v>
      </c>
      <c r="G16" s="242" t="s">
        <v>3566</v>
      </c>
      <c r="H16" s="651">
        <v>19009</v>
      </c>
      <c r="I16" s="194">
        <v>0</v>
      </c>
      <c r="J16" s="194">
        <v>60000</v>
      </c>
      <c r="K16" s="185" t="s">
        <v>5271</v>
      </c>
      <c r="L16" s="183" t="s">
        <v>5272</v>
      </c>
      <c r="M16" s="183" t="s">
        <v>5273</v>
      </c>
      <c r="N16" s="183" t="s">
        <v>5273</v>
      </c>
      <c r="O16" s="651"/>
    </row>
    <row r="17" spans="1:15" s="182" customFormat="1" ht="21.75" customHeight="1" x14ac:dyDescent="0.15">
      <c r="A17" s="151" t="s">
        <v>5259</v>
      </c>
      <c r="B17" s="226" t="s">
        <v>5245</v>
      </c>
      <c r="C17" s="184" t="s">
        <v>4982</v>
      </c>
      <c r="D17" s="184" t="s">
        <v>5018</v>
      </c>
      <c r="E17" s="184" t="s">
        <v>5278</v>
      </c>
      <c r="F17" s="184" t="s">
        <v>5098</v>
      </c>
      <c r="G17" s="235" t="s">
        <v>5249</v>
      </c>
      <c r="H17" s="656" t="s">
        <v>5277</v>
      </c>
      <c r="I17" s="194">
        <v>0</v>
      </c>
      <c r="J17" s="194">
        <v>81000</v>
      </c>
      <c r="K17" s="185">
        <v>0.9</v>
      </c>
      <c r="L17" s="183" t="s">
        <v>4711</v>
      </c>
      <c r="M17" s="184" t="s">
        <v>5255</v>
      </c>
      <c r="N17" s="184" t="s">
        <v>5255</v>
      </c>
      <c r="O17" s="652"/>
    </row>
    <row r="18" spans="1:15" s="182" customFormat="1" ht="21.75" customHeight="1" x14ac:dyDescent="0.15">
      <c r="A18" s="151" t="s">
        <v>5259</v>
      </c>
      <c r="B18" s="226" t="s">
        <v>5245</v>
      </c>
      <c r="C18" s="656" t="s">
        <v>3346</v>
      </c>
      <c r="D18" s="656" t="s">
        <v>3354</v>
      </c>
      <c r="E18" s="656" t="s">
        <v>3675</v>
      </c>
      <c r="F18" s="224" t="s">
        <v>3328</v>
      </c>
      <c r="G18" s="235" t="s">
        <v>5249</v>
      </c>
      <c r="H18" s="638" t="s">
        <v>5274</v>
      </c>
      <c r="I18" s="194">
        <v>0</v>
      </c>
      <c r="J18" s="194">
        <v>38700</v>
      </c>
      <c r="K18" s="185">
        <v>0.9</v>
      </c>
      <c r="L18" s="183" t="s">
        <v>4711</v>
      </c>
      <c r="M18" s="184" t="s">
        <v>5255</v>
      </c>
      <c r="N18" s="184" t="s">
        <v>5255</v>
      </c>
      <c r="O18" s="654"/>
    </row>
    <row r="19" spans="1:15" s="182" customFormat="1" ht="21.75" customHeight="1" x14ac:dyDescent="0.15">
      <c r="A19" s="151" t="s">
        <v>5259</v>
      </c>
      <c r="B19" s="226" t="s">
        <v>5245</v>
      </c>
      <c r="C19" s="656" t="s">
        <v>3346</v>
      </c>
      <c r="D19" s="656" t="s">
        <v>3354</v>
      </c>
      <c r="E19" s="656" t="s">
        <v>3675</v>
      </c>
      <c r="F19" s="224" t="s">
        <v>5250</v>
      </c>
      <c r="G19" s="235" t="s">
        <v>5276</v>
      </c>
      <c r="H19" s="638" t="s">
        <v>5275</v>
      </c>
      <c r="I19" s="194">
        <v>0</v>
      </c>
      <c r="J19" s="194">
        <v>63000</v>
      </c>
      <c r="K19" s="185">
        <v>0.9</v>
      </c>
      <c r="L19" s="183" t="s">
        <v>4711</v>
      </c>
      <c r="M19" s="184" t="s">
        <v>5255</v>
      </c>
      <c r="N19" s="184" t="s">
        <v>5255</v>
      </c>
      <c r="O19" s="655"/>
    </row>
    <row r="20" spans="1:15" s="182" customFormat="1" ht="21.75" customHeight="1" x14ac:dyDescent="0.15">
      <c r="A20" s="151" t="s">
        <v>5259</v>
      </c>
      <c r="B20" s="226" t="s">
        <v>5260</v>
      </c>
      <c r="C20" s="241" t="s">
        <v>3346</v>
      </c>
      <c r="D20" s="241" t="s">
        <v>3354</v>
      </c>
      <c r="E20" s="241" t="s">
        <v>3562</v>
      </c>
      <c r="F20" s="267" t="s">
        <v>3328</v>
      </c>
      <c r="G20" s="242" t="s">
        <v>3349</v>
      </c>
      <c r="H20" s="610" t="s">
        <v>5279</v>
      </c>
      <c r="I20" s="194">
        <v>0</v>
      </c>
      <c r="J20" s="194">
        <v>75000</v>
      </c>
      <c r="K20" s="185">
        <v>0.5</v>
      </c>
      <c r="L20" s="183" t="s">
        <v>5281</v>
      </c>
      <c r="M20" s="241" t="s">
        <v>3725</v>
      </c>
      <c r="N20" s="241" t="s">
        <v>3726</v>
      </c>
      <c r="O20" s="651"/>
    </row>
    <row r="21" spans="1:15" s="182" customFormat="1" ht="21.75" customHeight="1" x14ac:dyDescent="0.15">
      <c r="A21" s="151" t="s">
        <v>5259</v>
      </c>
      <c r="B21" s="226" t="s">
        <v>5260</v>
      </c>
      <c r="C21" s="656" t="s">
        <v>3346</v>
      </c>
      <c r="D21" s="656" t="s">
        <v>3354</v>
      </c>
      <c r="E21" s="656" t="s">
        <v>3562</v>
      </c>
      <c r="F21" s="267" t="s">
        <v>3328</v>
      </c>
      <c r="G21" s="235" t="s">
        <v>3336</v>
      </c>
      <c r="H21" s="638" t="s">
        <v>5280</v>
      </c>
      <c r="I21" s="194">
        <v>0</v>
      </c>
      <c r="J21" s="194">
        <v>38700</v>
      </c>
      <c r="K21" s="185">
        <v>0.9</v>
      </c>
      <c r="L21" s="183" t="s">
        <v>5282</v>
      </c>
      <c r="M21" s="184" t="s">
        <v>3726</v>
      </c>
      <c r="N21" s="184" t="s">
        <v>3726</v>
      </c>
      <c r="O21" s="651"/>
    </row>
    <row r="22" spans="1:15" s="182" customFormat="1" ht="21.75" customHeight="1" x14ac:dyDescent="0.15">
      <c r="A22" s="151" t="s">
        <v>5259</v>
      </c>
      <c r="B22" s="226" t="s">
        <v>5261</v>
      </c>
      <c r="C22" s="241" t="s">
        <v>3346</v>
      </c>
      <c r="D22" s="241" t="s">
        <v>3354</v>
      </c>
      <c r="E22" s="241" t="s">
        <v>844</v>
      </c>
      <c r="F22" s="267" t="s">
        <v>3328</v>
      </c>
      <c r="G22" s="242" t="s">
        <v>3349</v>
      </c>
      <c r="H22" s="610" t="s">
        <v>5283</v>
      </c>
      <c r="I22" s="194">
        <v>0</v>
      </c>
      <c r="J22" s="194">
        <v>75000</v>
      </c>
      <c r="K22" s="185">
        <v>0.5</v>
      </c>
      <c r="L22" s="183" t="s">
        <v>5281</v>
      </c>
      <c r="M22" s="241" t="s">
        <v>3725</v>
      </c>
      <c r="N22" s="241" t="s">
        <v>3726</v>
      </c>
      <c r="O22" s="652"/>
    </row>
    <row r="23" spans="1:15" s="182" customFormat="1" ht="21.75" customHeight="1" x14ac:dyDescent="0.15">
      <c r="A23" s="151" t="s">
        <v>5259</v>
      </c>
      <c r="B23" s="226" t="s">
        <v>5261</v>
      </c>
      <c r="C23" s="656" t="s">
        <v>3346</v>
      </c>
      <c r="D23" s="656" t="s">
        <v>3354</v>
      </c>
      <c r="E23" s="656" t="s">
        <v>844</v>
      </c>
      <c r="F23" s="267" t="s">
        <v>3328</v>
      </c>
      <c r="G23" s="235" t="s">
        <v>3336</v>
      </c>
      <c r="H23" s="638" t="s">
        <v>5284</v>
      </c>
      <c r="I23" s="194">
        <v>0</v>
      </c>
      <c r="J23" s="194">
        <v>38700</v>
      </c>
      <c r="K23" s="185">
        <v>0.9</v>
      </c>
      <c r="L23" s="183" t="s">
        <v>5282</v>
      </c>
      <c r="M23" s="184" t="s">
        <v>3726</v>
      </c>
      <c r="N23" s="184" t="s">
        <v>3726</v>
      </c>
      <c r="O23" s="652"/>
    </row>
    <row r="24" spans="1:15" s="182" customFormat="1" ht="21.75" customHeight="1" x14ac:dyDescent="0.15">
      <c r="A24" s="151" t="s">
        <v>5259</v>
      </c>
      <c r="B24" s="226" t="s">
        <v>5265</v>
      </c>
      <c r="C24" s="241" t="s">
        <v>3346</v>
      </c>
      <c r="D24" s="241" t="s">
        <v>3354</v>
      </c>
      <c r="E24" s="241" t="s">
        <v>846</v>
      </c>
      <c r="F24" s="267" t="s">
        <v>3328</v>
      </c>
      <c r="G24" s="242" t="s">
        <v>3349</v>
      </c>
      <c r="H24" s="610" t="s">
        <v>5285</v>
      </c>
      <c r="I24" s="194">
        <v>0</v>
      </c>
      <c r="J24" s="194">
        <v>75000</v>
      </c>
      <c r="K24" s="185">
        <v>0.5</v>
      </c>
      <c r="L24" s="183" t="s">
        <v>4706</v>
      </c>
      <c r="M24" s="241" t="s">
        <v>3725</v>
      </c>
      <c r="N24" s="241" t="s">
        <v>3726</v>
      </c>
      <c r="O24" s="652"/>
    </row>
    <row r="25" spans="1:15" s="182" customFormat="1" ht="21.75" customHeight="1" x14ac:dyDescent="0.15">
      <c r="A25" s="151" t="s">
        <v>5259</v>
      </c>
      <c r="B25" s="226" t="s">
        <v>5265</v>
      </c>
      <c r="C25" s="657" t="s">
        <v>3346</v>
      </c>
      <c r="D25" s="657" t="s">
        <v>3354</v>
      </c>
      <c r="E25" s="657" t="s">
        <v>846</v>
      </c>
      <c r="F25" s="267" t="s">
        <v>3328</v>
      </c>
      <c r="G25" s="235" t="s">
        <v>3336</v>
      </c>
      <c r="H25" s="638" t="s">
        <v>5286</v>
      </c>
      <c r="I25" s="194">
        <v>0</v>
      </c>
      <c r="J25" s="194">
        <v>38700</v>
      </c>
      <c r="K25" s="185">
        <v>0.9</v>
      </c>
      <c r="L25" s="183" t="s">
        <v>4711</v>
      </c>
      <c r="M25" s="184" t="s">
        <v>3726</v>
      </c>
      <c r="N25" s="184" t="s">
        <v>3726</v>
      </c>
      <c r="O25" s="652"/>
    </row>
    <row r="26" spans="1:15" s="182" customFormat="1" ht="21.75" customHeight="1" x14ac:dyDescent="0.15">
      <c r="A26" s="151" t="s">
        <v>5259</v>
      </c>
      <c r="B26" s="226" t="s">
        <v>679</v>
      </c>
      <c r="C26" s="241" t="s">
        <v>3346</v>
      </c>
      <c r="D26" s="241" t="s">
        <v>3354</v>
      </c>
      <c r="E26" s="241" t="s">
        <v>921</v>
      </c>
      <c r="F26" s="267" t="s">
        <v>3328</v>
      </c>
      <c r="G26" s="242" t="s">
        <v>3349</v>
      </c>
      <c r="H26" s="610" t="s">
        <v>4914</v>
      </c>
      <c r="I26" s="194">
        <v>0</v>
      </c>
      <c r="J26" s="194">
        <v>75000</v>
      </c>
      <c r="K26" s="185">
        <v>0.5</v>
      </c>
      <c r="L26" s="183" t="s">
        <v>4706</v>
      </c>
      <c r="M26" s="241" t="s">
        <v>3725</v>
      </c>
      <c r="N26" s="241" t="s">
        <v>3726</v>
      </c>
      <c r="O26" s="654"/>
    </row>
    <row r="27" spans="1:15" s="182" customFormat="1" ht="21.75" customHeight="1" x14ac:dyDescent="0.15">
      <c r="A27" s="151" t="s">
        <v>5259</v>
      </c>
      <c r="B27" s="226" t="s">
        <v>5269</v>
      </c>
      <c r="C27" s="236" t="s">
        <v>3346</v>
      </c>
      <c r="D27" s="658" t="s">
        <v>3354</v>
      </c>
      <c r="E27" s="180" t="s">
        <v>4130</v>
      </c>
      <c r="F27" s="224" t="s">
        <v>3328</v>
      </c>
      <c r="G27" s="235" t="s">
        <v>5287</v>
      </c>
      <c r="H27" s="654" t="s">
        <v>5288</v>
      </c>
      <c r="I27" s="194">
        <v>0</v>
      </c>
      <c r="J27" s="194">
        <v>18000</v>
      </c>
      <c r="K27" s="185">
        <v>0.9</v>
      </c>
      <c r="L27" s="183" t="s">
        <v>4711</v>
      </c>
      <c r="M27" s="184" t="s">
        <v>3726</v>
      </c>
      <c r="N27" s="184" t="s">
        <v>3726</v>
      </c>
      <c r="O27" s="654"/>
    </row>
    <row r="28" spans="1:15" s="182" customFormat="1" ht="21.75" customHeight="1" x14ac:dyDescent="0.15">
      <c r="A28" s="151" t="s">
        <v>5289</v>
      </c>
      <c r="B28" s="226" t="s">
        <v>5290</v>
      </c>
      <c r="C28" s="660" t="s">
        <v>5088</v>
      </c>
      <c r="D28" s="660" t="s">
        <v>3415</v>
      </c>
      <c r="E28" s="660" t="s">
        <v>5089</v>
      </c>
      <c r="F28" s="184" t="s">
        <v>5078</v>
      </c>
      <c r="G28" s="235" t="s">
        <v>5090</v>
      </c>
      <c r="H28" s="659">
        <v>21120</v>
      </c>
      <c r="I28" s="194">
        <v>0</v>
      </c>
      <c r="J28" s="194">
        <v>13254.5</v>
      </c>
      <c r="K28" s="185">
        <v>0.05</v>
      </c>
      <c r="L28" s="183" t="s">
        <v>5292</v>
      </c>
      <c r="M28" s="184" t="s">
        <v>5293</v>
      </c>
      <c r="N28" s="184" t="s">
        <v>5293</v>
      </c>
      <c r="O28" s="659"/>
    </row>
    <row r="29" spans="1:15" s="182" customFormat="1" ht="21.75" customHeight="1" x14ac:dyDescent="0.15">
      <c r="A29" s="151" t="s">
        <v>5289</v>
      </c>
      <c r="B29" s="226" t="s">
        <v>5291</v>
      </c>
      <c r="C29" s="660" t="s">
        <v>4982</v>
      </c>
      <c r="D29" s="660" t="s">
        <v>5294</v>
      </c>
      <c r="E29" s="660" t="s">
        <v>5295</v>
      </c>
      <c r="F29" s="184" t="s">
        <v>3328</v>
      </c>
      <c r="G29" s="235" t="s">
        <v>5030</v>
      </c>
      <c r="H29" s="659">
        <v>21146</v>
      </c>
      <c r="I29" s="194">
        <v>0</v>
      </c>
      <c r="J29" s="194">
        <v>45000</v>
      </c>
      <c r="K29" s="185">
        <v>0.5</v>
      </c>
      <c r="L29" s="183" t="s">
        <v>5296</v>
      </c>
      <c r="M29" s="184" t="s">
        <v>5297</v>
      </c>
      <c r="N29" s="184" t="s">
        <v>5297</v>
      </c>
      <c r="O29" s="659"/>
    </row>
    <row r="30" spans="1:15" s="182" customFormat="1" ht="21.75" customHeight="1" x14ac:dyDescent="0.15">
      <c r="A30" s="151" t="s">
        <v>5298</v>
      </c>
      <c r="B30" s="20" t="s">
        <v>5299</v>
      </c>
      <c r="C30" s="279" t="s">
        <v>3346</v>
      </c>
      <c r="D30" s="279" t="s">
        <v>3354</v>
      </c>
      <c r="E30" s="615" t="s">
        <v>4130</v>
      </c>
      <c r="F30" s="279" t="s">
        <v>3328</v>
      </c>
      <c r="G30" s="242" t="s">
        <v>3378</v>
      </c>
      <c r="H30" s="638" t="s">
        <v>5301</v>
      </c>
      <c r="I30" s="194">
        <v>508886.1</v>
      </c>
      <c r="J30" s="194">
        <v>0</v>
      </c>
      <c r="K30" s="185">
        <v>0.9</v>
      </c>
      <c r="L30" s="183" t="s">
        <v>5304</v>
      </c>
      <c r="M30" s="183" t="s">
        <v>3725</v>
      </c>
      <c r="N30" s="183" t="s">
        <v>5305</v>
      </c>
      <c r="O30" s="661" t="s">
        <v>5309</v>
      </c>
    </row>
    <row r="31" spans="1:15" s="182" customFormat="1" ht="21.75" customHeight="1" x14ac:dyDescent="0.15">
      <c r="A31" s="151" t="s">
        <v>5298</v>
      </c>
      <c r="B31" s="20" t="s">
        <v>5299</v>
      </c>
      <c r="C31" s="279" t="s">
        <v>3346</v>
      </c>
      <c r="D31" s="279" t="s">
        <v>3354</v>
      </c>
      <c r="E31" s="615" t="s">
        <v>4130</v>
      </c>
      <c r="F31" s="279" t="s">
        <v>3355</v>
      </c>
      <c r="G31" s="242" t="s">
        <v>3356</v>
      </c>
      <c r="H31" s="638" t="s">
        <v>5302</v>
      </c>
      <c r="I31" s="194">
        <v>214796.7</v>
      </c>
      <c r="J31" s="194">
        <v>0</v>
      </c>
      <c r="K31" s="185">
        <v>0.9</v>
      </c>
      <c r="L31" s="183" t="s">
        <v>5304</v>
      </c>
      <c r="M31" s="183" t="s">
        <v>3725</v>
      </c>
      <c r="N31" s="183" t="s">
        <v>5305</v>
      </c>
      <c r="O31" s="663" t="s">
        <v>5309</v>
      </c>
    </row>
    <row r="32" spans="1:15" s="182" customFormat="1" ht="21.75" customHeight="1" x14ac:dyDescent="0.15">
      <c r="A32" s="151" t="s">
        <v>5298</v>
      </c>
      <c r="B32" s="20" t="s">
        <v>5299</v>
      </c>
      <c r="C32" s="279" t="s">
        <v>3346</v>
      </c>
      <c r="D32" s="279" t="s">
        <v>3354</v>
      </c>
      <c r="E32" s="615" t="s">
        <v>4130</v>
      </c>
      <c r="F32" s="279" t="s">
        <v>3937</v>
      </c>
      <c r="G32" s="605" t="s">
        <v>5300</v>
      </c>
      <c r="H32" s="638" t="s">
        <v>5303</v>
      </c>
      <c r="I32" s="194">
        <v>708392.7</v>
      </c>
      <c r="J32" s="194">
        <v>0</v>
      </c>
      <c r="K32" s="185">
        <v>0.9</v>
      </c>
      <c r="L32" s="183" t="s">
        <v>5304</v>
      </c>
      <c r="M32" s="183" t="s">
        <v>3725</v>
      </c>
      <c r="N32" s="183" t="s">
        <v>5305</v>
      </c>
      <c r="O32" s="663" t="s">
        <v>5309</v>
      </c>
    </row>
    <row r="33" spans="1:15" s="182" customFormat="1" ht="21.75" customHeight="1" x14ac:dyDescent="0.15">
      <c r="A33" s="151" t="s">
        <v>5298</v>
      </c>
      <c r="B33" s="20" t="s">
        <v>5299</v>
      </c>
      <c r="C33" s="279" t="s">
        <v>3346</v>
      </c>
      <c r="D33" s="279" t="s">
        <v>3354</v>
      </c>
      <c r="E33" s="615" t="s">
        <v>4130</v>
      </c>
      <c r="F33" s="615" t="s">
        <v>4131</v>
      </c>
      <c r="G33" s="662" t="s">
        <v>4131</v>
      </c>
      <c r="H33" s="638">
        <v>18141</v>
      </c>
      <c r="I33" s="194">
        <v>183813.96</v>
      </c>
      <c r="J33" s="194">
        <v>0</v>
      </c>
      <c r="K33" s="185">
        <v>0.2</v>
      </c>
      <c r="L33" s="183" t="s">
        <v>5307</v>
      </c>
      <c r="M33" s="183" t="s">
        <v>3725</v>
      </c>
      <c r="N33" s="183" t="s">
        <v>5305</v>
      </c>
      <c r="O33" s="663" t="s">
        <v>5310</v>
      </c>
    </row>
    <row r="34" spans="1:15" s="182" customFormat="1" ht="21.75" customHeight="1" x14ac:dyDescent="0.15">
      <c r="A34" s="151" t="s">
        <v>5298</v>
      </c>
      <c r="B34" s="20" t="s">
        <v>5299</v>
      </c>
      <c r="C34" s="279" t="s">
        <v>3346</v>
      </c>
      <c r="D34" s="279" t="s">
        <v>3354</v>
      </c>
      <c r="E34" s="615" t="s">
        <v>4130</v>
      </c>
      <c r="F34" s="615" t="s">
        <v>4131</v>
      </c>
      <c r="G34" s="662" t="s">
        <v>4131</v>
      </c>
      <c r="H34" s="638" t="s">
        <v>5306</v>
      </c>
      <c r="I34" s="194">
        <v>37620</v>
      </c>
      <c r="J34" s="194">
        <v>0</v>
      </c>
      <c r="K34" s="185">
        <v>0.9</v>
      </c>
      <c r="L34" s="183" t="s">
        <v>5308</v>
      </c>
      <c r="M34" s="183" t="s">
        <v>3725</v>
      </c>
      <c r="N34" s="183" t="s">
        <v>5305</v>
      </c>
      <c r="O34" s="663" t="s">
        <v>5310</v>
      </c>
    </row>
    <row r="35" spans="1:15" s="182" customFormat="1" ht="21.75" customHeight="1" x14ac:dyDescent="0.15">
      <c r="A35" s="151" t="s">
        <v>5311</v>
      </c>
      <c r="B35" s="20" t="s">
        <v>5312</v>
      </c>
      <c r="C35" s="241" t="s">
        <v>3342</v>
      </c>
      <c r="D35" s="241" t="s">
        <v>3415</v>
      </c>
      <c r="E35" s="241" t="s">
        <v>3455</v>
      </c>
      <c r="F35" s="599" t="s">
        <v>3366</v>
      </c>
      <c r="G35" s="242" t="s">
        <v>3611</v>
      </c>
      <c r="H35" s="664">
        <v>17129</v>
      </c>
      <c r="I35" s="194">
        <v>0</v>
      </c>
      <c r="J35" s="194">
        <v>19565</v>
      </c>
      <c r="K35" s="185">
        <v>0.1</v>
      </c>
      <c r="L35" s="183" t="s">
        <v>5313</v>
      </c>
      <c r="M35" s="241" t="s">
        <v>4957</v>
      </c>
      <c r="N35" s="596" t="s">
        <v>3726</v>
      </c>
      <c r="O35" s="664"/>
    </row>
    <row r="36" spans="1:15" s="182" customFormat="1" ht="21.75" customHeight="1" x14ac:dyDescent="0.15">
      <c r="A36" s="151" t="s">
        <v>5317</v>
      </c>
      <c r="B36" s="20" t="s">
        <v>5299</v>
      </c>
      <c r="C36" s="279" t="s">
        <v>3346</v>
      </c>
      <c r="D36" s="279" t="s">
        <v>3354</v>
      </c>
      <c r="E36" s="615" t="s">
        <v>4130</v>
      </c>
      <c r="F36" s="279" t="s">
        <v>3328</v>
      </c>
      <c r="G36" s="242" t="s">
        <v>3378</v>
      </c>
      <c r="H36" s="638" t="s">
        <v>5301</v>
      </c>
      <c r="I36" s="194">
        <v>0</v>
      </c>
      <c r="J36" s="194">
        <v>508886.1</v>
      </c>
      <c r="K36" s="185">
        <v>0.9</v>
      </c>
      <c r="L36" s="183" t="s">
        <v>5304</v>
      </c>
      <c r="M36" s="183" t="s">
        <v>3725</v>
      </c>
      <c r="N36" s="183" t="s">
        <v>3726</v>
      </c>
      <c r="O36" s="226" t="s">
        <v>4522</v>
      </c>
    </row>
    <row r="37" spans="1:15" s="182" customFormat="1" ht="21.75" customHeight="1" x14ac:dyDescent="0.15">
      <c r="A37" s="151" t="s">
        <v>5317</v>
      </c>
      <c r="B37" s="20" t="s">
        <v>5299</v>
      </c>
      <c r="C37" s="279" t="s">
        <v>3346</v>
      </c>
      <c r="D37" s="279" t="s">
        <v>3354</v>
      </c>
      <c r="E37" s="615" t="s">
        <v>4130</v>
      </c>
      <c r="F37" s="279" t="s">
        <v>3355</v>
      </c>
      <c r="G37" s="242" t="s">
        <v>3356</v>
      </c>
      <c r="H37" s="638" t="s">
        <v>5302</v>
      </c>
      <c r="I37" s="194">
        <v>0</v>
      </c>
      <c r="J37" s="194">
        <v>214796.7</v>
      </c>
      <c r="K37" s="185">
        <v>0.9</v>
      </c>
      <c r="L37" s="183" t="s">
        <v>5304</v>
      </c>
      <c r="M37" s="183" t="s">
        <v>3725</v>
      </c>
      <c r="N37" s="183" t="s">
        <v>3726</v>
      </c>
      <c r="O37" s="226" t="s">
        <v>4522</v>
      </c>
    </row>
    <row r="38" spans="1:15" s="182" customFormat="1" ht="21.75" customHeight="1" x14ac:dyDescent="0.15">
      <c r="A38" s="151" t="s">
        <v>5317</v>
      </c>
      <c r="B38" s="20" t="s">
        <v>5299</v>
      </c>
      <c r="C38" s="279" t="s">
        <v>3346</v>
      </c>
      <c r="D38" s="279" t="s">
        <v>3354</v>
      </c>
      <c r="E38" s="615" t="s">
        <v>4130</v>
      </c>
      <c r="F38" s="279" t="s">
        <v>3937</v>
      </c>
      <c r="G38" s="605" t="s">
        <v>5300</v>
      </c>
      <c r="H38" s="638" t="s">
        <v>5303</v>
      </c>
      <c r="I38" s="194">
        <v>0</v>
      </c>
      <c r="J38" s="194">
        <v>708392.7</v>
      </c>
      <c r="K38" s="185">
        <v>0.9</v>
      </c>
      <c r="L38" s="183" t="s">
        <v>5304</v>
      </c>
      <c r="M38" s="183" t="s">
        <v>3725</v>
      </c>
      <c r="N38" s="183" t="s">
        <v>3726</v>
      </c>
      <c r="O38" s="226" t="s">
        <v>4522</v>
      </c>
    </row>
    <row r="39" spans="1:15" s="182" customFormat="1" ht="21.75" customHeight="1" x14ac:dyDescent="0.15">
      <c r="A39" s="151" t="s">
        <v>5317</v>
      </c>
      <c r="B39" s="20" t="s">
        <v>5318</v>
      </c>
      <c r="C39" s="241" t="s">
        <v>3384</v>
      </c>
      <c r="D39" s="241" t="s">
        <v>3354</v>
      </c>
      <c r="E39" s="241" t="s">
        <v>5321</v>
      </c>
      <c r="F39" s="279" t="s">
        <v>3328</v>
      </c>
      <c r="G39" s="242" t="s">
        <v>5322</v>
      </c>
      <c r="H39" s="638">
        <v>16069</v>
      </c>
      <c r="I39" s="194">
        <v>300000</v>
      </c>
      <c r="J39" s="194">
        <v>0</v>
      </c>
      <c r="K39" s="185" t="s">
        <v>5323</v>
      </c>
      <c r="L39" s="183" t="s">
        <v>5324</v>
      </c>
      <c r="M39" s="183" t="s">
        <v>5325</v>
      </c>
      <c r="N39" s="183" t="s">
        <v>5326</v>
      </c>
      <c r="O39" s="226" t="s">
        <v>5331</v>
      </c>
    </row>
    <row r="40" spans="1:15" s="182" customFormat="1" ht="21.75" customHeight="1" x14ac:dyDescent="0.15">
      <c r="A40" s="151" t="s">
        <v>5319</v>
      </c>
      <c r="B40" s="20" t="s">
        <v>4685</v>
      </c>
      <c r="C40" s="241" t="s">
        <v>3346</v>
      </c>
      <c r="D40" s="241" t="s">
        <v>3354</v>
      </c>
      <c r="E40" s="241" t="s">
        <v>3675</v>
      </c>
      <c r="F40" s="241" t="s">
        <v>3328</v>
      </c>
      <c r="G40" s="242" t="s">
        <v>3566</v>
      </c>
      <c r="H40" s="638">
        <v>19010</v>
      </c>
      <c r="I40" s="194">
        <v>0</v>
      </c>
      <c r="J40" s="194">
        <v>60000</v>
      </c>
      <c r="K40" s="185" t="s">
        <v>4922</v>
      </c>
      <c r="L40" s="183" t="s">
        <v>4706</v>
      </c>
      <c r="M40" s="183" t="s">
        <v>3726</v>
      </c>
      <c r="N40" s="183" t="s">
        <v>3726</v>
      </c>
      <c r="O40" s="226"/>
    </row>
    <row r="41" spans="1:15" s="182" customFormat="1" ht="21.75" customHeight="1" x14ac:dyDescent="0.15">
      <c r="A41" s="151" t="s">
        <v>5320</v>
      </c>
      <c r="B41" s="20" t="s">
        <v>545</v>
      </c>
      <c r="C41" s="241" t="s">
        <v>3346</v>
      </c>
      <c r="D41" s="241" t="s">
        <v>3354</v>
      </c>
      <c r="E41" s="241" t="s">
        <v>925</v>
      </c>
      <c r="F41" s="267" t="s">
        <v>3328</v>
      </c>
      <c r="G41" s="242" t="s">
        <v>3349</v>
      </c>
      <c r="H41" s="638" t="s">
        <v>5327</v>
      </c>
      <c r="I41" s="194">
        <v>0</v>
      </c>
      <c r="J41" s="194">
        <v>75000</v>
      </c>
      <c r="K41" s="185">
        <v>0.5</v>
      </c>
      <c r="L41" s="183" t="s">
        <v>5328</v>
      </c>
      <c r="M41" s="183" t="s">
        <v>3725</v>
      </c>
      <c r="N41" s="183" t="s">
        <v>3726</v>
      </c>
      <c r="O41" s="226"/>
    </row>
    <row r="42" spans="1:15" s="182" customFormat="1" ht="21.75" customHeight="1" x14ac:dyDescent="0.15">
      <c r="A42" s="151" t="s">
        <v>5320</v>
      </c>
      <c r="B42" s="20" t="s">
        <v>545</v>
      </c>
      <c r="C42" s="666" t="s">
        <v>3346</v>
      </c>
      <c r="D42" s="666" t="s">
        <v>3354</v>
      </c>
      <c r="E42" s="666" t="s">
        <v>921</v>
      </c>
      <c r="F42" s="267" t="s">
        <v>3328</v>
      </c>
      <c r="G42" s="235" t="s">
        <v>3336</v>
      </c>
      <c r="H42" s="638" t="s">
        <v>5329</v>
      </c>
      <c r="I42" s="194">
        <v>0</v>
      </c>
      <c r="J42" s="194">
        <v>38700</v>
      </c>
      <c r="K42" s="185">
        <v>0.9</v>
      </c>
      <c r="L42" s="183" t="s">
        <v>5324</v>
      </c>
      <c r="M42" s="183" t="s">
        <v>3726</v>
      </c>
      <c r="N42" s="183" t="s">
        <v>3726</v>
      </c>
      <c r="O42" s="226"/>
    </row>
    <row r="43" spans="1:15" s="182" customFormat="1" ht="21.75" customHeight="1" x14ac:dyDescent="0.15">
      <c r="A43" s="151" t="s">
        <v>5320</v>
      </c>
      <c r="B43" s="20" t="s">
        <v>545</v>
      </c>
      <c r="C43" s="666" t="s">
        <v>3346</v>
      </c>
      <c r="D43" s="666" t="s">
        <v>3354</v>
      </c>
      <c r="E43" s="666" t="s">
        <v>925</v>
      </c>
      <c r="F43" s="267" t="s">
        <v>3328</v>
      </c>
      <c r="G43" s="235" t="s">
        <v>3336</v>
      </c>
      <c r="H43" s="638" t="s">
        <v>5330</v>
      </c>
      <c r="I43" s="194">
        <v>0</v>
      </c>
      <c r="J43" s="194">
        <v>38700</v>
      </c>
      <c r="K43" s="185">
        <v>0.9</v>
      </c>
      <c r="L43" s="183" t="s">
        <v>5324</v>
      </c>
      <c r="M43" s="183" t="s">
        <v>3726</v>
      </c>
      <c r="N43" s="183" t="s">
        <v>3726</v>
      </c>
      <c r="O43" s="226"/>
    </row>
    <row r="44" spans="1:15" s="182" customFormat="1" ht="21.75" customHeight="1" x14ac:dyDescent="0.15">
      <c r="A44" s="151" t="s">
        <v>5320</v>
      </c>
      <c r="B44" s="20" t="s">
        <v>4721</v>
      </c>
      <c r="C44" s="581" t="s">
        <v>3346</v>
      </c>
      <c r="D44" s="581" t="s">
        <v>3354</v>
      </c>
      <c r="E44" s="285" t="s">
        <v>4723</v>
      </c>
      <c r="F44" s="224" t="s">
        <v>3328</v>
      </c>
      <c r="G44" s="235" t="s">
        <v>5333</v>
      </c>
      <c r="H44" s="638" t="s">
        <v>5332</v>
      </c>
      <c r="I44" s="194">
        <v>0</v>
      </c>
      <c r="J44" s="194">
        <v>38700</v>
      </c>
      <c r="K44" s="185">
        <v>0.9</v>
      </c>
      <c r="L44" s="183" t="s">
        <v>1147</v>
      </c>
      <c r="M44" s="183" t="s">
        <v>3726</v>
      </c>
      <c r="N44" s="183" t="s">
        <v>3726</v>
      </c>
      <c r="O44" s="226"/>
    </row>
    <row r="45" spans="1:15" s="182" customFormat="1" ht="21.75" customHeight="1" x14ac:dyDescent="0.15">
      <c r="A45" s="151" t="s">
        <v>5334</v>
      </c>
      <c r="B45" s="20" t="s">
        <v>5123</v>
      </c>
      <c r="C45" s="667" t="s">
        <v>4982</v>
      </c>
      <c r="D45" s="667" t="s">
        <v>5018</v>
      </c>
      <c r="E45" s="667" t="s">
        <v>5335</v>
      </c>
      <c r="F45" s="184" t="s">
        <v>3328</v>
      </c>
      <c r="G45" s="235" t="s">
        <v>3349</v>
      </c>
      <c r="H45" s="667">
        <v>21085</v>
      </c>
      <c r="I45" s="194">
        <v>0</v>
      </c>
      <c r="J45" s="194">
        <v>74000</v>
      </c>
      <c r="K45" s="185">
        <v>0.5</v>
      </c>
      <c r="L45" s="183" t="s">
        <v>5336</v>
      </c>
      <c r="M45" s="183" t="s">
        <v>3725</v>
      </c>
      <c r="N45" s="183" t="s">
        <v>3726</v>
      </c>
      <c r="O45" s="667"/>
    </row>
    <row r="46" spans="1:15" s="182" customFormat="1" ht="21.75" customHeight="1" x14ac:dyDescent="0.15">
      <c r="A46" s="151" t="s">
        <v>5338</v>
      </c>
      <c r="B46" s="20" t="s">
        <v>5337</v>
      </c>
      <c r="C46" s="669" t="s">
        <v>4982</v>
      </c>
      <c r="D46" s="669" t="s">
        <v>5018</v>
      </c>
      <c r="E46" s="285" t="s">
        <v>5339</v>
      </c>
      <c r="F46" s="224" t="s">
        <v>3328</v>
      </c>
      <c r="G46" s="235" t="s">
        <v>5287</v>
      </c>
      <c r="H46" s="668" t="s">
        <v>5340</v>
      </c>
      <c r="I46" s="194">
        <v>0</v>
      </c>
      <c r="J46" s="194">
        <v>18000</v>
      </c>
      <c r="K46" s="185">
        <v>0.9</v>
      </c>
      <c r="L46" s="183" t="s">
        <v>5341</v>
      </c>
      <c r="M46" s="183" t="s">
        <v>5342</v>
      </c>
      <c r="N46" s="183" t="s">
        <v>5342</v>
      </c>
      <c r="O46" s="668"/>
    </row>
    <row r="47" spans="1:15" s="182" customFormat="1" ht="21.75" customHeight="1" x14ac:dyDescent="0.15">
      <c r="A47" s="151" t="s">
        <v>5343</v>
      </c>
      <c r="B47" s="20" t="s">
        <v>5063</v>
      </c>
      <c r="C47" s="236" t="s">
        <v>3346</v>
      </c>
      <c r="D47" s="236" t="s">
        <v>3352</v>
      </c>
      <c r="E47" s="236" t="s">
        <v>3715</v>
      </c>
      <c r="F47" s="184" t="s">
        <v>3332</v>
      </c>
      <c r="G47" s="253" t="s">
        <v>3381</v>
      </c>
      <c r="H47" s="670">
        <v>21135</v>
      </c>
      <c r="I47" s="194">
        <v>0</v>
      </c>
      <c r="J47" s="194">
        <v>48000</v>
      </c>
      <c r="K47" s="185">
        <v>0.5</v>
      </c>
      <c r="L47" s="183" t="s">
        <v>5349</v>
      </c>
      <c r="M47" s="183" t="s">
        <v>5350</v>
      </c>
      <c r="N47" s="183" t="s">
        <v>5350</v>
      </c>
      <c r="O47" s="670"/>
    </row>
    <row r="48" spans="1:15" s="182" customFormat="1" ht="21.75" customHeight="1" x14ac:dyDescent="0.15">
      <c r="A48" s="151" t="s">
        <v>5343</v>
      </c>
      <c r="B48" s="20" t="s">
        <v>5257</v>
      </c>
      <c r="C48" s="241" t="s">
        <v>3346</v>
      </c>
      <c r="D48" s="241" t="s">
        <v>3354</v>
      </c>
      <c r="E48" s="241" t="s">
        <v>5121</v>
      </c>
      <c r="F48" s="241" t="s">
        <v>4137</v>
      </c>
      <c r="G48" s="242" t="s">
        <v>4605</v>
      </c>
      <c r="H48" s="670" t="s">
        <v>5351</v>
      </c>
      <c r="I48" s="194">
        <v>0</v>
      </c>
      <c r="J48" s="194">
        <v>2.5499999999999998</v>
      </c>
      <c r="K48" s="185" t="s">
        <v>5352</v>
      </c>
      <c r="L48" s="183" t="s">
        <v>5353</v>
      </c>
      <c r="M48" s="241" t="s">
        <v>3725</v>
      </c>
      <c r="N48" s="184" t="s">
        <v>5161</v>
      </c>
      <c r="O48" s="670"/>
    </row>
    <row r="49" spans="1:15" s="182" customFormat="1" ht="21.75" customHeight="1" x14ac:dyDescent="0.15">
      <c r="A49" s="151" t="s">
        <v>5344</v>
      </c>
      <c r="B49" s="20" t="s">
        <v>5143</v>
      </c>
      <c r="C49" s="236" t="s">
        <v>3346</v>
      </c>
      <c r="D49" s="671" t="s">
        <v>3352</v>
      </c>
      <c r="E49" s="236" t="s">
        <v>4241</v>
      </c>
      <c r="F49" s="184" t="s">
        <v>3332</v>
      </c>
      <c r="G49" s="253" t="s">
        <v>3381</v>
      </c>
      <c r="H49" s="670">
        <v>21137</v>
      </c>
      <c r="I49" s="194">
        <v>0</v>
      </c>
      <c r="J49" s="194">
        <v>48000</v>
      </c>
      <c r="K49" s="185">
        <v>0.5</v>
      </c>
      <c r="L49" s="183" t="s">
        <v>4706</v>
      </c>
      <c r="M49" s="183" t="s">
        <v>3433</v>
      </c>
      <c r="N49" s="183" t="s">
        <v>3433</v>
      </c>
      <c r="O49" s="670"/>
    </row>
    <row r="50" spans="1:15" s="182" customFormat="1" ht="21.75" customHeight="1" x14ac:dyDescent="0.15">
      <c r="A50" s="151" t="s">
        <v>5344</v>
      </c>
      <c r="B50" s="20" t="s">
        <v>1027</v>
      </c>
      <c r="C50" s="184" t="s">
        <v>4982</v>
      </c>
      <c r="D50" s="184" t="s">
        <v>5354</v>
      </c>
      <c r="E50" s="184" t="s">
        <v>5355</v>
      </c>
      <c r="F50" s="184" t="s">
        <v>5078</v>
      </c>
      <c r="G50" s="235" t="s">
        <v>5030</v>
      </c>
      <c r="H50" s="670">
        <v>21090</v>
      </c>
      <c r="I50" s="194">
        <v>0</v>
      </c>
      <c r="J50" s="194">
        <v>97500</v>
      </c>
      <c r="K50" s="185">
        <v>1</v>
      </c>
      <c r="L50" s="183" t="s">
        <v>5356</v>
      </c>
      <c r="M50" s="183" t="s">
        <v>5357</v>
      </c>
      <c r="N50" s="183" t="s">
        <v>5357</v>
      </c>
      <c r="O50" s="670"/>
    </row>
    <row r="51" spans="1:15" s="182" customFormat="1" ht="21.75" customHeight="1" x14ac:dyDescent="0.15">
      <c r="A51" s="151" t="s">
        <v>5344</v>
      </c>
      <c r="B51" s="20" t="s">
        <v>700</v>
      </c>
      <c r="C51" s="236" t="s">
        <v>3346</v>
      </c>
      <c r="D51" s="236" t="s">
        <v>3352</v>
      </c>
      <c r="E51" s="236" t="s">
        <v>987</v>
      </c>
      <c r="F51" s="184" t="s">
        <v>3332</v>
      </c>
      <c r="G51" s="253" t="s">
        <v>3381</v>
      </c>
      <c r="H51" s="670">
        <v>21136</v>
      </c>
      <c r="I51" s="194">
        <v>0</v>
      </c>
      <c r="J51" s="194">
        <v>48000</v>
      </c>
      <c r="K51" s="185">
        <v>0.5</v>
      </c>
      <c r="L51" s="183" t="s">
        <v>4706</v>
      </c>
      <c r="M51" s="183" t="s">
        <v>3433</v>
      </c>
      <c r="N51" s="183" t="s">
        <v>3433</v>
      </c>
      <c r="O51" s="670"/>
    </row>
    <row r="52" spans="1:15" s="182" customFormat="1" ht="21.75" customHeight="1" x14ac:dyDescent="0.15">
      <c r="A52" s="151" t="s">
        <v>5344</v>
      </c>
      <c r="B52" s="20" t="s">
        <v>5345</v>
      </c>
      <c r="C52" s="672" t="s">
        <v>4963</v>
      </c>
      <c r="D52" s="672" t="s">
        <v>5028</v>
      </c>
      <c r="E52" s="672" t="s">
        <v>5358</v>
      </c>
      <c r="F52" s="184" t="s">
        <v>5078</v>
      </c>
      <c r="G52" s="235" t="s">
        <v>5359</v>
      </c>
      <c r="H52" s="670">
        <v>21128</v>
      </c>
      <c r="I52" s="194">
        <v>0</v>
      </c>
      <c r="J52" s="194">
        <v>478980</v>
      </c>
      <c r="K52" s="185">
        <v>0.9</v>
      </c>
      <c r="L52" s="183" t="s">
        <v>5360</v>
      </c>
      <c r="M52" s="183" t="s">
        <v>5361</v>
      </c>
      <c r="N52" s="183" t="s">
        <v>5361</v>
      </c>
      <c r="O52" s="670"/>
    </row>
    <row r="53" spans="1:15" s="182" customFormat="1" ht="21.75" customHeight="1" x14ac:dyDescent="0.15">
      <c r="A53" s="151" t="s">
        <v>5344</v>
      </c>
      <c r="B53" s="20" t="s">
        <v>5346</v>
      </c>
      <c r="C53" s="224" t="s">
        <v>3346</v>
      </c>
      <c r="D53" s="224" t="s">
        <v>3481</v>
      </c>
      <c r="E53" s="224" t="s">
        <v>4497</v>
      </c>
      <c r="F53" s="207" t="s">
        <v>3483</v>
      </c>
      <c r="G53" s="235" t="s">
        <v>5368</v>
      </c>
      <c r="H53" s="670">
        <v>22016</v>
      </c>
      <c r="I53" s="194">
        <v>0</v>
      </c>
      <c r="J53" s="194">
        <v>11000</v>
      </c>
      <c r="K53" s="185">
        <v>1</v>
      </c>
      <c r="L53" s="183" t="s">
        <v>5369</v>
      </c>
      <c r="M53" s="183" t="s">
        <v>3434</v>
      </c>
      <c r="N53" s="183" t="s">
        <v>3434</v>
      </c>
      <c r="O53" s="670"/>
    </row>
    <row r="54" spans="1:15" s="182" customFormat="1" ht="21.75" customHeight="1" x14ac:dyDescent="0.15">
      <c r="A54" s="151" t="s">
        <v>5344</v>
      </c>
      <c r="B54" s="20" t="s">
        <v>5347</v>
      </c>
      <c r="C54" s="279" t="s">
        <v>3325</v>
      </c>
      <c r="D54" s="279" t="s">
        <v>3457</v>
      </c>
      <c r="E54" s="279" t="s">
        <v>5362</v>
      </c>
      <c r="F54" s="279" t="s">
        <v>3328</v>
      </c>
      <c r="G54" s="170" t="s">
        <v>3349</v>
      </c>
      <c r="H54" s="670">
        <v>20080</v>
      </c>
      <c r="I54" s="194">
        <v>0</v>
      </c>
      <c r="J54" s="194">
        <v>52000</v>
      </c>
      <c r="K54" s="185">
        <v>1</v>
      </c>
      <c r="L54" s="183" t="s">
        <v>5363</v>
      </c>
      <c r="M54" s="183" t="s">
        <v>3957</v>
      </c>
      <c r="N54" s="183" t="s">
        <v>3957</v>
      </c>
      <c r="O54" s="670"/>
    </row>
    <row r="55" spans="1:15" s="182" customFormat="1" ht="21.75" customHeight="1" x14ac:dyDescent="0.15">
      <c r="A55" s="151" t="s">
        <v>5348</v>
      </c>
      <c r="B55" s="20" t="s">
        <v>4685</v>
      </c>
      <c r="C55" s="279" t="s">
        <v>3363</v>
      </c>
      <c r="D55" s="279" t="s">
        <v>3354</v>
      </c>
      <c r="E55" s="596" t="s">
        <v>4267</v>
      </c>
      <c r="F55" s="241" t="s">
        <v>3328</v>
      </c>
      <c r="G55" s="242" t="s">
        <v>3336</v>
      </c>
      <c r="H55" s="670">
        <v>20188</v>
      </c>
      <c r="I55" s="194">
        <v>0</v>
      </c>
      <c r="J55" s="194">
        <v>38000</v>
      </c>
      <c r="K55" s="185">
        <v>1</v>
      </c>
      <c r="L55" s="183" t="s">
        <v>5369</v>
      </c>
      <c r="M55" s="183" t="s">
        <v>5370</v>
      </c>
      <c r="N55" s="183" t="s">
        <v>5370</v>
      </c>
      <c r="O55" s="670"/>
    </row>
    <row r="56" spans="1:15" s="182" customFormat="1" ht="21.75" customHeight="1" x14ac:dyDescent="0.15">
      <c r="A56" s="151" t="s">
        <v>5364</v>
      </c>
      <c r="B56" s="20" t="s">
        <v>5365</v>
      </c>
      <c r="C56" s="241" t="s">
        <v>3334</v>
      </c>
      <c r="D56" s="241" t="s">
        <v>3463</v>
      </c>
      <c r="E56" s="241" t="s">
        <v>4365</v>
      </c>
      <c r="F56" s="241" t="s">
        <v>3328</v>
      </c>
      <c r="G56" s="242" t="s">
        <v>3529</v>
      </c>
      <c r="H56" s="664">
        <v>20125</v>
      </c>
      <c r="I56" s="194">
        <v>0</v>
      </c>
      <c r="J56" s="194">
        <v>16150</v>
      </c>
      <c r="K56" s="185">
        <v>0.05</v>
      </c>
      <c r="L56" s="183" t="s">
        <v>5366</v>
      </c>
      <c r="M56" s="183" t="s">
        <v>4708</v>
      </c>
      <c r="N56" s="183" t="s">
        <v>5367</v>
      </c>
      <c r="O56" s="664"/>
    </row>
    <row r="57" spans="1:15" s="182" customFormat="1" ht="21.75" customHeight="1" x14ac:dyDescent="0.15">
      <c r="A57" s="151" t="s">
        <v>5371</v>
      </c>
      <c r="B57" s="20" t="s">
        <v>4714</v>
      </c>
      <c r="C57" s="241" t="s">
        <v>3346</v>
      </c>
      <c r="D57" s="241" t="s">
        <v>3354</v>
      </c>
      <c r="E57" s="241" t="s">
        <v>5121</v>
      </c>
      <c r="F57" s="241" t="s">
        <v>4137</v>
      </c>
      <c r="G57" s="242" t="s">
        <v>4605</v>
      </c>
      <c r="H57" s="673" t="s">
        <v>5381</v>
      </c>
      <c r="I57" s="194">
        <v>300000</v>
      </c>
      <c r="J57" s="194">
        <v>0</v>
      </c>
      <c r="K57" s="185" t="s">
        <v>5382</v>
      </c>
      <c r="L57" s="183" t="s">
        <v>5383</v>
      </c>
      <c r="M57" s="241" t="s">
        <v>3725</v>
      </c>
      <c r="N57" s="184" t="s">
        <v>5161</v>
      </c>
      <c r="O57" s="226" t="s">
        <v>5384</v>
      </c>
    </row>
    <row r="58" spans="1:15" s="182" customFormat="1" ht="21.75" customHeight="1" x14ac:dyDescent="0.15">
      <c r="A58" s="151" t="s">
        <v>5371</v>
      </c>
      <c r="B58" s="20" t="s">
        <v>4937</v>
      </c>
      <c r="C58" s="675" t="s">
        <v>5373</v>
      </c>
      <c r="D58" s="675" t="s">
        <v>5028</v>
      </c>
      <c r="E58" s="675" t="s">
        <v>5374</v>
      </c>
      <c r="F58" s="184" t="s">
        <v>5078</v>
      </c>
      <c r="G58" s="235" t="s">
        <v>4861</v>
      </c>
      <c r="H58" s="673">
        <v>21156</v>
      </c>
      <c r="I58" s="194">
        <v>0</v>
      </c>
      <c r="J58" s="194">
        <v>45000</v>
      </c>
      <c r="K58" s="185">
        <v>1</v>
      </c>
      <c r="L58" s="183" t="s">
        <v>5375</v>
      </c>
      <c r="M58" s="183" t="s">
        <v>5376</v>
      </c>
      <c r="N58" s="183" t="s">
        <v>5376</v>
      </c>
      <c r="O58" s="673"/>
    </row>
    <row r="59" spans="1:15" s="182" customFormat="1" ht="21.75" customHeight="1" x14ac:dyDescent="0.15">
      <c r="A59" s="151" t="s">
        <v>5372</v>
      </c>
      <c r="B59" s="20" t="s">
        <v>4542</v>
      </c>
      <c r="C59" s="241" t="s">
        <v>3368</v>
      </c>
      <c r="D59" s="241" t="s">
        <v>3457</v>
      </c>
      <c r="E59" s="241" t="s">
        <v>4543</v>
      </c>
      <c r="F59" s="184" t="s">
        <v>3328</v>
      </c>
      <c r="G59" s="235" t="s">
        <v>4065</v>
      </c>
      <c r="H59" s="610" t="s">
        <v>5378</v>
      </c>
      <c r="I59" s="194">
        <v>0</v>
      </c>
      <c r="J59" s="194">
        <v>73800</v>
      </c>
      <c r="K59" s="185">
        <v>0.6</v>
      </c>
      <c r="L59" s="183" t="s">
        <v>5380</v>
      </c>
      <c r="M59" s="183" t="s">
        <v>5376</v>
      </c>
      <c r="N59" s="183" t="s">
        <v>5376</v>
      </c>
      <c r="O59" s="674"/>
    </row>
    <row r="60" spans="1:15" s="182" customFormat="1" ht="21.75" customHeight="1" x14ac:dyDescent="0.15">
      <c r="A60" s="151" t="s">
        <v>5372</v>
      </c>
      <c r="B60" s="20" t="s">
        <v>4542</v>
      </c>
      <c r="C60" s="241" t="s">
        <v>3368</v>
      </c>
      <c r="D60" s="241" t="s">
        <v>3457</v>
      </c>
      <c r="E60" s="241" t="s">
        <v>4543</v>
      </c>
      <c r="F60" s="184" t="s">
        <v>3355</v>
      </c>
      <c r="G60" s="235" t="s">
        <v>5377</v>
      </c>
      <c r="H60" s="610" t="s">
        <v>5379</v>
      </c>
      <c r="I60" s="194">
        <v>0</v>
      </c>
      <c r="J60" s="194">
        <v>24000</v>
      </c>
      <c r="K60" s="185">
        <v>0.6</v>
      </c>
      <c r="L60" s="183" t="s">
        <v>5380</v>
      </c>
      <c r="M60" s="183" t="s">
        <v>5376</v>
      </c>
      <c r="N60" s="183" t="s">
        <v>5376</v>
      </c>
      <c r="O60" s="675"/>
    </row>
    <row r="61" spans="1:15" s="182" customFormat="1" ht="21.75" customHeight="1" x14ac:dyDescent="0.15">
      <c r="A61" s="151" t="s">
        <v>5385</v>
      </c>
      <c r="B61" s="20" t="s">
        <v>5123</v>
      </c>
      <c r="C61" s="236" t="s">
        <v>3346</v>
      </c>
      <c r="D61" s="676" t="s">
        <v>3354</v>
      </c>
      <c r="E61" s="180" t="s">
        <v>3777</v>
      </c>
      <c r="F61" s="224" t="s">
        <v>3328</v>
      </c>
      <c r="G61" s="235" t="s">
        <v>3336</v>
      </c>
      <c r="H61" s="610" t="s">
        <v>5386</v>
      </c>
      <c r="I61" s="194">
        <v>0</v>
      </c>
      <c r="J61" s="194">
        <v>38700</v>
      </c>
      <c r="K61" s="185">
        <v>0.9</v>
      </c>
      <c r="L61" s="183" t="s">
        <v>4711</v>
      </c>
      <c r="M61" s="183" t="s">
        <v>3726</v>
      </c>
      <c r="N61" s="183" t="s">
        <v>3726</v>
      </c>
      <c r="O61" s="677"/>
    </row>
    <row r="62" spans="1:15" s="182" customFormat="1" ht="21.75" customHeight="1" x14ac:dyDescent="0.15">
      <c r="A62" s="151" t="s">
        <v>5387</v>
      </c>
      <c r="B62" s="20" t="s">
        <v>5388</v>
      </c>
      <c r="C62" s="241" t="s">
        <v>3376</v>
      </c>
      <c r="D62" s="241" t="s">
        <v>3377</v>
      </c>
      <c r="E62" s="236" t="s">
        <v>3648</v>
      </c>
      <c r="F62" s="236" t="s">
        <v>3328</v>
      </c>
      <c r="G62" s="240" t="s">
        <v>3378</v>
      </c>
      <c r="H62" s="638">
        <v>17074</v>
      </c>
      <c r="I62" s="194">
        <v>24409.35</v>
      </c>
      <c r="J62" s="194">
        <v>0</v>
      </c>
      <c r="K62" s="185" t="s">
        <v>5389</v>
      </c>
      <c r="L62" s="183" t="s">
        <v>5390</v>
      </c>
      <c r="M62" s="183" t="s">
        <v>5391</v>
      </c>
      <c r="N62" s="183" t="s">
        <v>5391</v>
      </c>
      <c r="O62" s="226" t="s">
        <v>5401</v>
      </c>
    </row>
    <row r="63" spans="1:15" s="182" customFormat="1" ht="21.75" customHeight="1" x14ac:dyDescent="0.15">
      <c r="A63" s="151" t="s">
        <v>5387</v>
      </c>
      <c r="B63" s="20" t="s">
        <v>5388</v>
      </c>
      <c r="C63" s="236" t="s">
        <v>3376</v>
      </c>
      <c r="D63" s="241" t="s">
        <v>3377</v>
      </c>
      <c r="E63" s="236" t="s">
        <v>3648</v>
      </c>
      <c r="F63" s="599" t="s">
        <v>3328</v>
      </c>
      <c r="G63" s="242" t="s">
        <v>3353</v>
      </c>
      <c r="H63" s="638">
        <v>19064</v>
      </c>
      <c r="I63" s="194">
        <v>22400</v>
      </c>
      <c r="J63" s="194">
        <v>0</v>
      </c>
      <c r="K63" s="185">
        <v>1</v>
      </c>
      <c r="L63" s="183" t="s">
        <v>5392</v>
      </c>
      <c r="M63" s="183" t="s">
        <v>5391</v>
      </c>
      <c r="N63" s="183" t="s">
        <v>5391</v>
      </c>
      <c r="O63" s="226" t="s">
        <v>5401</v>
      </c>
    </row>
    <row r="64" spans="1:15" s="182" customFormat="1" ht="21.75" customHeight="1" x14ac:dyDescent="0.15">
      <c r="A64" s="151" t="s">
        <v>5393</v>
      </c>
      <c r="B64" s="20" t="s">
        <v>5394</v>
      </c>
      <c r="C64" s="241" t="s">
        <v>3346</v>
      </c>
      <c r="D64" s="241" t="s">
        <v>3347</v>
      </c>
      <c r="E64" s="241" t="s">
        <v>5397</v>
      </c>
      <c r="F64" s="241" t="s">
        <v>3340</v>
      </c>
      <c r="G64" s="240" t="s">
        <v>3349</v>
      </c>
      <c r="H64" s="673">
        <v>21034</v>
      </c>
      <c r="I64" s="194">
        <v>0</v>
      </c>
      <c r="J64" s="194">
        <v>110000.01</v>
      </c>
      <c r="K64" s="185">
        <v>1</v>
      </c>
      <c r="L64" s="183" t="s">
        <v>5398</v>
      </c>
      <c r="M64" s="241" t="s">
        <v>3725</v>
      </c>
      <c r="N64" s="596" t="s">
        <v>3725</v>
      </c>
      <c r="O64" s="673"/>
    </row>
    <row r="65" spans="1:15" s="182" customFormat="1" ht="21.75" customHeight="1" x14ac:dyDescent="0.15">
      <c r="A65" s="151" t="s">
        <v>5396</v>
      </c>
      <c r="B65" s="20" t="s">
        <v>5395</v>
      </c>
      <c r="C65" s="184" t="s">
        <v>4982</v>
      </c>
      <c r="D65" s="184" t="s">
        <v>5354</v>
      </c>
      <c r="E65" s="184" t="s">
        <v>5355</v>
      </c>
      <c r="F65" s="207" t="s">
        <v>3328</v>
      </c>
      <c r="G65" s="235" t="s">
        <v>5249</v>
      </c>
      <c r="H65" s="673">
        <v>21110</v>
      </c>
      <c r="I65" s="194">
        <v>0</v>
      </c>
      <c r="J65" s="194">
        <v>40500</v>
      </c>
      <c r="K65" s="185">
        <v>0.9</v>
      </c>
      <c r="L65" s="183" t="s">
        <v>5399</v>
      </c>
      <c r="M65" s="183" t="s">
        <v>5400</v>
      </c>
      <c r="N65" s="183" t="s">
        <v>5400</v>
      </c>
      <c r="O65" s="673"/>
    </row>
    <row r="66" spans="1:15" s="182" customFormat="1" ht="21.75" customHeight="1" x14ac:dyDescent="0.15">
      <c r="A66" s="151" t="s">
        <v>5402</v>
      </c>
      <c r="B66" s="20" t="s">
        <v>4857</v>
      </c>
      <c r="C66" s="184" t="s">
        <v>5152</v>
      </c>
      <c r="D66" s="184" t="s">
        <v>5153</v>
      </c>
      <c r="E66" s="184" t="s">
        <v>5154</v>
      </c>
      <c r="F66" s="184" t="s">
        <v>5078</v>
      </c>
      <c r="G66" s="235" t="s">
        <v>5155</v>
      </c>
      <c r="H66" s="678" t="s">
        <v>5150</v>
      </c>
      <c r="I66" s="194">
        <v>0</v>
      </c>
      <c r="J66" s="194">
        <v>145200</v>
      </c>
      <c r="K66" s="185" t="s">
        <v>5403</v>
      </c>
      <c r="L66" s="183" t="s">
        <v>4707</v>
      </c>
      <c r="M66" s="241" t="s">
        <v>3725</v>
      </c>
      <c r="N66" s="596" t="s">
        <v>3725</v>
      </c>
      <c r="O66" s="678"/>
    </row>
    <row r="67" spans="1:15" s="182" customFormat="1" ht="21.75" customHeight="1" x14ac:dyDescent="0.15">
      <c r="A67" s="151" t="s">
        <v>5402</v>
      </c>
      <c r="B67" s="20" t="s">
        <v>4857</v>
      </c>
      <c r="C67" s="184" t="s">
        <v>5156</v>
      </c>
      <c r="D67" s="184" t="s">
        <v>5153</v>
      </c>
      <c r="E67" s="184" t="s">
        <v>5157</v>
      </c>
      <c r="F67" s="184" t="s">
        <v>5078</v>
      </c>
      <c r="G67" s="235" t="s">
        <v>5155</v>
      </c>
      <c r="H67" s="678" t="s">
        <v>5151</v>
      </c>
      <c r="I67" s="194">
        <v>0</v>
      </c>
      <c r="J67" s="194">
        <v>145200</v>
      </c>
      <c r="K67" s="185" t="s">
        <v>5403</v>
      </c>
      <c r="L67" s="183" t="s">
        <v>4707</v>
      </c>
      <c r="M67" s="241" t="s">
        <v>3725</v>
      </c>
      <c r="N67" s="596" t="s">
        <v>3725</v>
      </c>
      <c r="O67" s="678"/>
    </row>
    <row r="68" spans="1:15" s="182" customFormat="1" ht="21.75" customHeight="1" x14ac:dyDescent="0.15">
      <c r="A68" s="151" t="s">
        <v>5405</v>
      </c>
      <c r="B68" s="20" t="s">
        <v>5404</v>
      </c>
      <c r="C68" s="279" t="s">
        <v>3325</v>
      </c>
      <c r="D68" s="279" t="s">
        <v>3439</v>
      </c>
      <c r="E68" s="236" t="s">
        <v>4102</v>
      </c>
      <c r="F68" s="279" t="s">
        <v>3340</v>
      </c>
      <c r="G68" s="170" t="s">
        <v>3349</v>
      </c>
      <c r="H68" s="679">
        <v>21012</v>
      </c>
      <c r="I68" s="194">
        <v>0</v>
      </c>
      <c r="J68" s="194">
        <v>96000</v>
      </c>
      <c r="K68" s="185">
        <v>1</v>
      </c>
      <c r="L68" s="183" t="s">
        <v>5406</v>
      </c>
      <c r="M68" s="241" t="s">
        <v>3433</v>
      </c>
      <c r="N68" s="596" t="s">
        <v>3433</v>
      </c>
      <c r="O68" s="679"/>
    </row>
    <row r="69" spans="1:15" s="182" customFormat="1" ht="21.75" customHeight="1" x14ac:dyDescent="0.15">
      <c r="A69" s="151" t="s">
        <v>5405</v>
      </c>
      <c r="B69" s="20" t="s">
        <v>767</v>
      </c>
      <c r="C69" s="241" t="s">
        <v>3325</v>
      </c>
      <c r="D69" s="241" t="s">
        <v>3439</v>
      </c>
      <c r="E69" s="241" t="s">
        <v>3739</v>
      </c>
      <c r="F69" s="241" t="s">
        <v>3328</v>
      </c>
      <c r="G69" s="242" t="s">
        <v>3349</v>
      </c>
      <c r="H69" s="679">
        <v>20140</v>
      </c>
      <c r="I69" s="194">
        <v>0</v>
      </c>
      <c r="J69" s="194">
        <v>96000</v>
      </c>
      <c r="K69" s="185">
        <v>1</v>
      </c>
      <c r="L69" s="183" t="s">
        <v>4706</v>
      </c>
      <c r="M69" s="241" t="s">
        <v>3433</v>
      </c>
      <c r="N69" s="596" t="s">
        <v>3433</v>
      </c>
      <c r="O69" s="679"/>
    </row>
    <row r="70" spans="1:15" s="182" customFormat="1" ht="21.75" customHeight="1" x14ac:dyDescent="0.15">
      <c r="A70" s="151" t="s">
        <v>5407</v>
      </c>
      <c r="B70" s="20" t="s">
        <v>5408</v>
      </c>
      <c r="C70" s="184" t="s">
        <v>4941</v>
      </c>
      <c r="D70" s="184" t="s">
        <v>5410</v>
      </c>
      <c r="E70" s="184" t="s">
        <v>5411</v>
      </c>
      <c r="F70" s="267" t="s">
        <v>3328</v>
      </c>
      <c r="G70" s="235" t="s">
        <v>5412</v>
      </c>
      <c r="H70" s="680">
        <v>22013</v>
      </c>
      <c r="I70" s="194">
        <v>0</v>
      </c>
      <c r="J70" s="194">
        <v>8000</v>
      </c>
      <c r="K70" s="185">
        <v>1</v>
      </c>
      <c r="L70" s="183" t="s">
        <v>4707</v>
      </c>
      <c r="M70" s="241" t="s">
        <v>3726</v>
      </c>
      <c r="N70" s="596" t="s">
        <v>3726</v>
      </c>
      <c r="O70" s="680"/>
    </row>
    <row r="71" spans="1:15" s="182" customFormat="1" ht="21.75" customHeight="1" x14ac:dyDescent="0.15">
      <c r="A71" s="151" t="s">
        <v>5407</v>
      </c>
      <c r="B71" s="20" t="s">
        <v>5409</v>
      </c>
      <c r="C71" s="241" t="s">
        <v>3363</v>
      </c>
      <c r="D71" s="241" t="s">
        <v>3326</v>
      </c>
      <c r="E71" s="241" t="s">
        <v>4287</v>
      </c>
      <c r="F71" s="241" t="s">
        <v>3328</v>
      </c>
      <c r="G71" s="242" t="s">
        <v>4065</v>
      </c>
      <c r="H71" s="680">
        <v>20091</v>
      </c>
      <c r="I71" s="194">
        <v>0</v>
      </c>
      <c r="J71" s="194">
        <v>9890</v>
      </c>
      <c r="K71" s="185">
        <v>0.1</v>
      </c>
      <c r="L71" s="183" t="s">
        <v>4724</v>
      </c>
      <c r="M71" s="241" t="s">
        <v>3957</v>
      </c>
      <c r="N71" s="596" t="s">
        <v>3957</v>
      </c>
      <c r="O71" s="680"/>
    </row>
    <row r="72" spans="1:15" s="182" customFormat="1" ht="21.75" customHeight="1" x14ac:dyDescent="0.15">
      <c r="A72" s="151" t="s">
        <v>5413</v>
      </c>
      <c r="B72" s="20" t="s">
        <v>5414</v>
      </c>
      <c r="C72" s="184" t="s">
        <v>4941</v>
      </c>
      <c r="D72" s="184" t="s">
        <v>5098</v>
      </c>
      <c r="E72" s="184" t="s">
        <v>5415</v>
      </c>
      <c r="F72" s="267" t="s">
        <v>3328</v>
      </c>
      <c r="G72" s="239" t="s">
        <v>5240</v>
      </c>
      <c r="H72" s="681">
        <v>22026</v>
      </c>
      <c r="I72" s="194">
        <v>0</v>
      </c>
      <c r="J72" s="194">
        <v>40000</v>
      </c>
      <c r="K72" s="185">
        <v>1</v>
      </c>
      <c r="L72" s="183" t="s">
        <v>4707</v>
      </c>
      <c r="M72" s="241" t="s">
        <v>4708</v>
      </c>
      <c r="N72" s="596" t="s">
        <v>4708</v>
      </c>
      <c r="O72" s="681"/>
    </row>
    <row r="73" spans="1:15" s="182" customFormat="1" ht="21.75" customHeight="1" x14ac:dyDescent="0.15">
      <c r="A73" s="151" t="s">
        <v>5413</v>
      </c>
      <c r="B73" s="20" t="s">
        <v>5414</v>
      </c>
      <c r="C73" s="184" t="s">
        <v>4941</v>
      </c>
      <c r="D73" s="184" t="s">
        <v>5098</v>
      </c>
      <c r="E73" s="184" t="s">
        <v>5415</v>
      </c>
      <c r="F73" s="267" t="s">
        <v>3328</v>
      </c>
      <c r="G73" s="239" t="s">
        <v>3349</v>
      </c>
      <c r="H73" s="681">
        <v>22027</v>
      </c>
      <c r="I73" s="194">
        <v>0</v>
      </c>
      <c r="J73" s="194">
        <v>63000</v>
      </c>
      <c r="K73" s="185">
        <v>0.9</v>
      </c>
      <c r="L73" s="183" t="s">
        <v>4706</v>
      </c>
      <c r="M73" s="241" t="s">
        <v>4708</v>
      </c>
      <c r="N73" s="596" t="s">
        <v>4708</v>
      </c>
      <c r="O73" s="681"/>
    </row>
    <row r="74" spans="1:15" s="182" customFormat="1" ht="21.75" customHeight="1" x14ac:dyDescent="0.15">
      <c r="A74" s="151" t="s">
        <v>5416</v>
      </c>
      <c r="B74" s="20" t="s">
        <v>5417</v>
      </c>
      <c r="C74" s="241" t="s">
        <v>3351</v>
      </c>
      <c r="D74" s="241" t="s">
        <v>3457</v>
      </c>
      <c r="E74" s="241" t="s">
        <v>4445</v>
      </c>
      <c r="F74" s="267" t="s">
        <v>3328</v>
      </c>
      <c r="G74" s="242" t="s">
        <v>3336</v>
      </c>
      <c r="H74" s="638" t="s">
        <v>5419</v>
      </c>
      <c r="I74" s="194">
        <v>0</v>
      </c>
      <c r="J74" s="194">
        <v>6200</v>
      </c>
      <c r="K74" s="185">
        <v>1</v>
      </c>
      <c r="L74" s="183" t="s">
        <v>4707</v>
      </c>
      <c r="M74" s="241" t="s">
        <v>4708</v>
      </c>
      <c r="N74" s="596" t="s">
        <v>4708</v>
      </c>
      <c r="O74" s="682"/>
    </row>
    <row r="75" spans="1:15" s="182" customFormat="1" ht="21.75" customHeight="1" x14ac:dyDescent="0.15">
      <c r="A75" s="151" t="s">
        <v>5418</v>
      </c>
      <c r="B75" s="20" t="s">
        <v>5409</v>
      </c>
      <c r="C75" s="184" t="s">
        <v>4963</v>
      </c>
      <c r="D75" s="184" t="s">
        <v>5153</v>
      </c>
      <c r="E75" s="184" t="s">
        <v>5420</v>
      </c>
      <c r="F75" s="184" t="s">
        <v>5078</v>
      </c>
      <c r="G75" s="235" t="s">
        <v>5421</v>
      </c>
      <c r="H75" s="682">
        <v>21145</v>
      </c>
      <c r="I75" s="194">
        <v>0</v>
      </c>
      <c r="J75" s="194">
        <v>70200</v>
      </c>
      <c r="K75" s="185">
        <v>0.9</v>
      </c>
      <c r="L75" s="183" t="s">
        <v>4711</v>
      </c>
      <c r="M75" s="241" t="s">
        <v>3957</v>
      </c>
      <c r="N75" s="596" t="s">
        <v>3957</v>
      </c>
      <c r="O75" s="682"/>
    </row>
    <row r="76" spans="1:15" s="182" customFormat="1" ht="21.75" customHeight="1" x14ac:dyDescent="0.15">
      <c r="A76" s="151" t="s">
        <v>5418</v>
      </c>
      <c r="B76" s="20" t="s">
        <v>5117</v>
      </c>
      <c r="C76" s="184" t="s">
        <v>4963</v>
      </c>
      <c r="D76" s="184" t="s">
        <v>5422</v>
      </c>
      <c r="E76" s="184" t="s">
        <v>5423</v>
      </c>
      <c r="F76" s="241" t="s">
        <v>3355</v>
      </c>
      <c r="G76" s="235" t="s">
        <v>5424</v>
      </c>
      <c r="H76" s="683" t="s">
        <v>5426</v>
      </c>
      <c r="I76" s="194">
        <v>0</v>
      </c>
      <c r="J76" s="194">
        <v>96000</v>
      </c>
      <c r="K76" s="185">
        <v>1</v>
      </c>
      <c r="L76" s="183" t="s">
        <v>4707</v>
      </c>
      <c r="M76" s="241" t="s">
        <v>3433</v>
      </c>
      <c r="N76" s="241" t="s">
        <v>3433</v>
      </c>
      <c r="O76" s="683"/>
    </row>
    <row r="77" spans="1:15" s="182" customFormat="1" ht="21.75" customHeight="1" x14ac:dyDescent="0.15">
      <c r="A77" s="151" t="s">
        <v>5418</v>
      </c>
      <c r="B77" s="20" t="s">
        <v>5117</v>
      </c>
      <c r="C77" s="184" t="s">
        <v>4982</v>
      </c>
      <c r="D77" s="184" t="s">
        <v>5422</v>
      </c>
      <c r="E77" s="184" t="s">
        <v>5427</v>
      </c>
      <c r="F77" s="184" t="s">
        <v>5078</v>
      </c>
      <c r="G77" s="235" t="s">
        <v>5249</v>
      </c>
      <c r="H77" s="678" t="s">
        <v>5425</v>
      </c>
      <c r="I77" s="194">
        <v>0</v>
      </c>
      <c r="J77" s="194">
        <v>38600</v>
      </c>
      <c r="K77" s="185" t="s">
        <v>5428</v>
      </c>
      <c r="L77" s="183" t="s">
        <v>4707</v>
      </c>
      <c r="M77" s="241" t="s">
        <v>3433</v>
      </c>
      <c r="N77" s="241" t="s">
        <v>3433</v>
      </c>
      <c r="O77" s="678"/>
    </row>
    <row r="78" spans="1:15" s="182" customFormat="1" ht="21.75" customHeight="1" x14ac:dyDescent="0.15">
      <c r="A78" s="151" t="s">
        <v>5429</v>
      </c>
      <c r="B78" s="20" t="s">
        <v>4971</v>
      </c>
      <c r="C78" s="184" t="s">
        <v>4982</v>
      </c>
      <c r="D78" s="184" t="s">
        <v>5076</v>
      </c>
      <c r="E78" s="184" t="s">
        <v>5077</v>
      </c>
      <c r="F78" s="184" t="s">
        <v>5078</v>
      </c>
      <c r="G78" s="235" t="s">
        <v>3329</v>
      </c>
      <c r="H78" s="638" t="s">
        <v>5430</v>
      </c>
      <c r="I78" s="194">
        <v>0</v>
      </c>
      <c r="J78" s="194">
        <v>82016</v>
      </c>
      <c r="K78" s="185" t="s">
        <v>5434</v>
      </c>
      <c r="L78" s="183" t="s">
        <v>5432</v>
      </c>
      <c r="M78" s="241" t="s">
        <v>5433</v>
      </c>
      <c r="N78" s="241" t="s">
        <v>5433</v>
      </c>
      <c r="O78" s="684"/>
    </row>
    <row r="79" spans="1:15" s="182" customFormat="1" ht="21.75" customHeight="1" x14ac:dyDescent="0.15">
      <c r="A79" s="151" t="s">
        <v>5429</v>
      </c>
      <c r="B79" s="20" t="s">
        <v>4971</v>
      </c>
      <c r="C79" s="184" t="s">
        <v>4982</v>
      </c>
      <c r="D79" s="184" t="s">
        <v>5076</v>
      </c>
      <c r="E79" s="184" t="s">
        <v>5077</v>
      </c>
      <c r="F79" s="184" t="s">
        <v>3400</v>
      </c>
      <c r="G79" s="235" t="s">
        <v>5086</v>
      </c>
      <c r="H79" s="638" t="s">
        <v>5431</v>
      </c>
      <c r="I79" s="194">
        <v>0</v>
      </c>
      <c r="J79" s="194">
        <v>13860</v>
      </c>
      <c r="K79" s="185">
        <v>0.3</v>
      </c>
      <c r="L79" s="183" t="s">
        <v>5432</v>
      </c>
      <c r="M79" s="241" t="s">
        <v>5433</v>
      </c>
      <c r="N79" s="241" t="s">
        <v>5433</v>
      </c>
      <c r="O79" s="685"/>
    </row>
    <row r="80" spans="1:15" s="182" customFormat="1" ht="21.75" customHeight="1" x14ac:dyDescent="0.15">
      <c r="A80" s="151" t="s">
        <v>5435</v>
      </c>
      <c r="B80" s="20" t="s">
        <v>5436</v>
      </c>
      <c r="C80" s="236" t="s">
        <v>3337</v>
      </c>
      <c r="D80" s="602" t="s">
        <v>3380</v>
      </c>
      <c r="E80" s="236" t="s">
        <v>3874</v>
      </c>
      <c r="F80" s="241" t="s">
        <v>3340</v>
      </c>
      <c r="G80" s="242" t="s">
        <v>5437</v>
      </c>
      <c r="H80" s="685">
        <v>21028</v>
      </c>
      <c r="I80" s="194">
        <v>0</v>
      </c>
      <c r="J80" s="194">
        <v>126000</v>
      </c>
      <c r="K80" s="185">
        <v>1</v>
      </c>
      <c r="L80" s="183" t="s">
        <v>5438</v>
      </c>
      <c r="M80" s="183" t="s">
        <v>5439</v>
      </c>
      <c r="N80" s="183" t="s">
        <v>5440</v>
      </c>
      <c r="O80" s="685"/>
    </row>
    <row r="81" spans="1:15" s="182" customFormat="1" ht="21.75" customHeight="1" x14ac:dyDescent="0.15">
      <c r="A81" s="151" t="s">
        <v>5441</v>
      </c>
      <c r="B81" s="20" t="s">
        <v>4749</v>
      </c>
      <c r="C81" s="279" t="s">
        <v>3346</v>
      </c>
      <c r="D81" s="279" t="s">
        <v>3354</v>
      </c>
      <c r="E81" s="279" t="s">
        <v>3562</v>
      </c>
      <c r="F81" s="279" t="s">
        <v>3937</v>
      </c>
      <c r="G81" s="242" t="s">
        <v>5442</v>
      </c>
      <c r="H81" s="686">
        <v>18151</v>
      </c>
      <c r="I81" s="194">
        <v>0</v>
      </c>
      <c r="J81" s="194">
        <v>331002.82</v>
      </c>
      <c r="K81" s="185">
        <v>0.9</v>
      </c>
      <c r="L81" s="183" t="s">
        <v>4711</v>
      </c>
      <c r="M81" s="183" t="s">
        <v>3725</v>
      </c>
      <c r="N81" s="183" t="s">
        <v>3726</v>
      </c>
      <c r="O81" s="686"/>
    </row>
    <row r="82" spans="1:15" s="182" customFormat="1" ht="21.75" customHeight="1" x14ac:dyDescent="0.15">
      <c r="A82" s="151" t="s">
        <v>5443</v>
      </c>
      <c r="B82" s="226" t="s">
        <v>5180</v>
      </c>
      <c r="C82" s="687" t="s">
        <v>4982</v>
      </c>
      <c r="D82" s="687" t="s">
        <v>5098</v>
      </c>
      <c r="E82" s="687" t="s">
        <v>5181</v>
      </c>
      <c r="F82" s="184" t="s">
        <v>5078</v>
      </c>
      <c r="G82" s="235" t="s">
        <v>3329</v>
      </c>
      <c r="H82" s="687" t="s">
        <v>5444</v>
      </c>
      <c r="I82" s="194">
        <v>98100</v>
      </c>
      <c r="J82" s="194">
        <v>0</v>
      </c>
      <c r="K82" s="185">
        <v>0.3</v>
      </c>
      <c r="L82" s="183" t="s">
        <v>5446</v>
      </c>
      <c r="M82" s="183" t="s">
        <v>5447</v>
      </c>
      <c r="N82" s="183" t="s">
        <v>5447</v>
      </c>
      <c r="O82" s="226" t="s">
        <v>5448</v>
      </c>
    </row>
    <row r="83" spans="1:15" s="182" customFormat="1" ht="21.75" customHeight="1" x14ac:dyDescent="0.15">
      <c r="A83" s="151" t="s">
        <v>5443</v>
      </c>
      <c r="B83" s="226" t="s">
        <v>5180</v>
      </c>
      <c r="C83" s="687" t="s">
        <v>4982</v>
      </c>
      <c r="D83" s="687" t="s">
        <v>5098</v>
      </c>
      <c r="E83" s="687" t="s">
        <v>5181</v>
      </c>
      <c r="F83" s="184" t="s">
        <v>3400</v>
      </c>
      <c r="G83" s="235" t="s">
        <v>5086</v>
      </c>
      <c r="H83" s="687" t="s">
        <v>5445</v>
      </c>
      <c r="I83" s="194">
        <v>8400</v>
      </c>
      <c r="J83" s="194">
        <v>0</v>
      </c>
      <c r="K83" s="185">
        <v>0.3</v>
      </c>
      <c r="L83" s="183" t="s">
        <v>5446</v>
      </c>
      <c r="M83" s="183" t="s">
        <v>5447</v>
      </c>
      <c r="N83" s="183" t="s">
        <v>5447</v>
      </c>
      <c r="O83" s="226" t="s">
        <v>5448</v>
      </c>
    </row>
    <row r="84" spans="1:15" s="182" customFormat="1" ht="21.75" customHeight="1" x14ac:dyDescent="0.15">
      <c r="A84" s="151" t="s">
        <v>5443</v>
      </c>
      <c r="B84" s="20" t="s">
        <v>4714</v>
      </c>
      <c r="C84" s="241" t="s">
        <v>3346</v>
      </c>
      <c r="D84" s="241" t="s">
        <v>3354</v>
      </c>
      <c r="E84" s="241" t="s">
        <v>5121</v>
      </c>
      <c r="F84" s="241" t="s">
        <v>4137</v>
      </c>
      <c r="G84" s="242" t="s">
        <v>4605</v>
      </c>
      <c r="H84" s="687" t="s">
        <v>5449</v>
      </c>
      <c r="I84" s="194">
        <v>294674.98</v>
      </c>
      <c r="J84" s="194">
        <v>0</v>
      </c>
      <c r="K84" s="185" t="s">
        <v>5450</v>
      </c>
      <c r="L84" s="183" t="s">
        <v>5451</v>
      </c>
      <c r="M84" s="241" t="s">
        <v>3725</v>
      </c>
      <c r="N84" s="184" t="s">
        <v>5161</v>
      </c>
      <c r="O84" s="226" t="s">
        <v>5452</v>
      </c>
    </row>
    <row r="85" spans="1:15" s="182" customFormat="1" ht="21.75" customHeight="1" x14ac:dyDescent="0.15">
      <c r="A85" s="151" t="s">
        <v>5453</v>
      </c>
      <c r="B85" s="20" t="s">
        <v>5454</v>
      </c>
      <c r="C85" s="241" t="s">
        <v>3330</v>
      </c>
      <c r="D85" s="241" t="s">
        <v>3534</v>
      </c>
      <c r="E85" s="241" t="s">
        <v>3694</v>
      </c>
      <c r="F85" s="236" t="s">
        <v>3332</v>
      </c>
      <c r="G85" s="240" t="s">
        <v>3529</v>
      </c>
      <c r="H85" s="638">
        <v>17126</v>
      </c>
      <c r="I85" s="194">
        <v>0</v>
      </c>
      <c r="J85" s="194">
        <v>15000</v>
      </c>
      <c r="K85" s="185">
        <v>0.1</v>
      </c>
      <c r="L85" s="183" t="s">
        <v>1143</v>
      </c>
      <c r="M85" s="241" t="s">
        <v>158</v>
      </c>
      <c r="N85" s="184" t="s">
        <v>1784</v>
      </c>
      <c r="O85" s="226"/>
    </row>
    <row r="86" spans="1:15" s="182" customFormat="1" ht="21.75" customHeight="1" x14ac:dyDescent="0.15">
      <c r="A86" s="151" t="s">
        <v>5453</v>
      </c>
      <c r="B86" s="20" t="s">
        <v>5454</v>
      </c>
      <c r="C86" s="279" t="s">
        <v>3351</v>
      </c>
      <c r="D86" s="279" t="s">
        <v>3768</v>
      </c>
      <c r="E86" s="279" t="s">
        <v>3694</v>
      </c>
      <c r="F86" s="279" t="s">
        <v>3328</v>
      </c>
      <c r="G86" s="170" t="s">
        <v>3349</v>
      </c>
      <c r="H86" s="638">
        <v>19142</v>
      </c>
      <c r="I86" s="194">
        <v>0</v>
      </c>
      <c r="J86" s="194">
        <v>10000</v>
      </c>
      <c r="K86" s="185">
        <v>0.1</v>
      </c>
      <c r="L86" s="183" t="s">
        <v>285</v>
      </c>
      <c r="M86" s="241" t="s">
        <v>158</v>
      </c>
      <c r="N86" s="184" t="s">
        <v>1784</v>
      </c>
      <c r="O86" s="226"/>
    </row>
    <row r="87" spans="1:15" s="182" customFormat="1" ht="21.75" customHeight="1" x14ac:dyDescent="0.15">
      <c r="A87" s="151" t="s">
        <v>5453</v>
      </c>
      <c r="B87" s="20" t="s">
        <v>5454</v>
      </c>
      <c r="C87" s="279" t="s">
        <v>3351</v>
      </c>
      <c r="D87" s="279" t="s">
        <v>3768</v>
      </c>
      <c r="E87" s="279" t="s">
        <v>3694</v>
      </c>
      <c r="F87" s="279" t="s">
        <v>3328</v>
      </c>
      <c r="G87" s="242" t="s">
        <v>4375</v>
      </c>
      <c r="H87" s="688">
        <v>20115</v>
      </c>
      <c r="I87" s="194">
        <v>0</v>
      </c>
      <c r="J87" s="194">
        <v>26600</v>
      </c>
      <c r="K87" s="185">
        <v>0.2</v>
      </c>
      <c r="L87" s="183" t="s">
        <v>285</v>
      </c>
      <c r="M87" s="241" t="s">
        <v>158</v>
      </c>
      <c r="N87" s="184" t="s">
        <v>1784</v>
      </c>
      <c r="O87" s="226"/>
    </row>
    <row r="88" spans="1:15" s="182" customFormat="1" ht="21.75" customHeight="1" x14ac:dyDescent="0.15">
      <c r="A88" s="151" t="s">
        <v>5455</v>
      </c>
      <c r="B88" s="20" t="s">
        <v>4971</v>
      </c>
      <c r="C88" s="184" t="s">
        <v>4982</v>
      </c>
      <c r="D88" s="184" t="s">
        <v>5098</v>
      </c>
      <c r="E88" s="184" t="s">
        <v>5099</v>
      </c>
      <c r="F88" s="184" t="s">
        <v>5078</v>
      </c>
      <c r="G88" s="235" t="s">
        <v>3329</v>
      </c>
      <c r="H88" s="689" t="s">
        <v>5464</v>
      </c>
      <c r="I88" s="194">
        <v>0</v>
      </c>
      <c r="J88" s="194">
        <v>89000</v>
      </c>
      <c r="K88" s="185" t="s">
        <v>5466</v>
      </c>
      <c r="L88" s="183" t="s">
        <v>5468</v>
      </c>
      <c r="M88" s="241" t="s">
        <v>5469</v>
      </c>
      <c r="N88" s="184" t="s">
        <v>5469</v>
      </c>
      <c r="O88" s="226"/>
    </row>
    <row r="89" spans="1:15" s="182" customFormat="1" ht="21.75" customHeight="1" x14ac:dyDescent="0.15">
      <c r="A89" s="151" t="s">
        <v>5455</v>
      </c>
      <c r="B89" s="20" t="s">
        <v>4971</v>
      </c>
      <c r="C89" s="184" t="s">
        <v>4982</v>
      </c>
      <c r="D89" s="184" t="s">
        <v>5098</v>
      </c>
      <c r="E89" s="184" t="s">
        <v>5099</v>
      </c>
      <c r="F89" s="184" t="s">
        <v>3400</v>
      </c>
      <c r="G89" s="235" t="s">
        <v>5086</v>
      </c>
      <c r="H89" s="691" t="s">
        <v>5465</v>
      </c>
      <c r="I89" s="194">
        <v>0</v>
      </c>
      <c r="J89" s="194">
        <v>33500.01</v>
      </c>
      <c r="K89" s="185">
        <v>0.5</v>
      </c>
      <c r="L89" s="183" t="s">
        <v>5468</v>
      </c>
      <c r="M89" s="241" t="s">
        <v>5469</v>
      </c>
      <c r="N89" s="184" t="s">
        <v>5469</v>
      </c>
      <c r="O89" s="226"/>
    </row>
    <row r="90" spans="1:15" s="182" customFormat="1" ht="21.75" customHeight="1" x14ac:dyDescent="0.15">
      <c r="A90" s="151" t="s">
        <v>5455</v>
      </c>
      <c r="B90" s="20" t="s">
        <v>4678</v>
      </c>
      <c r="C90" s="279" t="s">
        <v>3337</v>
      </c>
      <c r="D90" s="279" t="s">
        <v>3702</v>
      </c>
      <c r="E90" s="279" t="s">
        <v>3703</v>
      </c>
      <c r="F90" s="279" t="s">
        <v>3328</v>
      </c>
      <c r="G90" s="605" t="s">
        <v>3704</v>
      </c>
      <c r="H90" s="690">
        <v>18158</v>
      </c>
      <c r="I90" s="194">
        <v>0</v>
      </c>
      <c r="J90" s="194">
        <v>69358.62</v>
      </c>
      <c r="K90" s="185">
        <v>0.2</v>
      </c>
      <c r="L90" s="183" t="s">
        <v>5471</v>
      </c>
      <c r="M90" s="241" t="s">
        <v>5472</v>
      </c>
      <c r="N90" s="184" t="s">
        <v>5473</v>
      </c>
      <c r="O90" s="226"/>
    </row>
    <row r="91" spans="1:15" s="182" customFormat="1" ht="21.75" customHeight="1" x14ac:dyDescent="0.15">
      <c r="A91" s="151" t="s">
        <v>5455</v>
      </c>
      <c r="B91" s="20" t="s">
        <v>5456</v>
      </c>
      <c r="C91" s="279" t="s">
        <v>3337</v>
      </c>
      <c r="D91" s="241" t="s">
        <v>3702</v>
      </c>
      <c r="E91" s="614" t="s">
        <v>5474</v>
      </c>
      <c r="F91" s="279" t="s">
        <v>4361</v>
      </c>
      <c r="G91" s="170" t="s">
        <v>5122</v>
      </c>
      <c r="H91" s="690">
        <v>16043</v>
      </c>
      <c r="I91" s="194">
        <v>0</v>
      </c>
      <c r="J91" s="194">
        <v>60000</v>
      </c>
      <c r="K91" s="185">
        <v>0.25</v>
      </c>
      <c r="L91" s="183" t="s">
        <v>5475</v>
      </c>
      <c r="M91" s="241" t="s">
        <v>5472</v>
      </c>
      <c r="N91" s="184" t="s">
        <v>5473</v>
      </c>
      <c r="O91" s="226"/>
    </row>
    <row r="92" spans="1:15" s="182" customFormat="1" ht="21.75" customHeight="1" x14ac:dyDescent="0.15">
      <c r="A92" s="151" t="s">
        <v>5457</v>
      </c>
      <c r="B92" s="20" t="s">
        <v>4971</v>
      </c>
      <c r="C92" s="184" t="s">
        <v>4982</v>
      </c>
      <c r="D92" s="184" t="s">
        <v>5098</v>
      </c>
      <c r="E92" s="184" t="s">
        <v>5099</v>
      </c>
      <c r="F92" s="184" t="s">
        <v>5078</v>
      </c>
      <c r="G92" s="235" t="s">
        <v>3329</v>
      </c>
      <c r="H92" s="690" t="s">
        <v>5464</v>
      </c>
      <c r="I92" s="194">
        <v>150000</v>
      </c>
      <c r="J92" s="194">
        <v>0</v>
      </c>
      <c r="K92" s="185" t="s">
        <v>5467</v>
      </c>
      <c r="L92" s="183" t="s">
        <v>5468</v>
      </c>
      <c r="M92" s="241" t="s">
        <v>5469</v>
      </c>
      <c r="N92" s="184" t="s">
        <v>5469</v>
      </c>
      <c r="O92" s="226" t="s">
        <v>5470</v>
      </c>
    </row>
    <row r="93" spans="1:15" s="182" customFormat="1" ht="21.75" customHeight="1" x14ac:dyDescent="0.15">
      <c r="A93" s="151" t="s">
        <v>5457</v>
      </c>
      <c r="B93" s="20" t="s">
        <v>5458</v>
      </c>
      <c r="C93" s="692" t="s">
        <v>4982</v>
      </c>
      <c r="D93" s="692" t="s">
        <v>5018</v>
      </c>
      <c r="E93" s="692" t="s">
        <v>5479</v>
      </c>
      <c r="F93" s="224" t="s">
        <v>3328</v>
      </c>
      <c r="G93" s="235" t="s">
        <v>5287</v>
      </c>
      <c r="H93" s="638" t="s">
        <v>5476</v>
      </c>
      <c r="I93" s="194">
        <v>0</v>
      </c>
      <c r="J93" s="194">
        <v>18000</v>
      </c>
      <c r="K93" s="185">
        <v>0.9</v>
      </c>
      <c r="L93" s="183" t="s">
        <v>5471</v>
      </c>
      <c r="M93" s="184" t="s">
        <v>3726</v>
      </c>
      <c r="N93" s="184" t="s">
        <v>5255</v>
      </c>
      <c r="O93" s="226"/>
    </row>
    <row r="94" spans="1:15" s="182" customFormat="1" ht="21.75" customHeight="1" x14ac:dyDescent="0.15">
      <c r="A94" s="151" t="s">
        <v>5457</v>
      </c>
      <c r="B94" s="20" t="s">
        <v>5459</v>
      </c>
      <c r="C94" s="224" t="s">
        <v>3346</v>
      </c>
      <c r="D94" s="224" t="s">
        <v>3463</v>
      </c>
      <c r="E94" s="180" t="s">
        <v>3791</v>
      </c>
      <c r="F94" s="224" t="s">
        <v>3328</v>
      </c>
      <c r="G94" s="239" t="s">
        <v>5480</v>
      </c>
      <c r="H94" s="690">
        <v>21175</v>
      </c>
      <c r="I94" s="194">
        <v>0</v>
      </c>
      <c r="J94" s="194">
        <v>121200</v>
      </c>
      <c r="K94" s="185">
        <v>1</v>
      </c>
      <c r="L94" s="183" t="s">
        <v>5481</v>
      </c>
      <c r="M94" s="184" t="s">
        <v>5161</v>
      </c>
      <c r="N94" s="184" t="s">
        <v>3726</v>
      </c>
      <c r="O94" s="226"/>
    </row>
    <row r="95" spans="1:15" s="182" customFormat="1" ht="21.75" customHeight="1" x14ac:dyDescent="0.15">
      <c r="A95" s="151" t="s">
        <v>5457</v>
      </c>
      <c r="B95" s="20" t="s">
        <v>5460</v>
      </c>
      <c r="C95" s="241" t="s">
        <v>3351</v>
      </c>
      <c r="D95" s="241" t="s">
        <v>3354</v>
      </c>
      <c r="E95" s="241" t="s">
        <v>3635</v>
      </c>
      <c r="F95" s="241" t="s">
        <v>3328</v>
      </c>
      <c r="G95" s="242" t="s">
        <v>5482</v>
      </c>
      <c r="H95" s="690">
        <v>20109</v>
      </c>
      <c r="I95" s="194">
        <v>0</v>
      </c>
      <c r="J95" s="194">
        <v>90000</v>
      </c>
      <c r="K95" s="185" t="s">
        <v>5483</v>
      </c>
      <c r="L95" s="183" t="s">
        <v>5481</v>
      </c>
      <c r="M95" s="241" t="s">
        <v>5484</v>
      </c>
      <c r="N95" s="184" t="s">
        <v>5473</v>
      </c>
      <c r="O95" s="226"/>
    </row>
    <row r="96" spans="1:15" s="182" customFormat="1" ht="21.75" customHeight="1" x14ac:dyDescent="0.15">
      <c r="A96" s="151" t="s">
        <v>5457</v>
      </c>
      <c r="B96" s="20" t="s">
        <v>5460</v>
      </c>
      <c r="C96" s="241" t="s">
        <v>3351</v>
      </c>
      <c r="D96" s="241" t="s">
        <v>3354</v>
      </c>
      <c r="E96" s="241" t="s">
        <v>3635</v>
      </c>
      <c r="F96" s="241" t="s">
        <v>3328</v>
      </c>
      <c r="G96" s="242" t="s">
        <v>5482</v>
      </c>
      <c r="H96" s="690">
        <v>20109</v>
      </c>
      <c r="I96" s="194">
        <v>0</v>
      </c>
      <c r="J96" s="194">
        <v>90000</v>
      </c>
      <c r="K96" s="185" t="s">
        <v>5483</v>
      </c>
      <c r="L96" s="183" t="s">
        <v>5481</v>
      </c>
      <c r="M96" s="241" t="s">
        <v>5484</v>
      </c>
      <c r="N96" s="184" t="s">
        <v>5473</v>
      </c>
      <c r="O96" s="226"/>
    </row>
    <row r="97" spans="1:15" s="182" customFormat="1" ht="21.75" customHeight="1" x14ac:dyDescent="0.15">
      <c r="A97" s="151" t="s">
        <v>5457</v>
      </c>
      <c r="B97" s="20" t="s">
        <v>5461</v>
      </c>
      <c r="C97" s="279" t="s">
        <v>3351</v>
      </c>
      <c r="D97" s="279" t="s">
        <v>3717</v>
      </c>
      <c r="E97" s="692" t="s">
        <v>5485</v>
      </c>
      <c r="F97" s="224" t="s">
        <v>3328</v>
      </c>
      <c r="G97" s="235" t="s">
        <v>3329</v>
      </c>
      <c r="H97" s="690">
        <v>21134</v>
      </c>
      <c r="I97" s="194">
        <v>0</v>
      </c>
      <c r="J97" s="194">
        <v>211800</v>
      </c>
      <c r="K97" s="185">
        <v>0.6</v>
      </c>
      <c r="L97" s="183" t="s">
        <v>5486</v>
      </c>
      <c r="M97" s="241" t="s">
        <v>190</v>
      </c>
      <c r="N97" s="184" t="s">
        <v>5473</v>
      </c>
      <c r="O97" s="226"/>
    </row>
    <row r="98" spans="1:15" s="182" customFormat="1" ht="21" customHeight="1" x14ac:dyDescent="0.15">
      <c r="A98" s="151" t="s">
        <v>5462</v>
      </c>
      <c r="B98" s="20" t="s">
        <v>5456</v>
      </c>
      <c r="C98" s="279" t="s">
        <v>3337</v>
      </c>
      <c r="D98" s="241" t="s">
        <v>3702</v>
      </c>
      <c r="E98" s="614" t="s">
        <v>5474</v>
      </c>
      <c r="F98" s="279" t="s">
        <v>3340</v>
      </c>
      <c r="G98" s="242" t="s">
        <v>3477</v>
      </c>
      <c r="H98" s="690">
        <v>16040</v>
      </c>
      <c r="I98" s="194">
        <v>0</v>
      </c>
      <c r="J98" s="194">
        <v>70000</v>
      </c>
      <c r="K98" s="185">
        <v>0.25</v>
      </c>
      <c r="L98" s="183" t="s">
        <v>5475</v>
      </c>
      <c r="M98" s="241" t="s">
        <v>5472</v>
      </c>
      <c r="N98" s="184" t="s">
        <v>5473</v>
      </c>
      <c r="O98" s="226"/>
    </row>
    <row r="99" spans="1:15" s="182" customFormat="1" ht="21.75" customHeight="1" x14ac:dyDescent="0.15">
      <c r="A99" s="151" t="s">
        <v>5463</v>
      </c>
      <c r="B99" s="20" t="s">
        <v>5458</v>
      </c>
      <c r="C99" s="241" t="s">
        <v>3346</v>
      </c>
      <c r="D99" s="241" t="s">
        <v>3354</v>
      </c>
      <c r="E99" s="241" t="s">
        <v>5477</v>
      </c>
      <c r="F99" s="292" t="s">
        <v>3937</v>
      </c>
      <c r="G99" s="242" t="s">
        <v>5478</v>
      </c>
      <c r="H99" s="638">
        <v>18172</v>
      </c>
      <c r="I99" s="194">
        <v>0</v>
      </c>
      <c r="J99" s="194">
        <v>466553.13</v>
      </c>
      <c r="K99" s="185">
        <v>0.9</v>
      </c>
      <c r="L99" s="183" t="s">
        <v>5471</v>
      </c>
      <c r="M99" s="615" t="s">
        <v>3725</v>
      </c>
      <c r="N99" s="596" t="s">
        <v>3726</v>
      </c>
      <c r="O99" s="226"/>
    </row>
    <row r="100" spans="1:15" s="182" customFormat="1" ht="21.75" customHeight="1" x14ac:dyDescent="0.15">
      <c r="A100" s="151" t="s">
        <v>5463</v>
      </c>
      <c r="B100" s="20" t="s">
        <v>5488</v>
      </c>
      <c r="C100" s="241" t="s">
        <v>3346</v>
      </c>
      <c r="D100" s="241" t="s">
        <v>3439</v>
      </c>
      <c r="E100" s="241" t="s">
        <v>3989</v>
      </c>
      <c r="F100" s="292" t="s">
        <v>3328</v>
      </c>
      <c r="G100" s="242" t="s">
        <v>3349</v>
      </c>
      <c r="H100" s="638">
        <v>20133</v>
      </c>
      <c r="I100" s="194">
        <v>0</v>
      </c>
      <c r="J100" s="194" t="s">
        <v>5487</v>
      </c>
      <c r="K100" s="185">
        <v>1</v>
      </c>
      <c r="L100" s="183" t="s">
        <v>4706</v>
      </c>
      <c r="M100" s="615" t="s">
        <v>3433</v>
      </c>
      <c r="N100" s="615" t="s">
        <v>3433</v>
      </c>
      <c r="O100" s="226"/>
    </row>
    <row r="101" spans="1:15" s="182" customFormat="1" ht="21.75" customHeight="1" x14ac:dyDescent="0.15">
      <c r="A101" s="151" t="s">
        <v>5489</v>
      </c>
      <c r="B101" s="20" t="s">
        <v>5456</v>
      </c>
      <c r="C101" s="236" t="s">
        <v>3337</v>
      </c>
      <c r="D101" s="602" t="s">
        <v>3702</v>
      </c>
      <c r="E101" s="236" t="s">
        <v>4589</v>
      </c>
      <c r="F101" s="241" t="s">
        <v>4361</v>
      </c>
      <c r="G101" s="242" t="s">
        <v>5490</v>
      </c>
      <c r="H101" s="638">
        <v>20067</v>
      </c>
      <c r="I101" s="194">
        <v>0</v>
      </c>
      <c r="J101" s="194">
        <v>48750</v>
      </c>
      <c r="K101" s="185">
        <v>1</v>
      </c>
      <c r="L101" s="183" t="s">
        <v>4707</v>
      </c>
      <c r="M101" s="241" t="s">
        <v>190</v>
      </c>
      <c r="N101" s="184" t="s">
        <v>1784</v>
      </c>
      <c r="O101" s="226"/>
    </row>
    <row r="102" spans="1:15" s="182" customFormat="1" ht="21.75" customHeight="1" x14ac:dyDescent="0.15">
      <c r="A102" s="151" t="s">
        <v>5491</v>
      </c>
      <c r="B102" s="20" t="s">
        <v>5492</v>
      </c>
      <c r="C102" s="241" t="s">
        <v>3346</v>
      </c>
      <c r="D102" s="241" t="s">
        <v>3439</v>
      </c>
      <c r="E102" s="241" t="s">
        <v>4194</v>
      </c>
      <c r="F102" s="241" t="s">
        <v>3340</v>
      </c>
      <c r="G102" s="242" t="s">
        <v>3349</v>
      </c>
      <c r="H102" s="638">
        <v>20132</v>
      </c>
      <c r="I102" s="194">
        <v>0</v>
      </c>
      <c r="J102" s="194">
        <v>96000</v>
      </c>
      <c r="K102" s="185">
        <v>1</v>
      </c>
      <c r="L102" s="183" t="s">
        <v>285</v>
      </c>
      <c r="M102" s="615" t="s">
        <v>3433</v>
      </c>
      <c r="N102" s="615" t="s">
        <v>3433</v>
      </c>
      <c r="O102" s="226"/>
    </row>
    <row r="103" spans="1:15" s="182" customFormat="1" ht="21.75" customHeight="1" x14ac:dyDescent="0.15">
      <c r="A103" s="151" t="s">
        <v>5493</v>
      </c>
      <c r="B103" s="20" t="s">
        <v>4789</v>
      </c>
      <c r="C103" s="241" t="s">
        <v>3346</v>
      </c>
      <c r="D103" s="241" t="s">
        <v>3347</v>
      </c>
      <c r="E103" s="241" t="s">
        <v>4818</v>
      </c>
      <c r="F103" s="241" t="s">
        <v>3328</v>
      </c>
      <c r="G103" s="242" t="s">
        <v>3378</v>
      </c>
      <c r="H103" s="638" t="s">
        <v>5517</v>
      </c>
      <c r="I103" s="194">
        <v>0</v>
      </c>
      <c r="J103" s="194">
        <v>5000</v>
      </c>
      <c r="K103" s="185" t="s">
        <v>5521</v>
      </c>
      <c r="L103" s="183" t="s">
        <v>5519</v>
      </c>
      <c r="M103" s="183" t="s">
        <v>5520</v>
      </c>
      <c r="N103" s="183" t="s">
        <v>5520</v>
      </c>
      <c r="O103" s="226"/>
    </row>
    <row r="104" spans="1:15" s="182" customFormat="1" ht="21.75" customHeight="1" x14ac:dyDescent="0.15">
      <c r="A104" s="151" t="s">
        <v>5493</v>
      </c>
      <c r="B104" s="20" t="s">
        <v>5113</v>
      </c>
      <c r="C104" s="241" t="s">
        <v>3346</v>
      </c>
      <c r="D104" s="241" t="s">
        <v>3360</v>
      </c>
      <c r="E104" s="599" t="s">
        <v>5119</v>
      </c>
      <c r="F104" s="599" t="s">
        <v>3355</v>
      </c>
      <c r="G104" s="240" t="s">
        <v>3356</v>
      </c>
      <c r="H104" s="638">
        <v>17006</v>
      </c>
      <c r="I104" s="194">
        <v>0</v>
      </c>
      <c r="J104" s="194">
        <v>24500</v>
      </c>
      <c r="K104" s="185">
        <v>0.1</v>
      </c>
      <c r="L104" s="183" t="s">
        <v>5494</v>
      </c>
      <c r="M104" s="615" t="s">
        <v>3433</v>
      </c>
      <c r="N104" s="615" t="s">
        <v>3433</v>
      </c>
      <c r="O104" s="226"/>
    </row>
    <row r="105" spans="1:15" s="182" customFormat="1" ht="21.75" customHeight="1" x14ac:dyDescent="0.15">
      <c r="A105" s="151" t="s">
        <v>5495</v>
      </c>
      <c r="B105" s="20" t="s">
        <v>4839</v>
      </c>
      <c r="C105" s="241" t="s">
        <v>3363</v>
      </c>
      <c r="D105" s="241" t="s">
        <v>3354</v>
      </c>
      <c r="E105" s="241" t="s">
        <v>4057</v>
      </c>
      <c r="F105" s="241" t="s">
        <v>3328</v>
      </c>
      <c r="G105" s="242" t="s">
        <v>4375</v>
      </c>
      <c r="H105" s="638">
        <v>21002</v>
      </c>
      <c r="I105" s="194">
        <v>0</v>
      </c>
      <c r="J105" s="194">
        <v>185000</v>
      </c>
      <c r="K105" s="185">
        <v>1</v>
      </c>
      <c r="L105" s="183" t="s">
        <v>4707</v>
      </c>
      <c r="M105" s="615" t="s">
        <v>3957</v>
      </c>
      <c r="N105" s="615" t="s">
        <v>3957</v>
      </c>
      <c r="O105" s="226"/>
    </row>
    <row r="106" spans="1:15" s="182" customFormat="1" ht="21.75" customHeight="1" x14ac:dyDescent="0.15">
      <c r="A106" s="151" t="s">
        <v>5495</v>
      </c>
      <c r="B106" s="20" t="s">
        <v>628</v>
      </c>
      <c r="C106" s="224" t="s">
        <v>3346</v>
      </c>
      <c r="D106" s="224" t="s">
        <v>3463</v>
      </c>
      <c r="E106" s="225" t="s">
        <v>2953</v>
      </c>
      <c r="F106" s="224" t="s">
        <v>3328</v>
      </c>
      <c r="G106" s="239" t="s">
        <v>5480</v>
      </c>
      <c r="H106" s="638" t="s">
        <v>5496</v>
      </c>
      <c r="I106" s="194">
        <v>0</v>
      </c>
      <c r="J106" s="194">
        <v>121200</v>
      </c>
      <c r="K106" s="185">
        <v>1</v>
      </c>
      <c r="L106" s="183" t="s">
        <v>4707</v>
      </c>
      <c r="M106" s="184" t="s">
        <v>5161</v>
      </c>
      <c r="N106" s="184" t="s">
        <v>3726</v>
      </c>
      <c r="O106" s="226"/>
    </row>
    <row r="107" spans="1:15" s="182" customFormat="1" ht="21.75" customHeight="1" x14ac:dyDescent="0.15">
      <c r="A107" s="151" t="s">
        <v>5495</v>
      </c>
      <c r="B107" s="20" t="s">
        <v>628</v>
      </c>
      <c r="C107" s="224" t="s">
        <v>3346</v>
      </c>
      <c r="D107" s="224" t="s">
        <v>3463</v>
      </c>
      <c r="E107" s="225" t="s">
        <v>2954</v>
      </c>
      <c r="F107" s="224" t="s">
        <v>3328</v>
      </c>
      <c r="G107" s="239" t="s">
        <v>5480</v>
      </c>
      <c r="H107" s="638" t="s">
        <v>5497</v>
      </c>
      <c r="I107" s="194">
        <v>0</v>
      </c>
      <c r="J107" s="194">
        <v>121200</v>
      </c>
      <c r="K107" s="185">
        <v>1</v>
      </c>
      <c r="L107" s="183" t="s">
        <v>4707</v>
      </c>
      <c r="M107" s="184" t="s">
        <v>5161</v>
      </c>
      <c r="N107" s="184" t="s">
        <v>3726</v>
      </c>
      <c r="O107" s="226"/>
    </row>
    <row r="108" spans="1:15" s="182" customFormat="1" ht="21.75" customHeight="1" x14ac:dyDescent="0.15">
      <c r="A108" s="151" t="s">
        <v>5495</v>
      </c>
      <c r="B108" s="20" t="s">
        <v>628</v>
      </c>
      <c r="C108" s="224" t="s">
        <v>3346</v>
      </c>
      <c r="D108" s="224" t="s">
        <v>3463</v>
      </c>
      <c r="E108" s="225" t="s">
        <v>2955</v>
      </c>
      <c r="F108" s="224" t="s">
        <v>3328</v>
      </c>
      <c r="G108" s="239" t="s">
        <v>5480</v>
      </c>
      <c r="H108" s="638" t="s">
        <v>5498</v>
      </c>
      <c r="I108" s="194">
        <v>0</v>
      </c>
      <c r="J108" s="194">
        <v>121200</v>
      </c>
      <c r="K108" s="185">
        <v>1</v>
      </c>
      <c r="L108" s="183" t="s">
        <v>4707</v>
      </c>
      <c r="M108" s="184" t="s">
        <v>5161</v>
      </c>
      <c r="N108" s="184" t="s">
        <v>3726</v>
      </c>
      <c r="O108" s="226"/>
    </row>
    <row r="109" spans="1:15" s="182" customFormat="1" ht="21.75" customHeight="1" x14ac:dyDescent="0.15">
      <c r="A109" s="151" t="s">
        <v>5495</v>
      </c>
      <c r="B109" s="20" t="s">
        <v>628</v>
      </c>
      <c r="C109" s="224" t="s">
        <v>3346</v>
      </c>
      <c r="D109" s="224" t="s">
        <v>3463</v>
      </c>
      <c r="E109" s="225" t="s">
        <v>2956</v>
      </c>
      <c r="F109" s="224" t="s">
        <v>3328</v>
      </c>
      <c r="G109" s="239" t="s">
        <v>5480</v>
      </c>
      <c r="H109" s="638" t="s">
        <v>5499</v>
      </c>
      <c r="I109" s="194">
        <v>0</v>
      </c>
      <c r="J109" s="194">
        <v>121200</v>
      </c>
      <c r="K109" s="185">
        <v>1</v>
      </c>
      <c r="L109" s="183" t="s">
        <v>4707</v>
      </c>
      <c r="M109" s="184" t="s">
        <v>5161</v>
      </c>
      <c r="N109" s="184" t="s">
        <v>3726</v>
      </c>
      <c r="O109" s="226"/>
    </row>
    <row r="110" spans="1:15" s="182" customFormat="1" ht="21.75" customHeight="1" x14ac:dyDescent="0.15">
      <c r="A110" s="151" t="s">
        <v>5495</v>
      </c>
      <c r="B110" s="20" t="s">
        <v>5500</v>
      </c>
      <c r="C110" s="241" t="s">
        <v>3363</v>
      </c>
      <c r="D110" s="241" t="s">
        <v>3463</v>
      </c>
      <c r="E110" s="241" t="s">
        <v>4062</v>
      </c>
      <c r="F110" s="292" t="s">
        <v>3328</v>
      </c>
      <c r="G110" s="242" t="s">
        <v>3829</v>
      </c>
      <c r="H110" s="638">
        <v>19077</v>
      </c>
      <c r="I110" s="194">
        <v>0</v>
      </c>
      <c r="J110" s="194">
        <v>120000</v>
      </c>
      <c r="K110" s="185" t="s">
        <v>5501</v>
      </c>
      <c r="L110" s="183" t="s">
        <v>4707</v>
      </c>
      <c r="M110" s="184" t="s">
        <v>3725</v>
      </c>
      <c r="N110" s="184" t="s">
        <v>3957</v>
      </c>
      <c r="O110" s="226"/>
    </row>
    <row r="111" spans="1:15" s="182" customFormat="1" ht="21.75" customHeight="1" x14ac:dyDescent="0.15">
      <c r="A111" s="151" t="s">
        <v>5502</v>
      </c>
      <c r="B111" s="20" t="s">
        <v>631</v>
      </c>
      <c r="C111" s="693" t="s">
        <v>4982</v>
      </c>
      <c r="D111" s="184" t="s">
        <v>5422</v>
      </c>
      <c r="E111" s="693" t="s">
        <v>5506</v>
      </c>
      <c r="F111" s="184" t="s">
        <v>5078</v>
      </c>
      <c r="G111" s="235" t="s">
        <v>5249</v>
      </c>
      <c r="H111" s="638" t="s">
        <v>5504</v>
      </c>
      <c r="I111" s="194">
        <v>0</v>
      </c>
      <c r="J111" s="194">
        <v>43600</v>
      </c>
      <c r="K111" s="185" t="s">
        <v>5511</v>
      </c>
      <c r="L111" s="183" t="s">
        <v>5510</v>
      </c>
      <c r="M111" s="184" t="s">
        <v>3433</v>
      </c>
      <c r="N111" s="184" t="s">
        <v>3433</v>
      </c>
      <c r="O111" s="226"/>
    </row>
    <row r="112" spans="1:15" s="182" customFormat="1" ht="21.75" customHeight="1" x14ac:dyDescent="0.15">
      <c r="A112" s="151" t="s">
        <v>5502</v>
      </c>
      <c r="B112" s="20" t="s">
        <v>631</v>
      </c>
      <c r="C112" s="184" t="s">
        <v>4982</v>
      </c>
      <c r="D112" s="184" t="s">
        <v>5422</v>
      </c>
      <c r="E112" s="184" t="s">
        <v>879</v>
      </c>
      <c r="F112" s="184" t="s">
        <v>4944</v>
      </c>
      <c r="G112" s="235" t="s">
        <v>5507</v>
      </c>
      <c r="H112" s="638" t="s">
        <v>5505</v>
      </c>
      <c r="I112" s="194">
        <v>0</v>
      </c>
      <c r="J112" s="194">
        <v>7000</v>
      </c>
      <c r="K112" s="185">
        <v>1</v>
      </c>
      <c r="L112" s="183" t="s">
        <v>5510</v>
      </c>
      <c r="M112" s="184" t="s">
        <v>3433</v>
      </c>
      <c r="N112" s="184" t="s">
        <v>3433</v>
      </c>
      <c r="O112" s="226"/>
    </row>
    <row r="113" spans="1:15" s="182" customFormat="1" ht="21.75" customHeight="1" x14ac:dyDescent="0.15">
      <c r="A113" s="151" t="s">
        <v>5502</v>
      </c>
      <c r="B113" s="20" t="s">
        <v>4685</v>
      </c>
      <c r="C113" s="701" t="s">
        <v>4982</v>
      </c>
      <c r="D113" s="701" t="s">
        <v>5018</v>
      </c>
      <c r="E113" s="701" t="s">
        <v>664</v>
      </c>
      <c r="F113" s="184" t="s">
        <v>5036</v>
      </c>
      <c r="G113" s="235" t="s">
        <v>4861</v>
      </c>
      <c r="H113" s="695">
        <v>21129</v>
      </c>
      <c r="I113" s="194">
        <v>0</v>
      </c>
      <c r="J113" s="194">
        <v>185000</v>
      </c>
      <c r="K113" s="185">
        <v>1</v>
      </c>
      <c r="L113" s="183" t="s">
        <v>5524</v>
      </c>
      <c r="M113" s="183" t="s">
        <v>5525</v>
      </c>
      <c r="N113" s="183" t="s">
        <v>5525</v>
      </c>
      <c r="O113" s="695"/>
    </row>
    <row r="114" spans="1:15" s="182" customFormat="1" ht="21.75" customHeight="1" x14ac:dyDescent="0.15">
      <c r="A114" s="151" t="s">
        <v>5502</v>
      </c>
      <c r="B114" s="20" t="s">
        <v>970</v>
      </c>
      <c r="C114" s="224" t="s">
        <v>3346</v>
      </c>
      <c r="D114" s="224" t="s">
        <v>3463</v>
      </c>
      <c r="E114" s="180" t="s">
        <v>3800</v>
      </c>
      <c r="F114" s="224" t="s">
        <v>3328</v>
      </c>
      <c r="G114" s="239" t="s">
        <v>5480</v>
      </c>
      <c r="H114" s="638">
        <v>21181</v>
      </c>
      <c r="I114" s="194">
        <v>0</v>
      </c>
      <c r="J114" s="194">
        <v>121200</v>
      </c>
      <c r="K114" s="185">
        <v>1</v>
      </c>
      <c r="L114" s="183" t="s">
        <v>4707</v>
      </c>
      <c r="M114" s="184" t="s">
        <v>5161</v>
      </c>
      <c r="N114" s="184" t="s">
        <v>3726</v>
      </c>
      <c r="O114" s="226"/>
    </row>
    <row r="115" spans="1:15" s="182" customFormat="1" ht="21.75" customHeight="1" x14ac:dyDescent="0.15">
      <c r="A115" s="151" t="s">
        <v>5502</v>
      </c>
      <c r="B115" s="20" t="s">
        <v>1066</v>
      </c>
      <c r="C115" s="224" t="s">
        <v>3346</v>
      </c>
      <c r="D115" s="224" t="s">
        <v>3463</v>
      </c>
      <c r="E115" s="180" t="s">
        <v>3808</v>
      </c>
      <c r="F115" s="224" t="s">
        <v>3328</v>
      </c>
      <c r="G115" s="239" t="s">
        <v>5480</v>
      </c>
      <c r="H115" s="638">
        <v>21176</v>
      </c>
      <c r="I115" s="194">
        <v>0</v>
      </c>
      <c r="J115" s="194">
        <v>121200</v>
      </c>
      <c r="K115" s="185">
        <v>1</v>
      </c>
      <c r="L115" s="183" t="s">
        <v>4707</v>
      </c>
      <c r="M115" s="184" t="s">
        <v>5161</v>
      </c>
      <c r="N115" s="184" t="s">
        <v>3726</v>
      </c>
      <c r="O115" s="226"/>
    </row>
    <row r="116" spans="1:15" s="182" customFormat="1" ht="21.75" customHeight="1" x14ac:dyDescent="0.15">
      <c r="A116" s="151" t="s">
        <v>5502</v>
      </c>
      <c r="B116" s="20" t="s">
        <v>5503</v>
      </c>
      <c r="C116" s="224" t="s">
        <v>3346</v>
      </c>
      <c r="D116" s="224" t="s">
        <v>3463</v>
      </c>
      <c r="E116" s="180" t="s">
        <v>964</v>
      </c>
      <c r="F116" s="224" t="s">
        <v>3328</v>
      </c>
      <c r="G116" s="239" t="s">
        <v>5480</v>
      </c>
      <c r="H116" s="638">
        <v>21174</v>
      </c>
      <c r="I116" s="194">
        <v>0</v>
      </c>
      <c r="J116" s="194">
        <v>121200</v>
      </c>
      <c r="K116" s="185">
        <v>1</v>
      </c>
      <c r="L116" s="183" t="s">
        <v>4707</v>
      </c>
      <c r="M116" s="184" t="s">
        <v>5161</v>
      </c>
      <c r="N116" s="184" t="s">
        <v>3726</v>
      </c>
      <c r="O116" s="226"/>
    </row>
    <row r="117" spans="1:15" s="182" customFormat="1" ht="21.75" customHeight="1" x14ac:dyDescent="0.15">
      <c r="A117" s="151" t="s">
        <v>5502</v>
      </c>
      <c r="B117" s="20" t="s">
        <v>1033</v>
      </c>
      <c r="C117" s="224" t="s">
        <v>3346</v>
      </c>
      <c r="D117" s="224" t="s">
        <v>3463</v>
      </c>
      <c r="E117" s="180" t="s">
        <v>3799</v>
      </c>
      <c r="F117" s="224" t="s">
        <v>3328</v>
      </c>
      <c r="G117" s="239" t="s">
        <v>5480</v>
      </c>
      <c r="H117" s="638">
        <v>21180</v>
      </c>
      <c r="I117" s="194">
        <v>0</v>
      </c>
      <c r="J117" s="194">
        <v>121200</v>
      </c>
      <c r="K117" s="185">
        <v>1</v>
      </c>
      <c r="L117" s="183" t="s">
        <v>4707</v>
      </c>
      <c r="M117" s="184" t="s">
        <v>5161</v>
      </c>
      <c r="N117" s="184" t="s">
        <v>3726</v>
      </c>
      <c r="O117" s="226"/>
    </row>
    <row r="118" spans="1:15" s="182" customFormat="1" ht="21.75" customHeight="1" x14ac:dyDescent="0.15">
      <c r="A118" s="151" t="s">
        <v>5502</v>
      </c>
      <c r="B118" s="20" t="s">
        <v>968</v>
      </c>
      <c r="C118" s="224" t="s">
        <v>3346</v>
      </c>
      <c r="D118" s="224" t="s">
        <v>3463</v>
      </c>
      <c r="E118" s="180" t="s">
        <v>3809</v>
      </c>
      <c r="F118" s="224" t="s">
        <v>3328</v>
      </c>
      <c r="G118" s="239" t="s">
        <v>5480</v>
      </c>
      <c r="H118" s="638">
        <v>21172</v>
      </c>
      <c r="I118" s="194">
        <v>0</v>
      </c>
      <c r="J118" s="194">
        <v>121200</v>
      </c>
      <c r="K118" s="185">
        <v>1</v>
      </c>
      <c r="L118" s="183" t="s">
        <v>4707</v>
      </c>
      <c r="M118" s="184" t="s">
        <v>5161</v>
      </c>
      <c r="N118" s="184" t="s">
        <v>3726</v>
      </c>
      <c r="O118" s="226"/>
    </row>
    <row r="119" spans="1:15" s="182" customFormat="1" ht="21.75" customHeight="1" x14ac:dyDescent="0.15">
      <c r="A119" s="151" t="s">
        <v>5502</v>
      </c>
      <c r="B119" s="20" t="s">
        <v>5508</v>
      </c>
      <c r="C119" s="224" t="s">
        <v>3346</v>
      </c>
      <c r="D119" s="224" t="s">
        <v>3463</v>
      </c>
      <c r="E119" s="180" t="s">
        <v>3806</v>
      </c>
      <c r="F119" s="224" t="s">
        <v>3328</v>
      </c>
      <c r="G119" s="239" t="s">
        <v>5480</v>
      </c>
      <c r="H119" s="638">
        <v>21171</v>
      </c>
      <c r="I119" s="194">
        <v>0</v>
      </c>
      <c r="J119" s="194">
        <v>121200</v>
      </c>
      <c r="K119" s="185">
        <v>1</v>
      </c>
      <c r="L119" s="183" t="s">
        <v>4707</v>
      </c>
      <c r="M119" s="184" t="s">
        <v>5161</v>
      </c>
      <c r="N119" s="184" t="s">
        <v>3726</v>
      </c>
      <c r="O119" s="226"/>
    </row>
    <row r="120" spans="1:15" s="182" customFormat="1" ht="21.75" customHeight="1" x14ac:dyDescent="0.15">
      <c r="A120" s="151" t="s">
        <v>5502</v>
      </c>
      <c r="B120" s="20" t="s">
        <v>966</v>
      </c>
      <c r="C120" s="224" t="s">
        <v>3346</v>
      </c>
      <c r="D120" s="224" t="s">
        <v>3463</v>
      </c>
      <c r="E120" s="180" t="s">
        <v>967</v>
      </c>
      <c r="F120" s="224" t="s">
        <v>3328</v>
      </c>
      <c r="G120" s="239" t="s">
        <v>5480</v>
      </c>
      <c r="H120" s="694">
        <v>21178</v>
      </c>
      <c r="I120" s="194">
        <v>0</v>
      </c>
      <c r="J120" s="194">
        <v>121200</v>
      </c>
      <c r="K120" s="185">
        <v>1</v>
      </c>
      <c r="L120" s="183" t="s">
        <v>4707</v>
      </c>
      <c r="M120" s="184" t="s">
        <v>5161</v>
      </c>
      <c r="N120" s="184" t="s">
        <v>3726</v>
      </c>
      <c r="O120" s="694"/>
    </row>
    <row r="121" spans="1:15" s="182" customFormat="1" ht="21.75" customHeight="1" x14ac:dyDescent="0.15">
      <c r="A121" s="151" t="s">
        <v>5502</v>
      </c>
      <c r="B121" s="20" t="s">
        <v>5509</v>
      </c>
      <c r="C121" s="224" t="s">
        <v>3346</v>
      </c>
      <c r="D121" s="224" t="s">
        <v>3463</v>
      </c>
      <c r="E121" s="180" t="s">
        <v>3789</v>
      </c>
      <c r="F121" s="224" t="s">
        <v>3328</v>
      </c>
      <c r="G121" s="239" t="s">
        <v>5480</v>
      </c>
      <c r="H121" s="694">
        <v>21177</v>
      </c>
      <c r="I121" s="194">
        <v>0</v>
      </c>
      <c r="J121" s="194">
        <v>121200</v>
      </c>
      <c r="K121" s="185">
        <v>1</v>
      </c>
      <c r="L121" s="183" t="s">
        <v>4707</v>
      </c>
      <c r="M121" s="184" t="s">
        <v>5161</v>
      </c>
      <c r="N121" s="184" t="s">
        <v>3726</v>
      </c>
      <c r="O121" s="694"/>
    </row>
    <row r="122" spans="1:15" s="182" customFormat="1" ht="21.75" customHeight="1" x14ac:dyDescent="0.15">
      <c r="A122" s="151" t="s">
        <v>5502</v>
      </c>
      <c r="B122" s="20" t="s">
        <v>630</v>
      </c>
      <c r="C122" s="224" t="s">
        <v>3346</v>
      </c>
      <c r="D122" s="224" t="s">
        <v>3463</v>
      </c>
      <c r="E122" s="180" t="s">
        <v>3807</v>
      </c>
      <c r="F122" s="224" t="s">
        <v>3328</v>
      </c>
      <c r="G122" s="239" t="s">
        <v>5480</v>
      </c>
      <c r="H122" s="694">
        <v>21170</v>
      </c>
      <c r="I122" s="194">
        <v>0</v>
      </c>
      <c r="J122" s="194">
        <v>121200</v>
      </c>
      <c r="K122" s="185">
        <v>1</v>
      </c>
      <c r="L122" s="183" t="s">
        <v>4707</v>
      </c>
      <c r="M122" s="184" t="s">
        <v>5161</v>
      </c>
      <c r="N122" s="184" t="s">
        <v>3726</v>
      </c>
      <c r="O122" s="694"/>
    </row>
    <row r="123" spans="1:15" s="182" customFormat="1" ht="21.75" customHeight="1" x14ac:dyDescent="0.15">
      <c r="A123" s="151" t="s">
        <v>5502</v>
      </c>
      <c r="B123" s="20" t="s">
        <v>5141</v>
      </c>
      <c r="C123" s="224" t="s">
        <v>3346</v>
      </c>
      <c r="D123" s="224" t="s">
        <v>3463</v>
      </c>
      <c r="E123" s="30" t="s">
        <v>3793</v>
      </c>
      <c r="F123" s="224" t="s">
        <v>3328</v>
      </c>
      <c r="G123" s="239" t="s">
        <v>5480</v>
      </c>
      <c r="H123" s="696">
        <v>21182</v>
      </c>
      <c r="I123" s="194">
        <v>0</v>
      </c>
      <c r="J123" s="194">
        <v>121200</v>
      </c>
      <c r="K123" s="185">
        <v>1</v>
      </c>
      <c r="L123" s="183" t="s">
        <v>4707</v>
      </c>
      <c r="M123" s="184" t="s">
        <v>5161</v>
      </c>
      <c r="N123" s="184" t="s">
        <v>3726</v>
      </c>
      <c r="O123" s="696"/>
    </row>
    <row r="124" spans="1:15" s="182" customFormat="1" ht="21.75" customHeight="1" x14ac:dyDescent="0.15">
      <c r="A124" s="151" t="s">
        <v>5502</v>
      </c>
      <c r="B124" s="20" t="s">
        <v>5512</v>
      </c>
      <c r="C124" s="224" t="s">
        <v>3346</v>
      </c>
      <c r="D124" s="224" t="s">
        <v>3463</v>
      </c>
      <c r="E124" s="180" t="s">
        <v>3792</v>
      </c>
      <c r="F124" s="224" t="s">
        <v>3328</v>
      </c>
      <c r="G124" s="239" t="s">
        <v>5480</v>
      </c>
      <c r="H124" s="696">
        <v>21169</v>
      </c>
      <c r="I124" s="194">
        <v>0</v>
      </c>
      <c r="J124" s="194">
        <v>121200</v>
      </c>
      <c r="K124" s="185">
        <v>1</v>
      </c>
      <c r="L124" s="183" t="s">
        <v>4707</v>
      </c>
      <c r="M124" s="184" t="s">
        <v>5161</v>
      </c>
      <c r="N124" s="184" t="s">
        <v>3726</v>
      </c>
      <c r="O124" s="696"/>
    </row>
    <row r="125" spans="1:15" s="182" customFormat="1" ht="21.75" customHeight="1" x14ac:dyDescent="0.15">
      <c r="A125" s="151" t="s">
        <v>5502</v>
      </c>
      <c r="B125" s="20" t="s">
        <v>5513</v>
      </c>
      <c r="C125" s="224" t="s">
        <v>3346</v>
      </c>
      <c r="D125" s="224" t="s">
        <v>3463</v>
      </c>
      <c r="E125" s="180" t="s">
        <v>3464</v>
      </c>
      <c r="F125" s="224" t="s">
        <v>3328</v>
      </c>
      <c r="G125" s="239" t="s">
        <v>5480</v>
      </c>
      <c r="H125" s="696">
        <v>21173</v>
      </c>
      <c r="I125" s="194">
        <v>0</v>
      </c>
      <c r="J125" s="194">
        <v>121200</v>
      </c>
      <c r="K125" s="185">
        <v>1</v>
      </c>
      <c r="L125" s="183" t="s">
        <v>4707</v>
      </c>
      <c r="M125" s="184" t="s">
        <v>5161</v>
      </c>
      <c r="N125" s="184" t="s">
        <v>3726</v>
      </c>
      <c r="O125" s="696"/>
    </row>
    <row r="126" spans="1:15" s="182" customFormat="1" ht="21.75" customHeight="1" x14ac:dyDescent="0.15">
      <c r="A126" s="151" t="s">
        <v>5502</v>
      </c>
      <c r="B126" s="20" t="s">
        <v>1054</v>
      </c>
      <c r="C126" s="224" t="s">
        <v>3346</v>
      </c>
      <c r="D126" s="224" t="s">
        <v>3463</v>
      </c>
      <c r="E126" s="180" t="s">
        <v>3798</v>
      </c>
      <c r="F126" s="224" t="s">
        <v>3328</v>
      </c>
      <c r="G126" s="239" t="s">
        <v>5480</v>
      </c>
      <c r="H126" s="638">
        <v>21179</v>
      </c>
      <c r="I126" s="194">
        <v>0</v>
      </c>
      <c r="J126" s="194">
        <v>121200</v>
      </c>
      <c r="K126" s="185">
        <v>1</v>
      </c>
      <c r="L126" s="183" t="s">
        <v>4707</v>
      </c>
      <c r="M126" s="184" t="s">
        <v>5161</v>
      </c>
      <c r="N126" s="184" t="s">
        <v>3726</v>
      </c>
      <c r="O126" s="697"/>
    </row>
    <row r="127" spans="1:15" s="182" customFormat="1" ht="21.75" customHeight="1" x14ac:dyDescent="0.15">
      <c r="A127" s="151" t="s">
        <v>5514</v>
      </c>
      <c r="B127" s="20" t="s">
        <v>5515</v>
      </c>
      <c r="C127" s="184" t="s">
        <v>4982</v>
      </c>
      <c r="D127" s="184" t="s">
        <v>5018</v>
      </c>
      <c r="E127" s="184" t="s">
        <v>5529</v>
      </c>
      <c r="F127" s="184" t="s">
        <v>5198</v>
      </c>
      <c r="G127" s="235" t="s">
        <v>5530</v>
      </c>
      <c r="H127" s="698">
        <v>21091</v>
      </c>
      <c r="I127" s="194">
        <v>0</v>
      </c>
      <c r="J127" s="194">
        <v>400000</v>
      </c>
      <c r="K127" s="185" t="s">
        <v>5531</v>
      </c>
      <c r="L127" s="183" t="s">
        <v>5532</v>
      </c>
      <c r="M127" s="183" t="s">
        <v>5533</v>
      </c>
      <c r="N127" s="183" t="s">
        <v>5533</v>
      </c>
      <c r="O127" s="698"/>
    </row>
    <row r="128" spans="1:15" s="182" customFormat="1" ht="21.75" customHeight="1" x14ac:dyDescent="0.15">
      <c r="A128" s="151" t="s">
        <v>5516</v>
      </c>
      <c r="B128" s="20" t="s">
        <v>553</v>
      </c>
      <c r="C128" s="224" t="s">
        <v>3346</v>
      </c>
      <c r="D128" s="224" t="s">
        <v>3463</v>
      </c>
      <c r="E128" s="180" t="s">
        <v>934</v>
      </c>
      <c r="F128" s="224" t="s">
        <v>3328</v>
      </c>
      <c r="G128" s="239" t="s">
        <v>5480</v>
      </c>
      <c r="H128" s="699">
        <v>21167</v>
      </c>
      <c r="I128" s="194">
        <v>0</v>
      </c>
      <c r="J128" s="194">
        <v>121200</v>
      </c>
      <c r="K128" s="185">
        <v>1</v>
      </c>
      <c r="L128" s="183" t="s">
        <v>4707</v>
      </c>
      <c r="M128" s="184" t="s">
        <v>5161</v>
      </c>
      <c r="N128" s="184" t="s">
        <v>3726</v>
      </c>
      <c r="O128" s="698"/>
    </row>
    <row r="129" spans="1:15" s="182" customFormat="1" ht="21.75" customHeight="1" x14ac:dyDescent="0.15">
      <c r="A129" s="151" t="s">
        <v>5516</v>
      </c>
      <c r="B129" s="20" t="s">
        <v>4678</v>
      </c>
      <c r="C129" s="241" t="s">
        <v>3337</v>
      </c>
      <c r="D129" s="241" t="s">
        <v>3702</v>
      </c>
      <c r="E129" s="614" t="s">
        <v>5526</v>
      </c>
      <c r="F129" s="247" t="s">
        <v>3328</v>
      </c>
      <c r="G129" s="248" t="s">
        <v>3529</v>
      </c>
      <c r="H129" s="698">
        <v>14063</v>
      </c>
      <c r="I129" s="194">
        <v>0</v>
      </c>
      <c r="J129" s="194">
        <v>72500</v>
      </c>
      <c r="K129" s="185">
        <v>0.25</v>
      </c>
      <c r="L129" s="183" t="s">
        <v>5527</v>
      </c>
      <c r="M129" s="183" t="s">
        <v>5528</v>
      </c>
      <c r="N129" s="183" t="s">
        <v>5525</v>
      </c>
      <c r="O129" s="698"/>
    </row>
    <row r="130" spans="1:15" s="182" customFormat="1" ht="21.75" customHeight="1" x14ac:dyDescent="0.15">
      <c r="A130" s="151" t="s">
        <v>5516</v>
      </c>
      <c r="B130" s="20" t="s">
        <v>4789</v>
      </c>
      <c r="C130" s="241" t="s">
        <v>3346</v>
      </c>
      <c r="D130" s="241" t="s">
        <v>3347</v>
      </c>
      <c r="E130" s="241" t="s">
        <v>4818</v>
      </c>
      <c r="F130" s="241" t="s">
        <v>3328</v>
      </c>
      <c r="G130" s="242" t="s">
        <v>3378</v>
      </c>
      <c r="H130" s="638" t="s">
        <v>5517</v>
      </c>
      <c r="I130" s="194">
        <v>38000</v>
      </c>
      <c r="J130" s="194">
        <v>0</v>
      </c>
      <c r="K130" s="185" t="s">
        <v>5522</v>
      </c>
      <c r="L130" s="183" t="s">
        <v>5519</v>
      </c>
      <c r="M130" s="183" t="s">
        <v>5520</v>
      </c>
      <c r="N130" s="183" t="s">
        <v>5520</v>
      </c>
      <c r="O130" s="696" t="s">
        <v>5523</v>
      </c>
    </row>
    <row r="131" spans="1:15" s="182" customFormat="1" ht="21.75" customHeight="1" x14ac:dyDescent="0.15">
      <c r="A131" s="151" t="s">
        <v>5516</v>
      </c>
      <c r="B131" s="20" t="s">
        <v>4789</v>
      </c>
      <c r="C131" s="241" t="s">
        <v>3346</v>
      </c>
      <c r="D131" s="241" t="s">
        <v>3347</v>
      </c>
      <c r="E131" s="241" t="s">
        <v>4818</v>
      </c>
      <c r="F131" s="279" t="s">
        <v>3355</v>
      </c>
      <c r="G131" s="242" t="s">
        <v>3941</v>
      </c>
      <c r="H131" s="700" t="s">
        <v>5518</v>
      </c>
      <c r="I131" s="194">
        <v>12000</v>
      </c>
      <c r="J131" s="194">
        <v>0</v>
      </c>
      <c r="K131" s="185">
        <v>0.1</v>
      </c>
      <c r="L131" s="183" t="s">
        <v>5519</v>
      </c>
      <c r="M131" s="183" t="s">
        <v>5520</v>
      </c>
      <c r="N131" s="183" t="s">
        <v>5520</v>
      </c>
      <c r="O131" s="700" t="s">
        <v>5523</v>
      </c>
    </row>
    <row r="132" spans="1:15" s="182" customFormat="1" ht="21.75" customHeight="1" x14ac:dyDescent="0.15">
      <c r="A132" s="151" t="s">
        <v>5534</v>
      </c>
      <c r="B132" s="20" t="s">
        <v>5492</v>
      </c>
      <c r="C132" s="184" t="s">
        <v>4982</v>
      </c>
      <c r="D132" s="184" t="s">
        <v>5422</v>
      </c>
      <c r="E132" s="184" t="s">
        <v>879</v>
      </c>
      <c r="F132" s="184" t="s">
        <v>4944</v>
      </c>
      <c r="G132" s="235" t="s">
        <v>3336</v>
      </c>
      <c r="H132" s="702" t="s">
        <v>5536</v>
      </c>
      <c r="I132" s="194">
        <v>0</v>
      </c>
      <c r="J132" s="194">
        <v>33600</v>
      </c>
      <c r="K132" s="185" t="s">
        <v>5538</v>
      </c>
      <c r="L132" s="183" t="s">
        <v>4707</v>
      </c>
      <c r="M132" s="183" t="s">
        <v>3433</v>
      </c>
      <c r="N132" s="183" t="s">
        <v>3433</v>
      </c>
      <c r="O132" s="702"/>
    </row>
    <row r="133" spans="1:15" s="182" customFormat="1" ht="21.75" customHeight="1" x14ac:dyDescent="0.15">
      <c r="A133" s="151" t="s">
        <v>5534</v>
      </c>
      <c r="B133" s="20" t="s">
        <v>5492</v>
      </c>
      <c r="C133" s="184" t="s">
        <v>4982</v>
      </c>
      <c r="D133" s="184" t="s">
        <v>5422</v>
      </c>
      <c r="E133" s="184" t="s">
        <v>879</v>
      </c>
      <c r="F133" s="184" t="s">
        <v>4944</v>
      </c>
      <c r="G133" s="235" t="s">
        <v>5535</v>
      </c>
      <c r="H133" s="702" t="s">
        <v>5537</v>
      </c>
      <c r="I133" s="194">
        <v>0</v>
      </c>
      <c r="J133" s="194">
        <v>17000</v>
      </c>
      <c r="K133" s="185">
        <v>1</v>
      </c>
      <c r="L133" s="183" t="s">
        <v>4707</v>
      </c>
      <c r="M133" s="183" t="s">
        <v>3433</v>
      </c>
      <c r="N133" s="183" t="s">
        <v>3433</v>
      </c>
      <c r="O133" s="702"/>
    </row>
    <row r="134" spans="1:15" s="182" customFormat="1" ht="21.75" customHeight="1" x14ac:dyDescent="0.15">
      <c r="A134" s="151" t="s">
        <v>5539</v>
      </c>
      <c r="B134" s="20" t="s">
        <v>5337</v>
      </c>
      <c r="C134" s="279" t="s">
        <v>3346</v>
      </c>
      <c r="D134" s="279" t="s">
        <v>3354</v>
      </c>
      <c r="E134" s="279" t="s">
        <v>4600</v>
      </c>
      <c r="F134" s="279" t="s">
        <v>3937</v>
      </c>
      <c r="G134" s="242" t="s">
        <v>5442</v>
      </c>
      <c r="H134" s="703">
        <v>18149</v>
      </c>
      <c r="I134" s="194">
        <v>0</v>
      </c>
      <c r="J134" s="194">
        <v>275576.32000000001</v>
      </c>
      <c r="K134" s="185">
        <v>0.9</v>
      </c>
      <c r="L134" s="183" t="s">
        <v>4711</v>
      </c>
      <c r="M134" s="183" t="s">
        <v>3725</v>
      </c>
      <c r="N134" s="183" t="s">
        <v>3726</v>
      </c>
      <c r="O134" s="703"/>
    </row>
    <row r="135" spans="1:15" s="182" customFormat="1" ht="21.75" customHeight="1" x14ac:dyDescent="0.15">
      <c r="A135" s="151" t="s">
        <v>5540</v>
      </c>
      <c r="B135" s="20" t="s">
        <v>5106</v>
      </c>
      <c r="C135" s="704" t="s">
        <v>4982</v>
      </c>
      <c r="D135" s="704" t="s">
        <v>5541</v>
      </c>
      <c r="E135" s="704" t="s">
        <v>5542</v>
      </c>
      <c r="F135" s="184" t="s">
        <v>3579</v>
      </c>
      <c r="G135" s="235" t="s">
        <v>4786</v>
      </c>
      <c r="H135" s="703">
        <v>21162</v>
      </c>
      <c r="I135" s="194">
        <v>0</v>
      </c>
      <c r="J135" s="194">
        <v>140000</v>
      </c>
      <c r="K135" s="185">
        <v>1</v>
      </c>
      <c r="L135" s="183" t="s">
        <v>5543</v>
      </c>
      <c r="M135" s="183" t="s">
        <v>5544</v>
      </c>
      <c r="N135" s="183" t="s">
        <v>5544</v>
      </c>
      <c r="O135" s="703"/>
    </row>
    <row r="136" spans="1:15" s="182" customFormat="1" ht="21.75" customHeight="1" x14ac:dyDescent="0.15">
      <c r="A136" s="151" t="s">
        <v>5545</v>
      </c>
      <c r="B136" s="20" t="s">
        <v>5546</v>
      </c>
      <c r="C136" s="241" t="s">
        <v>3357</v>
      </c>
      <c r="D136" s="241" t="s">
        <v>3360</v>
      </c>
      <c r="E136" s="236" t="s">
        <v>3452</v>
      </c>
      <c r="F136" s="236" t="s">
        <v>3328</v>
      </c>
      <c r="G136" s="240" t="s">
        <v>3453</v>
      </c>
      <c r="H136" s="705">
        <v>17065</v>
      </c>
      <c r="I136" s="194">
        <v>0</v>
      </c>
      <c r="J136" s="194">
        <v>46102.5</v>
      </c>
      <c r="K136" s="185">
        <v>0.1</v>
      </c>
      <c r="L136" s="183" t="s">
        <v>5547</v>
      </c>
      <c r="M136" s="183" t="s">
        <v>5548</v>
      </c>
      <c r="N136" s="183" t="s">
        <v>5548</v>
      </c>
      <c r="O136" s="705"/>
    </row>
    <row r="137" spans="1:15" s="182" customFormat="1" ht="21.75" customHeight="1" x14ac:dyDescent="0.15">
      <c r="A137" s="151" t="s">
        <v>5549</v>
      </c>
      <c r="B137" s="20" t="s">
        <v>4891</v>
      </c>
      <c r="C137" s="241" t="s">
        <v>3351</v>
      </c>
      <c r="D137" s="241" t="s">
        <v>3352</v>
      </c>
      <c r="E137" s="241" t="s">
        <v>4475</v>
      </c>
      <c r="F137" s="241" t="s">
        <v>3328</v>
      </c>
      <c r="G137" s="242" t="s">
        <v>4515</v>
      </c>
      <c r="H137" s="706">
        <v>20069</v>
      </c>
      <c r="I137" s="194">
        <v>0</v>
      </c>
      <c r="J137" s="194">
        <v>5010</v>
      </c>
      <c r="K137" s="185" t="s">
        <v>5581</v>
      </c>
      <c r="L137" s="183" t="s">
        <v>5582</v>
      </c>
      <c r="M137" s="183" t="s">
        <v>5583</v>
      </c>
      <c r="N137" s="183" t="s">
        <v>5584</v>
      </c>
      <c r="O137" s="706"/>
    </row>
    <row r="138" spans="1:15" s="182" customFormat="1" ht="21.75" customHeight="1" x14ac:dyDescent="0.15">
      <c r="A138" s="151" t="s">
        <v>5549</v>
      </c>
      <c r="B138" s="20" t="s">
        <v>4891</v>
      </c>
      <c r="C138" s="241" t="s">
        <v>3351</v>
      </c>
      <c r="D138" s="241" t="s">
        <v>3352</v>
      </c>
      <c r="E138" s="241" t="s">
        <v>4513</v>
      </c>
      <c r="F138" s="241" t="s">
        <v>3328</v>
      </c>
      <c r="G138" s="242" t="s">
        <v>3378</v>
      </c>
      <c r="H138" s="713">
        <v>20093</v>
      </c>
      <c r="I138" s="194">
        <v>0</v>
      </c>
      <c r="J138" s="194">
        <v>96840</v>
      </c>
      <c r="K138" s="185" t="s">
        <v>5585</v>
      </c>
      <c r="L138" s="183" t="s">
        <v>5586</v>
      </c>
      <c r="M138" s="183" t="s">
        <v>5583</v>
      </c>
      <c r="N138" s="183" t="s">
        <v>5584</v>
      </c>
      <c r="O138" s="713"/>
    </row>
    <row r="139" spans="1:15" s="182" customFormat="1" ht="21.75" customHeight="1" x14ac:dyDescent="0.15">
      <c r="A139" s="151" t="s">
        <v>5550</v>
      </c>
      <c r="B139" s="20" t="s">
        <v>5551</v>
      </c>
      <c r="C139" s="236" t="s">
        <v>3363</v>
      </c>
      <c r="D139" s="602" t="s">
        <v>3967</v>
      </c>
      <c r="E139" s="236" t="s">
        <v>3968</v>
      </c>
      <c r="F139" s="279" t="s">
        <v>3328</v>
      </c>
      <c r="G139" s="170" t="s">
        <v>3349</v>
      </c>
      <c r="H139" s="638">
        <v>21071</v>
      </c>
      <c r="I139" s="194">
        <v>0</v>
      </c>
      <c r="J139" s="194">
        <v>30000</v>
      </c>
      <c r="K139" s="185">
        <v>1</v>
      </c>
      <c r="L139" s="183" t="s">
        <v>5555</v>
      </c>
      <c r="M139" s="183" t="s">
        <v>5556</v>
      </c>
      <c r="N139" s="183" t="s">
        <v>5556</v>
      </c>
      <c r="O139" s="706"/>
    </row>
    <row r="140" spans="1:15" s="182" customFormat="1" ht="21.75" customHeight="1" x14ac:dyDescent="0.15">
      <c r="A140" s="151" t="s">
        <v>5550</v>
      </c>
      <c r="B140" s="20" t="s">
        <v>5552</v>
      </c>
      <c r="C140" s="236" t="s">
        <v>3363</v>
      </c>
      <c r="D140" s="602" t="s">
        <v>3967</v>
      </c>
      <c r="E140" s="236" t="s">
        <v>3969</v>
      </c>
      <c r="F140" s="279" t="s">
        <v>3328</v>
      </c>
      <c r="G140" s="170" t="s">
        <v>3349</v>
      </c>
      <c r="H140" s="638">
        <v>21072</v>
      </c>
      <c r="I140" s="194">
        <v>0</v>
      </c>
      <c r="J140" s="194">
        <v>30000</v>
      </c>
      <c r="K140" s="185">
        <v>1</v>
      </c>
      <c r="L140" s="183" t="s">
        <v>5555</v>
      </c>
      <c r="M140" s="183" t="s">
        <v>5556</v>
      </c>
      <c r="N140" s="183" t="s">
        <v>5556</v>
      </c>
      <c r="O140" s="706"/>
    </row>
    <row r="141" spans="1:15" s="182" customFormat="1" ht="21.75" customHeight="1" x14ac:dyDescent="0.15">
      <c r="A141" s="151" t="s">
        <v>5550</v>
      </c>
      <c r="B141" s="20" t="s">
        <v>635</v>
      </c>
      <c r="C141" s="224" t="s">
        <v>3363</v>
      </c>
      <c r="D141" s="224" t="s">
        <v>3352</v>
      </c>
      <c r="E141" s="224" t="s">
        <v>4411</v>
      </c>
      <c r="F141" s="224" t="s">
        <v>3328</v>
      </c>
      <c r="G141" s="235" t="s">
        <v>5030</v>
      </c>
      <c r="H141" s="706">
        <v>21157</v>
      </c>
      <c r="I141" s="194">
        <v>0</v>
      </c>
      <c r="J141" s="194">
        <v>89000</v>
      </c>
      <c r="K141" s="185">
        <v>1</v>
      </c>
      <c r="L141" s="183" t="s">
        <v>5555</v>
      </c>
      <c r="M141" s="183" t="s">
        <v>5556</v>
      </c>
      <c r="N141" s="183" t="s">
        <v>5556</v>
      </c>
      <c r="O141" s="706"/>
    </row>
    <row r="142" spans="1:15" s="182" customFormat="1" ht="21.75" customHeight="1" x14ac:dyDescent="0.15">
      <c r="A142" s="151" t="s">
        <v>5553</v>
      </c>
      <c r="B142" s="20" t="s">
        <v>5554</v>
      </c>
      <c r="C142" s="184" t="s">
        <v>4941</v>
      </c>
      <c r="D142" s="184" t="s">
        <v>5076</v>
      </c>
      <c r="E142" s="184" t="s">
        <v>5557</v>
      </c>
      <c r="F142" s="224" t="s">
        <v>3328</v>
      </c>
      <c r="G142" s="239" t="s">
        <v>5240</v>
      </c>
      <c r="H142" s="706">
        <v>22041</v>
      </c>
      <c r="I142" s="194">
        <v>0</v>
      </c>
      <c r="J142" s="194">
        <v>25000</v>
      </c>
      <c r="K142" s="185">
        <v>1</v>
      </c>
      <c r="L142" s="183" t="s">
        <v>5558</v>
      </c>
      <c r="M142" s="183" t="s">
        <v>5559</v>
      </c>
      <c r="N142" s="183" t="s">
        <v>5559</v>
      </c>
      <c r="O142" s="706"/>
    </row>
    <row r="143" spans="1:15" s="182" customFormat="1" ht="21.75" customHeight="1" x14ac:dyDescent="0.15">
      <c r="A143" s="151" t="s">
        <v>5553</v>
      </c>
      <c r="B143" s="20" t="s">
        <v>5560</v>
      </c>
      <c r="C143" s="236" t="s">
        <v>3363</v>
      </c>
      <c r="D143" s="602" t="s">
        <v>3967</v>
      </c>
      <c r="E143" s="236" t="s">
        <v>3975</v>
      </c>
      <c r="F143" s="279" t="s">
        <v>3328</v>
      </c>
      <c r="G143" s="170" t="s">
        <v>3349</v>
      </c>
      <c r="H143" s="707">
        <v>21070</v>
      </c>
      <c r="I143" s="194">
        <v>0</v>
      </c>
      <c r="J143" s="194">
        <v>30000</v>
      </c>
      <c r="K143" s="185">
        <v>1</v>
      </c>
      <c r="L143" s="183" t="s">
        <v>4706</v>
      </c>
      <c r="M143" s="183" t="s">
        <v>3957</v>
      </c>
      <c r="N143" s="183" t="s">
        <v>3957</v>
      </c>
      <c r="O143" s="707"/>
    </row>
    <row r="144" spans="1:15" s="182" customFormat="1" ht="21.75" customHeight="1" x14ac:dyDescent="0.15">
      <c r="A144" s="151" t="s">
        <v>5553</v>
      </c>
      <c r="B144" s="20" t="s">
        <v>5488</v>
      </c>
      <c r="C144" s="709" t="s">
        <v>5567</v>
      </c>
      <c r="D144" s="709" t="s">
        <v>5422</v>
      </c>
      <c r="E144" s="709" t="s">
        <v>5568</v>
      </c>
      <c r="F144" s="184" t="s">
        <v>5078</v>
      </c>
      <c r="G144" s="235" t="s">
        <v>4861</v>
      </c>
      <c r="H144" s="707" t="s">
        <v>5564</v>
      </c>
      <c r="I144" s="194">
        <v>0</v>
      </c>
      <c r="J144" s="194">
        <v>19000</v>
      </c>
      <c r="K144" s="185">
        <v>1</v>
      </c>
      <c r="L144" s="183" t="s">
        <v>4707</v>
      </c>
      <c r="M144" s="183" t="s">
        <v>3433</v>
      </c>
      <c r="N144" s="183" t="s">
        <v>3433</v>
      </c>
      <c r="O144" s="707"/>
    </row>
    <row r="145" spans="1:15" s="182" customFormat="1" ht="21.75" customHeight="1" x14ac:dyDescent="0.15">
      <c r="A145" s="151" t="s">
        <v>5553</v>
      </c>
      <c r="B145" s="20" t="s">
        <v>5488</v>
      </c>
      <c r="C145" s="709" t="s">
        <v>4982</v>
      </c>
      <c r="D145" s="184" t="s">
        <v>5422</v>
      </c>
      <c r="E145" s="709" t="s">
        <v>5569</v>
      </c>
      <c r="F145" s="184" t="s">
        <v>4944</v>
      </c>
      <c r="G145" s="235" t="s">
        <v>4861</v>
      </c>
      <c r="H145" s="709" t="s">
        <v>5565</v>
      </c>
      <c r="I145" s="194">
        <v>0</v>
      </c>
      <c r="J145" s="194">
        <v>20000</v>
      </c>
      <c r="K145" s="185">
        <v>1</v>
      </c>
      <c r="L145" s="183" t="s">
        <v>4707</v>
      </c>
      <c r="M145" s="183" t="s">
        <v>3433</v>
      </c>
      <c r="N145" s="183" t="s">
        <v>3433</v>
      </c>
      <c r="O145" s="709"/>
    </row>
    <row r="146" spans="1:15" s="182" customFormat="1" ht="21.75" customHeight="1" x14ac:dyDescent="0.15">
      <c r="A146" s="151" t="s">
        <v>5553</v>
      </c>
      <c r="B146" s="20" t="s">
        <v>5488</v>
      </c>
      <c r="C146" s="709" t="s">
        <v>4963</v>
      </c>
      <c r="D146" s="709" t="s">
        <v>5422</v>
      </c>
      <c r="E146" s="709" t="s">
        <v>843</v>
      </c>
      <c r="F146" s="292" t="s">
        <v>3328</v>
      </c>
      <c r="G146" s="235" t="s">
        <v>3379</v>
      </c>
      <c r="H146" s="709" t="s">
        <v>5566</v>
      </c>
      <c r="I146" s="194">
        <v>0</v>
      </c>
      <c r="J146" s="194">
        <v>11600</v>
      </c>
      <c r="K146" s="711">
        <v>0.72499999999999998</v>
      </c>
      <c r="L146" s="183" t="s">
        <v>4707</v>
      </c>
      <c r="M146" s="183" t="s">
        <v>3433</v>
      </c>
      <c r="N146" s="183" t="s">
        <v>3433</v>
      </c>
      <c r="O146" s="709"/>
    </row>
    <row r="147" spans="1:15" s="182" customFormat="1" ht="21.75" customHeight="1" x14ac:dyDescent="0.15">
      <c r="A147" s="151" t="s">
        <v>5553</v>
      </c>
      <c r="B147" s="20" t="s">
        <v>767</v>
      </c>
      <c r="C147" s="184" t="s">
        <v>5567</v>
      </c>
      <c r="D147" s="184" t="s">
        <v>5422</v>
      </c>
      <c r="E147" s="184" t="s">
        <v>5572</v>
      </c>
      <c r="F147" s="292" t="s">
        <v>3328</v>
      </c>
      <c r="G147" s="235" t="s">
        <v>3336</v>
      </c>
      <c r="H147" s="638" t="s">
        <v>5570</v>
      </c>
      <c r="I147" s="194">
        <v>0</v>
      </c>
      <c r="J147" s="194">
        <v>38000</v>
      </c>
      <c r="K147" s="185">
        <v>1</v>
      </c>
      <c r="L147" s="183" t="s">
        <v>4707</v>
      </c>
      <c r="M147" s="183" t="s">
        <v>3433</v>
      </c>
      <c r="N147" s="183" t="s">
        <v>3433</v>
      </c>
      <c r="O147" s="707"/>
    </row>
    <row r="148" spans="1:15" s="182" customFormat="1" ht="21.75" customHeight="1" x14ac:dyDescent="0.15">
      <c r="A148" s="151" t="s">
        <v>5553</v>
      </c>
      <c r="B148" s="20" t="s">
        <v>767</v>
      </c>
      <c r="C148" s="224" t="s">
        <v>3325</v>
      </c>
      <c r="D148" s="234" t="s">
        <v>3439</v>
      </c>
      <c r="E148" s="224" t="s">
        <v>3440</v>
      </c>
      <c r="F148" s="199" t="s">
        <v>3328</v>
      </c>
      <c r="G148" s="235" t="s">
        <v>3386</v>
      </c>
      <c r="H148" s="638" t="s">
        <v>5571</v>
      </c>
      <c r="I148" s="194">
        <v>0</v>
      </c>
      <c r="J148" s="194">
        <v>12600</v>
      </c>
      <c r="K148" s="185" t="s">
        <v>5573</v>
      </c>
      <c r="L148" s="183" t="s">
        <v>4707</v>
      </c>
      <c r="M148" s="183" t="s">
        <v>3433</v>
      </c>
      <c r="N148" s="183" t="s">
        <v>3433</v>
      </c>
      <c r="O148" s="709"/>
    </row>
    <row r="149" spans="1:15" s="182" customFormat="1" ht="21.75" customHeight="1" x14ac:dyDescent="0.15">
      <c r="A149" s="151" t="s">
        <v>5561</v>
      </c>
      <c r="B149" s="20" t="s">
        <v>5515</v>
      </c>
      <c r="C149" s="184" t="s">
        <v>4982</v>
      </c>
      <c r="D149" s="184" t="s">
        <v>5018</v>
      </c>
      <c r="E149" s="184" t="s">
        <v>5529</v>
      </c>
      <c r="F149" s="184" t="s">
        <v>5198</v>
      </c>
      <c r="G149" s="235" t="s">
        <v>5530</v>
      </c>
      <c r="H149" s="708">
        <v>21091</v>
      </c>
      <c r="I149" s="194">
        <v>0</v>
      </c>
      <c r="J149" s="194">
        <v>106408.58</v>
      </c>
      <c r="K149" s="185" t="s">
        <v>5587</v>
      </c>
      <c r="L149" s="183" t="s">
        <v>5588</v>
      </c>
      <c r="M149" s="183" t="s">
        <v>5584</v>
      </c>
      <c r="N149" s="183" t="s">
        <v>5584</v>
      </c>
      <c r="O149" s="708"/>
    </row>
    <row r="150" spans="1:15" s="182" customFormat="1" ht="21.75" customHeight="1" x14ac:dyDescent="0.15">
      <c r="A150" s="151" t="s">
        <v>5561</v>
      </c>
      <c r="B150" s="20" t="s">
        <v>5562</v>
      </c>
      <c r="C150" s="241" t="s">
        <v>3346</v>
      </c>
      <c r="D150" s="241" t="s">
        <v>3439</v>
      </c>
      <c r="E150" s="241" t="s">
        <v>4203</v>
      </c>
      <c r="F150" s="241" t="s">
        <v>3328</v>
      </c>
      <c r="G150" s="242" t="s">
        <v>3349</v>
      </c>
      <c r="H150" s="708">
        <v>20139</v>
      </c>
      <c r="I150" s="194">
        <v>0</v>
      </c>
      <c r="J150" s="194">
        <v>96000</v>
      </c>
      <c r="K150" s="185">
        <v>1</v>
      </c>
      <c r="L150" s="183" t="s">
        <v>5574</v>
      </c>
      <c r="M150" s="241" t="s">
        <v>3433</v>
      </c>
      <c r="N150" s="241" t="s">
        <v>3433</v>
      </c>
      <c r="O150" s="708"/>
    </row>
    <row r="151" spans="1:15" s="182" customFormat="1" ht="21.75" customHeight="1" x14ac:dyDescent="0.15">
      <c r="A151" s="151" t="s">
        <v>5563</v>
      </c>
      <c r="B151" s="20" t="s">
        <v>4971</v>
      </c>
      <c r="C151" s="184" t="s">
        <v>4982</v>
      </c>
      <c r="D151" s="184" t="s">
        <v>5098</v>
      </c>
      <c r="E151" s="184" t="s">
        <v>5575</v>
      </c>
      <c r="F151" s="184" t="s">
        <v>3400</v>
      </c>
      <c r="G151" s="235" t="s">
        <v>5576</v>
      </c>
      <c r="H151" s="708">
        <v>21088</v>
      </c>
      <c r="I151" s="194">
        <v>0</v>
      </c>
      <c r="J151" s="194">
        <v>43750</v>
      </c>
      <c r="K151" s="185">
        <v>0.5</v>
      </c>
      <c r="L151" s="183" t="s">
        <v>5577</v>
      </c>
      <c r="M151" s="183" t="s">
        <v>5578</v>
      </c>
      <c r="N151" s="183" t="s">
        <v>5578</v>
      </c>
      <c r="O151" s="708"/>
    </row>
    <row r="152" spans="1:15" s="182" customFormat="1" ht="21.75" customHeight="1" x14ac:dyDescent="0.15">
      <c r="A152" s="151" t="s">
        <v>5579</v>
      </c>
      <c r="B152" s="20" t="s">
        <v>4802</v>
      </c>
      <c r="C152" s="241" t="s">
        <v>3346</v>
      </c>
      <c r="D152" s="241" t="s">
        <v>3439</v>
      </c>
      <c r="E152" s="241" t="s">
        <v>3774</v>
      </c>
      <c r="F152" s="292" t="s">
        <v>3328</v>
      </c>
      <c r="G152" s="242" t="s">
        <v>3349</v>
      </c>
      <c r="H152" s="710">
        <v>20137</v>
      </c>
      <c r="I152" s="194">
        <v>0</v>
      </c>
      <c r="J152" s="194">
        <v>96000</v>
      </c>
      <c r="K152" s="185">
        <v>1</v>
      </c>
      <c r="L152" s="183" t="s">
        <v>4706</v>
      </c>
      <c r="M152" s="241" t="s">
        <v>3433</v>
      </c>
      <c r="N152" s="241" t="s">
        <v>3433</v>
      </c>
      <c r="O152" s="710"/>
    </row>
    <row r="153" spans="1:15" s="182" customFormat="1" ht="21.75" customHeight="1" x14ac:dyDescent="0.15">
      <c r="A153" s="151" t="s">
        <v>5579</v>
      </c>
      <c r="B153" s="20" t="s">
        <v>5580</v>
      </c>
      <c r="C153" s="241" t="s">
        <v>3365</v>
      </c>
      <c r="D153" s="241" t="s">
        <v>3354</v>
      </c>
      <c r="E153" s="241" t="s">
        <v>4478</v>
      </c>
      <c r="F153" s="241" t="s">
        <v>4479</v>
      </c>
      <c r="G153" s="242" t="s">
        <v>3336</v>
      </c>
      <c r="H153" s="712">
        <v>20162</v>
      </c>
      <c r="I153" s="194">
        <v>0</v>
      </c>
      <c r="J153" s="194">
        <v>2775</v>
      </c>
      <c r="K153" s="185">
        <v>0.1</v>
      </c>
      <c r="L153" s="183" t="s">
        <v>5589</v>
      </c>
      <c r="M153" s="241" t="s">
        <v>5590</v>
      </c>
      <c r="N153" s="241" t="s">
        <v>5590</v>
      </c>
      <c r="O153" s="712"/>
    </row>
    <row r="154" spans="1:15" s="182" customFormat="1" ht="21.75" customHeight="1" x14ac:dyDescent="0.15">
      <c r="A154" s="151" t="s">
        <v>5591</v>
      </c>
      <c r="B154" s="20" t="s">
        <v>5592</v>
      </c>
      <c r="C154" s="241" t="s">
        <v>3357</v>
      </c>
      <c r="D154" s="241" t="s">
        <v>3347</v>
      </c>
      <c r="E154" s="241" t="s">
        <v>3998</v>
      </c>
      <c r="F154" s="267" t="s">
        <v>3328</v>
      </c>
      <c r="G154" s="170" t="s">
        <v>3566</v>
      </c>
      <c r="H154" s="713">
        <v>20042</v>
      </c>
      <c r="I154" s="194">
        <v>0</v>
      </c>
      <c r="J154" s="194">
        <v>64200</v>
      </c>
      <c r="K154" s="185" t="s">
        <v>5593</v>
      </c>
      <c r="L154" s="183" t="s">
        <v>5594</v>
      </c>
      <c r="M154" s="241" t="s">
        <v>5590</v>
      </c>
      <c r="N154" s="241" t="s">
        <v>5590</v>
      </c>
      <c r="O154" s="713"/>
    </row>
    <row r="155" spans="1:15" s="182" customFormat="1" ht="21.75" customHeight="1" x14ac:dyDescent="0.15">
      <c r="A155" s="151" t="s">
        <v>5595</v>
      </c>
      <c r="B155" s="20" t="s">
        <v>5515</v>
      </c>
      <c r="C155" s="241" t="s">
        <v>3346</v>
      </c>
      <c r="D155" s="241" t="s">
        <v>3354</v>
      </c>
      <c r="E155" s="241" t="s">
        <v>4604</v>
      </c>
      <c r="F155" s="241" t="s">
        <v>3328</v>
      </c>
      <c r="G155" s="242" t="s">
        <v>4584</v>
      </c>
      <c r="H155" s="638" t="s">
        <v>5603</v>
      </c>
      <c r="I155" s="194">
        <v>481140</v>
      </c>
      <c r="J155" s="194">
        <v>0</v>
      </c>
      <c r="K155" s="185">
        <v>0.9</v>
      </c>
      <c r="L155" s="183" t="s">
        <v>5605</v>
      </c>
      <c r="M155" s="241" t="s">
        <v>3726</v>
      </c>
      <c r="N155" s="184" t="s">
        <v>5161</v>
      </c>
      <c r="O155" s="716" t="s">
        <v>5615</v>
      </c>
    </row>
    <row r="156" spans="1:15" s="182" customFormat="1" ht="21.75" customHeight="1" x14ac:dyDescent="0.15">
      <c r="A156" s="151" t="s">
        <v>5595</v>
      </c>
      <c r="B156" s="20" t="s">
        <v>5515</v>
      </c>
      <c r="C156" s="241" t="s">
        <v>3346</v>
      </c>
      <c r="D156" s="241" t="s">
        <v>3354</v>
      </c>
      <c r="E156" s="241" t="s">
        <v>4604</v>
      </c>
      <c r="F156" s="241" t="s">
        <v>3355</v>
      </c>
      <c r="G156" s="242" t="s">
        <v>3356</v>
      </c>
      <c r="H156" s="638" t="s">
        <v>5604</v>
      </c>
      <c r="I156" s="194">
        <v>166995</v>
      </c>
      <c r="J156" s="194">
        <v>0</v>
      </c>
      <c r="K156" s="185">
        <v>0.9</v>
      </c>
      <c r="L156" s="183" t="s">
        <v>5605</v>
      </c>
      <c r="M156" s="241" t="s">
        <v>3726</v>
      </c>
      <c r="N156" s="184" t="s">
        <v>5161</v>
      </c>
      <c r="O156" s="716" t="s">
        <v>5615</v>
      </c>
    </row>
    <row r="157" spans="1:15" s="182" customFormat="1" ht="21.75" customHeight="1" x14ac:dyDescent="0.15">
      <c r="A157" s="151" t="s">
        <v>5595</v>
      </c>
      <c r="B157" s="20" t="s">
        <v>5515</v>
      </c>
      <c r="C157" s="184" t="s">
        <v>4982</v>
      </c>
      <c r="D157" s="184" t="s">
        <v>5018</v>
      </c>
      <c r="E157" s="184" t="s">
        <v>5602</v>
      </c>
      <c r="F157" s="184" t="s">
        <v>5198</v>
      </c>
      <c r="G157" s="235" t="s">
        <v>5530</v>
      </c>
      <c r="H157" s="715">
        <v>21093</v>
      </c>
      <c r="I157" s="194">
        <v>627979.52000000002</v>
      </c>
      <c r="J157" s="194">
        <v>0</v>
      </c>
      <c r="K157" s="185">
        <v>0.9</v>
      </c>
      <c r="L157" s="183" t="s">
        <v>5605</v>
      </c>
      <c r="M157" s="183" t="s">
        <v>5606</v>
      </c>
      <c r="N157" s="183" t="s">
        <v>5606</v>
      </c>
      <c r="O157" s="716" t="s">
        <v>5615</v>
      </c>
    </row>
    <row r="158" spans="1:15" s="182" customFormat="1" ht="21.75" customHeight="1" x14ac:dyDescent="0.15">
      <c r="A158" s="151" t="s">
        <v>5595</v>
      </c>
      <c r="B158" s="20" t="s">
        <v>5515</v>
      </c>
      <c r="C158" s="241" t="s">
        <v>3346</v>
      </c>
      <c r="D158" s="241" t="s">
        <v>3354</v>
      </c>
      <c r="E158" s="241" t="s">
        <v>5121</v>
      </c>
      <c r="F158" s="267" t="s">
        <v>3328</v>
      </c>
      <c r="G158" s="242" t="s">
        <v>3378</v>
      </c>
      <c r="H158" s="715" t="s">
        <v>5607</v>
      </c>
      <c r="I158" s="194">
        <v>23885.48</v>
      </c>
      <c r="J158" s="194">
        <v>0</v>
      </c>
      <c r="K158" s="185" t="s">
        <v>5611</v>
      </c>
      <c r="L158" s="183" t="s">
        <v>5610</v>
      </c>
      <c r="M158" s="241" t="s">
        <v>3725</v>
      </c>
      <c r="N158" s="184" t="s">
        <v>5161</v>
      </c>
      <c r="O158" s="716" t="s">
        <v>5615</v>
      </c>
    </row>
    <row r="159" spans="1:15" s="182" customFormat="1" ht="21.75" customHeight="1" x14ac:dyDescent="0.15">
      <c r="A159" s="151" t="s">
        <v>5595</v>
      </c>
      <c r="B159" s="20" t="s">
        <v>5515</v>
      </c>
      <c r="C159" s="241" t="s">
        <v>3346</v>
      </c>
      <c r="D159" s="241" t="s">
        <v>3354</v>
      </c>
      <c r="E159" s="241" t="s">
        <v>5121</v>
      </c>
      <c r="F159" s="267" t="s">
        <v>3328</v>
      </c>
      <c r="G159" s="242" t="s">
        <v>3378</v>
      </c>
      <c r="H159" s="715" t="s">
        <v>5607</v>
      </c>
      <c r="I159" s="194">
        <v>350334.52</v>
      </c>
      <c r="J159" s="194">
        <v>0</v>
      </c>
      <c r="K159" s="185" t="s">
        <v>5612</v>
      </c>
      <c r="L159" s="183" t="s">
        <v>5610</v>
      </c>
      <c r="M159" s="241" t="s">
        <v>3725</v>
      </c>
      <c r="N159" s="184" t="s">
        <v>5161</v>
      </c>
      <c r="O159" s="716" t="s">
        <v>5616</v>
      </c>
    </row>
    <row r="160" spans="1:15" s="182" customFormat="1" ht="21.75" customHeight="1" x14ac:dyDescent="0.15">
      <c r="A160" s="151" t="s">
        <v>5595</v>
      </c>
      <c r="B160" s="20" t="s">
        <v>5515</v>
      </c>
      <c r="C160" s="241" t="s">
        <v>3346</v>
      </c>
      <c r="D160" s="241" t="s">
        <v>3354</v>
      </c>
      <c r="E160" s="241" t="s">
        <v>5121</v>
      </c>
      <c r="F160" s="241" t="s">
        <v>3355</v>
      </c>
      <c r="G160" s="242" t="s">
        <v>3356</v>
      </c>
      <c r="H160" s="715" t="s">
        <v>5608</v>
      </c>
      <c r="I160" s="194">
        <v>129885</v>
      </c>
      <c r="J160" s="194">
        <v>0</v>
      </c>
      <c r="K160" s="185">
        <v>0.7</v>
      </c>
      <c r="L160" s="183" t="s">
        <v>5610</v>
      </c>
      <c r="M160" s="241" t="s">
        <v>3725</v>
      </c>
      <c r="N160" s="184" t="s">
        <v>5161</v>
      </c>
      <c r="O160" s="716" t="s">
        <v>5616</v>
      </c>
    </row>
    <row r="161" spans="1:15" s="182" customFormat="1" ht="21.75" customHeight="1" x14ac:dyDescent="0.15">
      <c r="A161" s="151" t="s">
        <v>5595</v>
      </c>
      <c r="B161" s="20" t="s">
        <v>5515</v>
      </c>
      <c r="C161" s="184" t="s">
        <v>4982</v>
      </c>
      <c r="D161" s="184" t="s">
        <v>5018</v>
      </c>
      <c r="E161" s="184" t="s">
        <v>5609</v>
      </c>
      <c r="F161" s="184" t="s">
        <v>5198</v>
      </c>
      <c r="G161" s="235" t="s">
        <v>5530</v>
      </c>
      <c r="H161" s="714">
        <v>21092</v>
      </c>
      <c r="I161" s="194">
        <v>319780.47999999998</v>
      </c>
      <c r="J161" s="194">
        <v>0</v>
      </c>
      <c r="K161" s="185" t="s">
        <v>5613</v>
      </c>
      <c r="L161" s="183" t="s">
        <v>5614</v>
      </c>
      <c r="M161" s="183" t="s">
        <v>5606</v>
      </c>
      <c r="N161" s="183" t="s">
        <v>5606</v>
      </c>
      <c r="O161" s="716" t="s">
        <v>5616</v>
      </c>
    </row>
    <row r="162" spans="1:15" s="182" customFormat="1" ht="21.75" customHeight="1" x14ac:dyDescent="0.15">
      <c r="A162" s="151" t="s">
        <v>5595</v>
      </c>
      <c r="B162" s="20" t="s">
        <v>4736</v>
      </c>
      <c r="C162" s="241" t="s">
        <v>3346</v>
      </c>
      <c r="D162" s="241" t="s">
        <v>3851</v>
      </c>
      <c r="E162" s="241" t="s">
        <v>3852</v>
      </c>
      <c r="F162" s="279" t="s">
        <v>3355</v>
      </c>
      <c r="G162" s="242" t="s">
        <v>3356</v>
      </c>
      <c r="H162" s="714">
        <v>19124</v>
      </c>
      <c r="I162" s="194">
        <v>0</v>
      </c>
      <c r="J162" s="194">
        <v>23500</v>
      </c>
      <c r="K162" s="185">
        <v>0.1</v>
      </c>
      <c r="L162" s="183" t="s">
        <v>5597</v>
      </c>
      <c r="M162" s="183" t="s">
        <v>5598</v>
      </c>
      <c r="N162" s="183" t="s">
        <v>5598</v>
      </c>
      <c r="O162" s="714"/>
    </row>
    <row r="163" spans="1:15" s="182" customFormat="1" ht="21.75" customHeight="1" x14ac:dyDescent="0.15">
      <c r="A163" s="151" t="s">
        <v>5596</v>
      </c>
      <c r="B163" s="20" t="s">
        <v>5070</v>
      </c>
      <c r="C163" s="714" t="s">
        <v>5088</v>
      </c>
      <c r="D163" s="714" t="s">
        <v>3415</v>
      </c>
      <c r="E163" s="714" t="s">
        <v>5089</v>
      </c>
      <c r="F163" s="184" t="s">
        <v>5078</v>
      </c>
      <c r="G163" s="235" t="s">
        <v>5599</v>
      </c>
      <c r="H163" s="714">
        <v>21147</v>
      </c>
      <c r="I163" s="194">
        <v>0</v>
      </c>
      <c r="J163" s="194">
        <v>1227341</v>
      </c>
      <c r="K163" s="185">
        <v>0.97</v>
      </c>
      <c r="L163" s="183" t="s">
        <v>5600</v>
      </c>
      <c r="M163" s="183" t="s">
        <v>5601</v>
      </c>
      <c r="N163" s="183" t="s">
        <v>5601</v>
      </c>
      <c r="O163" s="714"/>
    </row>
    <row r="164" spans="1:15" s="182" customFormat="1" ht="21.75" customHeight="1" x14ac:dyDescent="0.15">
      <c r="A164" s="151" t="s">
        <v>5617</v>
      </c>
      <c r="B164" s="20" t="s">
        <v>5106</v>
      </c>
      <c r="C164" s="279" t="s">
        <v>3325</v>
      </c>
      <c r="D164" s="615" t="s">
        <v>3439</v>
      </c>
      <c r="E164" s="279" t="s">
        <v>3440</v>
      </c>
      <c r="F164" s="719" t="s">
        <v>3328</v>
      </c>
      <c r="G164" s="242" t="s">
        <v>3441</v>
      </c>
      <c r="H164" s="638" t="s">
        <v>5620</v>
      </c>
      <c r="I164" s="194">
        <v>0</v>
      </c>
      <c r="J164" s="194">
        <v>298500</v>
      </c>
      <c r="K164" s="185">
        <v>0.1</v>
      </c>
      <c r="L164" s="183" t="s">
        <v>4724</v>
      </c>
      <c r="M164" s="279" t="s">
        <v>3433</v>
      </c>
      <c r="N164" s="279" t="s">
        <v>3433</v>
      </c>
      <c r="O164" s="717"/>
    </row>
    <row r="165" spans="1:15" s="182" customFormat="1" ht="21.75" customHeight="1" x14ac:dyDescent="0.15">
      <c r="A165" s="151" t="s">
        <v>5617</v>
      </c>
      <c r="B165" s="20" t="s">
        <v>5106</v>
      </c>
      <c r="C165" s="279" t="s">
        <v>3325</v>
      </c>
      <c r="D165" s="615" t="s">
        <v>3439</v>
      </c>
      <c r="E165" s="279" t="s">
        <v>3440</v>
      </c>
      <c r="F165" s="279" t="s">
        <v>3442</v>
      </c>
      <c r="G165" s="170" t="s">
        <v>3443</v>
      </c>
      <c r="H165" s="638" t="s">
        <v>5621</v>
      </c>
      <c r="I165" s="194">
        <v>0</v>
      </c>
      <c r="J165" s="194">
        <v>339500</v>
      </c>
      <c r="K165" s="185">
        <v>0.1</v>
      </c>
      <c r="L165" s="183" t="s">
        <v>4724</v>
      </c>
      <c r="M165" s="279" t="s">
        <v>3433</v>
      </c>
      <c r="N165" s="279" t="s">
        <v>3433</v>
      </c>
      <c r="O165" s="717"/>
    </row>
    <row r="166" spans="1:15" s="182" customFormat="1" ht="21.75" customHeight="1" x14ac:dyDescent="0.15">
      <c r="A166" s="151" t="s">
        <v>5618</v>
      </c>
      <c r="B166" s="20" t="s">
        <v>5619</v>
      </c>
      <c r="C166" s="718" t="s">
        <v>5213</v>
      </c>
      <c r="D166" s="718" t="s">
        <v>4964</v>
      </c>
      <c r="E166" s="718" t="s">
        <v>5624</v>
      </c>
      <c r="F166" s="184" t="s">
        <v>4361</v>
      </c>
      <c r="G166" s="235" t="s">
        <v>3386</v>
      </c>
      <c r="H166" s="638" t="s">
        <v>5622</v>
      </c>
      <c r="I166" s="194">
        <v>0</v>
      </c>
      <c r="J166" s="194">
        <v>30000</v>
      </c>
      <c r="K166" s="185">
        <v>1</v>
      </c>
      <c r="L166" s="183" t="s">
        <v>5625</v>
      </c>
      <c r="M166" s="183" t="s">
        <v>5626</v>
      </c>
      <c r="N166" s="183" t="s">
        <v>5626</v>
      </c>
      <c r="O166" s="717"/>
    </row>
    <row r="167" spans="1:15" s="182" customFormat="1" ht="21.75" customHeight="1" x14ac:dyDescent="0.15">
      <c r="A167" s="151" t="s">
        <v>5618</v>
      </c>
      <c r="B167" s="20" t="s">
        <v>5619</v>
      </c>
      <c r="C167" s="718" t="s">
        <v>5213</v>
      </c>
      <c r="D167" s="718" t="s">
        <v>4964</v>
      </c>
      <c r="E167" s="718" t="s">
        <v>5624</v>
      </c>
      <c r="F167" s="184" t="s">
        <v>4944</v>
      </c>
      <c r="G167" s="235" t="s">
        <v>3386</v>
      </c>
      <c r="H167" s="638" t="s">
        <v>5623</v>
      </c>
      <c r="I167" s="194">
        <v>0</v>
      </c>
      <c r="J167" s="194">
        <v>20000</v>
      </c>
      <c r="K167" s="185">
        <v>1</v>
      </c>
      <c r="L167" s="183" t="s">
        <v>5625</v>
      </c>
      <c r="M167" s="183" t="s">
        <v>5626</v>
      </c>
      <c r="N167" s="183" t="s">
        <v>5626</v>
      </c>
      <c r="O167" s="718"/>
    </row>
    <row r="168" spans="1:15" s="182" customFormat="1" ht="21.75" customHeight="1" x14ac:dyDescent="0.15">
      <c r="A168" s="151" t="s">
        <v>5627</v>
      </c>
      <c r="B168" s="20" t="s">
        <v>4715</v>
      </c>
      <c r="C168" s="241" t="s">
        <v>3351</v>
      </c>
      <c r="D168" s="241" t="s">
        <v>3347</v>
      </c>
      <c r="E168" s="241" t="s">
        <v>4360</v>
      </c>
      <c r="F168" s="279" t="s">
        <v>4361</v>
      </c>
      <c r="G168" s="722" t="s">
        <v>3386</v>
      </c>
      <c r="H168" s="638">
        <v>21048</v>
      </c>
      <c r="I168" s="194">
        <v>0</v>
      </c>
      <c r="J168" s="194">
        <v>2400</v>
      </c>
      <c r="K168" s="185">
        <v>0.05</v>
      </c>
      <c r="L168" s="183" t="s">
        <v>4724</v>
      </c>
      <c r="M168" s="183" t="s">
        <v>3726</v>
      </c>
      <c r="N168" s="183" t="s">
        <v>3726</v>
      </c>
      <c r="O168" s="720"/>
    </row>
    <row r="169" spans="1:15" s="182" customFormat="1" ht="21.75" customHeight="1" x14ac:dyDescent="0.15">
      <c r="A169" s="151" t="s">
        <v>5628</v>
      </c>
      <c r="B169" s="20" t="s">
        <v>886</v>
      </c>
      <c r="C169" s="723" t="s">
        <v>4982</v>
      </c>
      <c r="D169" s="723" t="s">
        <v>5631</v>
      </c>
      <c r="E169" s="723" t="s">
        <v>761</v>
      </c>
      <c r="F169" s="184" t="s">
        <v>5078</v>
      </c>
      <c r="G169" s="235" t="s">
        <v>5030</v>
      </c>
      <c r="H169" s="638">
        <v>21193</v>
      </c>
      <c r="I169" s="194">
        <v>0</v>
      </c>
      <c r="J169" s="194">
        <v>47500</v>
      </c>
      <c r="K169" s="185">
        <v>0.5</v>
      </c>
      <c r="L169" s="183" t="s">
        <v>4706</v>
      </c>
      <c r="M169" s="183" t="s">
        <v>3433</v>
      </c>
      <c r="N169" s="183" t="s">
        <v>3433</v>
      </c>
      <c r="O169" s="721"/>
    </row>
    <row r="170" spans="1:15" s="182" customFormat="1" ht="21.75" customHeight="1" x14ac:dyDescent="0.15">
      <c r="A170" s="151" t="s">
        <v>5628</v>
      </c>
      <c r="B170" s="20" t="s">
        <v>4728</v>
      </c>
      <c r="C170" s="723" t="s">
        <v>4982</v>
      </c>
      <c r="D170" s="723" t="s">
        <v>5631</v>
      </c>
      <c r="E170" s="723" t="s">
        <v>761</v>
      </c>
      <c r="F170" s="184" t="s">
        <v>5078</v>
      </c>
      <c r="G170" s="235" t="s">
        <v>5030</v>
      </c>
      <c r="H170" s="638">
        <v>21193</v>
      </c>
      <c r="I170" s="194">
        <v>0</v>
      </c>
      <c r="J170" s="194">
        <v>47500</v>
      </c>
      <c r="K170" s="185">
        <v>0.5</v>
      </c>
      <c r="L170" s="183" t="s">
        <v>4706</v>
      </c>
      <c r="M170" s="183" t="s">
        <v>3433</v>
      </c>
      <c r="N170" s="183" t="s">
        <v>3433</v>
      </c>
      <c r="O170" s="721"/>
    </row>
    <row r="171" spans="1:15" s="182" customFormat="1" ht="21.75" customHeight="1" x14ac:dyDescent="0.15">
      <c r="A171" s="151" t="s">
        <v>5629</v>
      </c>
      <c r="B171" s="20" t="s">
        <v>5162</v>
      </c>
      <c r="C171" s="279" t="s">
        <v>5164</v>
      </c>
      <c r="D171" s="279" t="s">
        <v>3419</v>
      </c>
      <c r="E171" s="241" t="s">
        <v>5165</v>
      </c>
      <c r="F171" s="279" t="s">
        <v>3328</v>
      </c>
      <c r="G171" s="242" t="s">
        <v>5166</v>
      </c>
      <c r="H171" s="723">
        <v>20167</v>
      </c>
      <c r="I171" s="194">
        <v>0</v>
      </c>
      <c r="J171" s="194">
        <v>394250</v>
      </c>
      <c r="K171" s="185">
        <v>0.95</v>
      </c>
      <c r="L171" s="183" t="s">
        <v>4711</v>
      </c>
      <c r="M171" s="183" t="s">
        <v>4399</v>
      </c>
      <c r="N171" s="183" t="s">
        <v>4399</v>
      </c>
      <c r="O171" s="226" t="s">
        <v>5632</v>
      </c>
    </row>
    <row r="172" spans="1:15" s="182" customFormat="1" ht="21.75" customHeight="1" x14ac:dyDescent="0.15">
      <c r="A172" s="151" t="s">
        <v>5628</v>
      </c>
      <c r="B172" s="20" t="s">
        <v>5404</v>
      </c>
      <c r="C172" s="224" t="s">
        <v>3325</v>
      </c>
      <c r="D172" s="224" t="s">
        <v>3439</v>
      </c>
      <c r="E172" s="180" t="s">
        <v>4102</v>
      </c>
      <c r="F172" s="224" t="s">
        <v>3340</v>
      </c>
      <c r="G172" s="239" t="s">
        <v>3336</v>
      </c>
      <c r="H172" s="638">
        <v>21198</v>
      </c>
      <c r="I172" s="194">
        <v>0</v>
      </c>
      <c r="J172" s="194">
        <v>50600</v>
      </c>
      <c r="K172" s="185">
        <v>0.92</v>
      </c>
      <c r="L172" s="183" t="s">
        <v>4707</v>
      </c>
      <c r="M172" s="183" t="s">
        <v>3433</v>
      </c>
      <c r="N172" s="183" t="s">
        <v>3433</v>
      </c>
      <c r="O172" s="721"/>
    </row>
    <row r="173" spans="1:15" s="182" customFormat="1" ht="21.75" customHeight="1" x14ac:dyDescent="0.15">
      <c r="A173" s="151" t="s">
        <v>5629</v>
      </c>
      <c r="B173" s="20" t="s">
        <v>4744</v>
      </c>
      <c r="C173" s="241" t="s">
        <v>3363</v>
      </c>
      <c r="D173" s="241" t="s">
        <v>3354</v>
      </c>
      <c r="E173" s="241" t="s">
        <v>4049</v>
      </c>
      <c r="F173" s="241" t="s">
        <v>3328</v>
      </c>
      <c r="G173" s="242" t="s">
        <v>4375</v>
      </c>
      <c r="H173" s="638">
        <v>21003</v>
      </c>
      <c r="I173" s="194">
        <v>0</v>
      </c>
      <c r="J173" s="194">
        <v>165000</v>
      </c>
      <c r="K173" s="185">
        <v>1</v>
      </c>
      <c r="L173" s="183" t="s">
        <v>4707</v>
      </c>
      <c r="M173" s="183" t="s">
        <v>3957</v>
      </c>
      <c r="N173" s="183" t="s">
        <v>3957</v>
      </c>
      <c r="O173" s="721"/>
    </row>
    <row r="174" spans="1:15" s="182" customFormat="1" ht="21.75" customHeight="1" x14ac:dyDescent="0.15">
      <c r="A174" s="151" t="s">
        <v>5630</v>
      </c>
      <c r="B174" s="20" t="s">
        <v>4745</v>
      </c>
      <c r="C174" s="279" t="s">
        <v>3363</v>
      </c>
      <c r="D174" s="279" t="s">
        <v>3354</v>
      </c>
      <c r="E174" s="279" t="s">
        <v>4454</v>
      </c>
      <c r="F174" s="279" t="s">
        <v>3328</v>
      </c>
      <c r="G174" s="242" t="s">
        <v>3518</v>
      </c>
      <c r="H174" s="638">
        <v>19143</v>
      </c>
      <c r="I174" s="194">
        <v>0</v>
      </c>
      <c r="J174" s="194">
        <v>15000</v>
      </c>
      <c r="K174" s="185" t="s">
        <v>5636</v>
      </c>
      <c r="L174" s="183" t="s">
        <v>5637</v>
      </c>
      <c r="M174" s="183" t="s">
        <v>3725</v>
      </c>
      <c r="N174" s="183" t="s">
        <v>3957</v>
      </c>
      <c r="O174" s="721"/>
    </row>
    <row r="175" spans="1:15" s="182" customFormat="1" ht="21.75" customHeight="1" x14ac:dyDescent="0.15">
      <c r="A175" s="151" t="s">
        <v>5633</v>
      </c>
      <c r="B175" s="20" t="s">
        <v>4745</v>
      </c>
      <c r="C175" s="279" t="s">
        <v>3363</v>
      </c>
      <c r="D175" s="279" t="s">
        <v>3354</v>
      </c>
      <c r="E175" s="279" t="s">
        <v>4454</v>
      </c>
      <c r="F175" s="279" t="s">
        <v>3328</v>
      </c>
      <c r="G175" s="242" t="s">
        <v>3518</v>
      </c>
      <c r="H175" s="638">
        <v>19143</v>
      </c>
      <c r="I175" s="194">
        <v>0</v>
      </c>
      <c r="J175" s="194">
        <v>39000</v>
      </c>
      <c r="K175" s="185" t="s">
        <v>5638</v>
      </c>
      <c r="L175" s="183" t="s">
        <v>5639</v>
      </c>
      <c r="M175" s="183" t="s">
        <v>3725</v>
      </c>
      <c r="N175" s="183" t="s">
        <v>3957</v>
      </c>
      <c r="O175" s="723"/>
    </row>
    <row r="176" spans="1:15" s="182" customFormat="1" ht="21.75" customHeight="1" x14ac:dyDescent="0.15">
      <c r="A176" s="151" t="s">
        <v>5633</v>
      </c>
      <c r="B176" s="20" t="s">
        <v>4701</v>
      </c>
      <c r="C176" s="241" t="s">
        <v>3376</v>
      </c>
      <c r="D176" s="241" t="s">
        <v>3682</v>
      </c>
      <c r="E176" s="241" t="s">
        <v>4243</v>
      </c>
      <c r="F176" s="241" t="s">
        <v>3332</v>
      </c>
      <c r="G176" s="242" t="s">
        <v>3566</v>
      </c>
      <c r="H176" s="638">
        <v>20192</v>
      </c>
      <c r="I176" s="194">
        <v>0</v>
      </c>
      <c r="J176" s="194">
        <v>70000</v>
      </c>
      <c r="K176" s="185" t="s">
        <v>3105</v>
      </c>
      <c r="L176" s="183" t="s">
        <v>4706</v>
      </c>
      <c r="M176" s="183" t="s">
        <v>4708</v>
      </c>
      <c r="N176" s="183" t="s">
        <v>4708</v>
      </c>
      <c r="O176" s="723"/>
    </row>
    <row r="177" spans="1:15" s="182" customFormat="1" ht="21.75" customHeight="1" x14ac:dyDescent="0.15">
      <c r="A177" s="151" t="s">
        <v>5633</v>
      </c>
      <c r="B177" s="20" t="s">
        <v>4738</v>
      </c>
      <c r="C177" s="241" t="s">
        <v>3376</v>
      </c>
      <c r="D177" s="368" t="s">
        <v>3516</v>
      </c>
      <c r="E177" s="596" t="s">
        <v>3871</v>
      </c>
      <c r="F177" s="241" t="s">
        <v>3332</v>
      </c>
      <c r="G177" s="242" t="s">
        <v>3566</v>
      </c>
      <c r="H177" s="638">
        <v>20190</v>
      </c>
      <c r="I177" s="194">
        <v>0</v>
      </c>
      <c r="J177" s="194">
        <v>100000</v>
      </c>
      <c r="K177" s="185" t="s">
        <v>3105</v>
      </c>
      <c r="L177" s="183" t="s">
        <v>4706</v>
      </c>
      <c r="M177" s="183" t="s">
        <v>4708</v>
      </c>
      <c r="N177" s="183" t="s">
        <v>4708</v>
      </c>
      <c r="O177" s="723"/>
    </row>
    <row r="178" spans="1:15" s="182" customFormat="1" ht="21.75" customHeight="1" x14ac:dyDescent="0.15">
      <c r="A178" s="151" t="s">
        <v>5633</v>
      </c>
      <c r="B178" s="20" t="s">
        <v>4702</v>
      </c>
      <c r="C178" s="241" t="s">
        <v>3376</v>
      </c>
      <c r="D178" s="241" t="s">
        <v>3682</v>
      </c>
      <c r="E178" s="241" t="s">
        <v>4245</v>
      </c>
      <c r="F178" s="241" t="s">
        <v>3332</v>
      </c>
      <c r="G178" s="242" t="s">
        <v>3566</v>
      </c>
      <c r="H178" s="638">
        <v>20193</v>
      </c>
      <c r="I178" s="194">
        <v>0</v>
      </c>
      <c r="J178" s="194">
        <v>70000</v>
      </c>
      <c r="K178" s="185" t="s">
        <v>3105</v>
      </c>
      <c r="L178" s="183" t="s">
        <v>4706</v>
      </c>
      <c r="M178" s="183" t="s">
        <v>4708</v>
      </c>
      <c r="N178" s="183" t="s">
        <v>4708</v>
      </c>
      <c r="O178" s="723"/>
    </row>
    <row r="179" spans="1:15" s="182" customFormat="1" ht="21.75" customHeight="1" x14ac:dyDescent="0.15">
      <c r="A179" s="151" t="s">
        <v>5633</v>
      </c>
      <c r="B179" s="20" t="s">
        <v>4704</v>
      </c>
      <c r="C179" s="241" t="s">
        <v>3376</v>
      </c>
      <c r="D179" s="241" t="s">
        <v>3682</v>
      </c>
      <c r="E179" s="236" t="s">
        <v>3683</v>
      </c>
      <c r="F179" s="241" t="s">
        <v>3332</v>
      </c>
      <c r="G179" s="242" t="s">
        <v>3566</v>
      </c>
      <c r="H179" s="638">
        <v>20191</v>
      </c>
      <c r="I179" s="194">
        <v>0</v>
      </c>
      <c r="J179" s="194">
        <v>70000</v>
      </c>
      <c r="K179" s="185" t="s">
        <v>3105</v>
      </c>
      <c r="L179" s="183" t="s">
        <v>4706</v>
      </c>
      <c r="M179" s="183" t="s">
        <v>4708</v>
      </c>
      <c r="N179" s="183" t="s">
        <v>4708</v>
      </c>
      <c r="O179" s="723"/>
    </row>
    <row r="180" spans="1:15" s="182" customFormat="1" ht="21.75" customHeight="1" x14ac:dyDescent="0.15">
      <c r="A180" s="151" t="s">
        <v>5634</v>
      </c>
      <c r="B180" s="20" t="s">
        <v>5635</v>
      </c>
      <c r="C180" s="241" t="s">
        <v>3363</v>
      </c>
      <c r="D180" s="241" t="s">
        <v>3354</v>
      </c>
      <c r="E180" s="241" t="s">
        <v>4267</v>
      </c>
      <c r="F180" s="241" t="s">
        <v>3328</v>
      </c>
      <c r="G180" s="242" t="s">
        <v>4375</v>
      </c>
      <c r="H180" s="638">
        <v>21004</v>
      </c>
      <c r="I180" s="194">
        <v>0</v>
      </c>
      <c r="J180" s="194">
        <v>165000</v>
      </c>
      <c r="K180" s="185">
        <v>1</v>
      </c>
      <c r="L180" s="183" t="s">
        <v>4707</v>
      </c>
      <c r="M180" s="183" t="s">
        <v>3957</v>
      </c>
      <c r="N180" s="183" t="s">
        <v>3957</v>
      </c>
      <c r="O180" s="724"/>
    </row>
    <row r="181" spans="1:15" s="182" customFormat="1" ht="21.75" customHeight="1" x14ac:dyDescent="0.15">
      <c r="A181" s="151" t="s">
        <v>5634</v>
      </c>
      <c r="B181" s="20" t="s">
        <v>5635</v>
      </c>
      <c r="C181" s="241" t="s">
        <v>3363</v>
      </c>
      <c r="D181" s="241" t="s">
        <v>3354</v>
      </c>
      <c r="E181" s="241" t="s">
        <v>4267</v>
      </c>
      <c r="F181" s="241" t="s">
        <v>3328</v>
      </c>
      <c r="G181" s="242" t="s">
        <v>4375</v>
      </c>
      <c r="H181" s="638">
        <v>20028</v>
      </c>
      <c r="I181" s="194">
        <v>0</v>
      </c>
      <c r="J181" s="194">
        <v>71000</v>
      </c>
      <c r="K181" s="185" t="s">
        <v>5640</v>
      </c>
      <c r="L181" s="183" t="s">
        <v>4707</v>
      </c>
      <c r="M181" s="183" t="s">
        <v>3957</v>
      </c>
      <c r="N181" s="183" t="s">
        <v>3957</v>
      </c>
      <c r="O181" s="724"/>
    </row>
    <row r="182" spans="1:15" s="182" customFormat="1" ht="21.75" customHeight="1" x14ac:dyDescent="0.15">
      <c r="A182" s="151" t="s">
        <v>5634</v>
      </c>
      <c r="B182" s="20" t="s">
        <v>5592</v>
      </c>
      <c r="C182" s="184" t="s">
        <v>5641</v>
      </c>
      <c r="D182" s="184" t="s">
        <v>5541</v>
      </c>
      <c r="E182" s="725" t="s">
        <v>3998</v>
      </c>
      <c r="F182" s="184" t="s">
        <v>5078</v>
      </c>
      <c r="G182" s="239" t="s">
        <v>5240</v>
      </c>
      <c r="H182" s="725">
        <v>22048</v>
      </c>
      <c r="I182" s="194">
        <v>0</v>
      </c>
      <c r="J182" s="194">
        <v>45600</v>
      </c>
      <c r="K182" s="185">
        <v>1</v>
      </c>
      <c r="L182" s="183" t="s">
        <v>4707</v>
      </c>
      <c r="M182" s="183" t="s">
        <v>4399</v>
      </c>
      <c r="N182" s="183" t="s">
        <v>4399</v>
      </c>
      <c r="O182" s="725"/>
    </row>
    <row r="183" spans="1:15" s="182" customFormat="1" ht="21.75" customHeight="1" x14ac:dyDescent="0.15">
      <c r="A183" s="151" t="s">
        <v>5642</v>
      </c>
      <c r="B183" s="20" t="s">
        <v>5515</v>
      </c>
      <c r="C183" s="184" t="s">
        <v>4982</v>
      </c>
      <c r="D183" s="184" t="s">
        <v>5018</v>
      </c>
      <c r="E183" s="184" t="s">
        <v>5609</v>
      </c>
      <c r="F183" s="184" t="s">
        <v>5198</v>
      </c>
      <c r="G183" s="235" t="s">
        <v>5530</v>
      </c>
      <c r="H183" s="726">
        <v>21092</v>
      </c>
      <c r="I183" s="194">
        <v>250000</v>
      </c>
      <c r="J183" s="194">
        <v>0</v>
      </c>
      <c r="K183" s="185" t="s">
        <v>5643</v>
      </c>
      <c r="L183" s="183" t="s">
        <v>5005</v>
      </c>
      <c r="M183" s="183" t="s">
        <v>3726</v>
      </c>
      <c r="N183" s="183" t="s">
        <v>3726</v>
      </c>
      <c r="O183" s="726" t="s">
        <v>5647</v>
      </c>
    </row>
    <row r="184" spans="1:15" s="182" customFormat="1" ht="21.75" customHeight="1" x14ac:dyDescent="0.15">
      <c r="A184" s="151" t="s">
        <v>5642</v>
      </c>
      <c r="B184" s="20" t="s">
        <v>5515</v>
      </c>
      <c r="C184" s="184" t="s">
        <v>4982</v>
      </c>
      <c r="D184" s="184" t="s">
        <v>5018</v>
      </c>
      <c r="E184" s="184" t="s">
        <v>5609</v>
      </c>
      <c r="F184" s="184" t="s">
        <v>5198</v>
      </c>
      <c r="G184" s="235" t="s">
        <v>5530</v>
      </c>
      <c r="H184" s="726">
        <v>21092</v>
      </c>
      <c r="I184" s="194">
        <v>58199.06</v>
      </c>
      <c r="J184" s="194">
        <v>0</v>
      </c>
      <c r="K184" s="185" t="s">
        <v>5644</v>
      </c>
      <c r="L184" s="183" t="s">
        <v>4824</v>
      </c>
      <c r="M184" s="183" t="s">
        <v>3726</v>
      </c>
      <c r="N184" s="183" t="s">
        <v>3726</v>
      </c>
      <c r="O184" s="726" t="s">
        <v>5648</v>
      </c>
    </row>
    <row r="185" spans="1:15" s="182" customFormat="1" ht="21.75" customHeight="1" x14ac:dyDescent="0.15">
      <c r="A185" s="151" t="s">
        <v>5642</v>
      </c>
      <c r="B185" s="20" t="s">
        <v>5515</v>
      </c>
      <c r="C185" s="184" t="s">
        <v>4982</v>
      </c>
      <c r="D185" s="184" t="s">
        <v>5018</v>
      </c>
      <c r="E185" s="184" t="s">
        <v>5529</v>
      </c>
      <c r="F185" s="184" t="s">
        <v>5198</v>
      </c>
      <c r="G185" s="235" t="s">
        <v>5530</v>
      </c>
      <c r="H185" s="726">
        <v>21091</v>
      </c>
      <c r="I185" s="194">
        <v>191346.44</v>
      </c>
      <c r="J185" s="194">
        <v>0</v>
      </c>
      <c r="K185" s="185" t="s">
        <v>5645</v>
      </c>
      <c r="L185" s="183" t="s">
        <v>5004</v>
      </c>
      <c r="M185" s="183" t="s">
        <v>3726</v>
      </c>
      <c r="N185" s="183" t="s">
        <v>3726</v>
      </c>
      <c r="O185" s="726" t="s">
        <v>5648</v>
      </c>
    </row>
    <row r="186" spans="1:15" s="182" customFormat="1" ht="21.75" customHeight="1" x14ac:dyDescent="0.15">
      <c r="A186" s="151" t="s">
        <v>5642</v>
      </c>
      <c r="B186" s="20" t="s">
        <v>5515</v>
      </c>
      <c r="C186" s="184" t="s">
        <v>4982</v>
      </c>
      <c r="D186" s="184" t="s">
        <v>5018</v>
      </c>
      <c r="E186" s="184" t="s">
        <v>5609</v>
      </c>
      <c r="F186" s="184" t="s">
        <v>5198</v>
      </c>
      <c r="G186" s="235" t="s">
        <v>5530</v>
      </c>
      <c r="H186" s="684">
        <v>21092</v>
      </c>
      <c r="I186" s="194">
        <v>454.5</v>
      </c>
      <c r="J186" s="194">
        <v>0</v>
      </c>
      <c r="K186" s="194" t="s">
        <v>5646</v>
      </c>
      <c r="L186" s="183" t="s">
        <v>4724</v>
      </c>
      <c r="M186" s="183" t="s">
        <v>3726</v>
      </c>
      <c r="N186" s="183" t="s">
        <v>3726</v>
      </c>
      <c r="O186" s="726" t="s">
        <v>5648</v>
      </c>
    </row>
    <row r="187" spans="1:15" s="182" customFormat="1" ht="21.75" customHeight="1" x14ac:dyDescent="0.15">
      <c r="A187" s="151" t="s">
        <v>5649</v>
      </c>
      <c r="B187" s="20" t="s">
        <v>4745</v>
      </c>
      <c r="C187" s="241" t="s">
        <v>3363</v>
      </c>
      <c r="D187" s="241" t="s">
        <v>3354</v>
      </c>
      <c r="E187" s="241" t="s">
        <v>4454</v>
      </c>
      <c r="F187" s="241" t="s">
        <v>3328</v>
      </c>
      <c r="G187" s="242" t="s">
        <v>4375</v>
      </c>
      <c r="H187" s="727">
        <v>21001</v>
      </c>
      <c r="I187" s="194">
        <v>0</v>
      </c>
      <c r="J187" s="194">
        <v>165000</v>
      </c>
      <c r="K187" s="185">
        <v>1</v>
      </c>
      <c r="L187" s="183" t="s">
        <v>4707</v>
      </c>
      <c r="M187" s="183" t="s">
        <v>3957</v>
      </c>
      <c r="N187" s="183" t="s">
        <v>3957</v>
      </c>
      <c r="O187" s="727"/>
    </row>
    <row r="188" spans="1:15" s="182" customFormat="1" ht="21.75" customHeight="1" x14ac:dyDescent="0.15">
      <c r="A188" s="151" t="s">
        <v>5649</v>
      </c>
      <c r="B188" s="20" t="s">
        <v>5651</v>
      </c>
      <c r="C188" s="730" t="s">
        <v>3363</v>
      </c>
      <c r="D188" s="241" t="s">
        <v>3457</v>
      </c>
      <c r="E188" s="599" t="s">
        <v>2685</v>
      </c>
      <c r="F188" s="241" t="s">
        <v>3344</v>
      </c>
      <c r="G188" s="242" t="s">
        <v>5653</v>
      </c>
      <c r="H188" s="638" t="s">
        <v>5655</v>
      </c>
      <c r="I188" s="194">
        <v>0</v>
      </c>
      <c r="J188" s="194">
        <v>31500</v>
      </c>
      <c r="K188" s="185">
        <v>0.2</v>
      </c>
      <c r="L188" s="183" t="s">
        <v>5248</v>
      </c>
      <c r="M188" s="596" t="s">
        <v>3725</v>
      </c>
      <c r="N188" s="596" t="s">
        <v>3726</v>
      </c>
      <c r="O188" s="727"/>
    </row>
    <row r="189" spans="1:15" s="182" customFormat="1" ht="21.75" customHeight="1" x14ac:dyDescent="0.15">
      <c r="A189" s="151" t="s">
        <v>5649</v>
      </c>
      <c r="B189" s="20" t="s">
        <v>5651</v>
      </c>
      <c r="C189" s="730" t="s">
        <v>3363</v>
      </c>
      <c r="D189" s="241" t="s">
        <v>3457</v>
      </c>
      <c r="E189" s="599" t="s">
        <v>2685</v>
      </c>
      <c r="F189" s="241" t="s">
        <v>5198</v>
      </c>
      <c r="G189" s="242" t="s">
        <v>5654</v>
      </c>
      <c r="H189" s="638" t="s">
        <v>5656</v>
      </c>
      <c r="I189" s="194">
        <v>0</v>
      </c>
      <c r="J189" s="194">
        <v>16400</v>
      </c>
      <c r="K189" s="185">
        <v>0.2</v>
      </c>
      <c r="L189" s="183" t="s">
        <v>5248</v>
      </c>
      <c r="M189" s="596" t="s">
        <v>3725</v>
      </c>
      <c r="N189" s="596" t="s">
        <v>3726</v>
      </c>
      <c r="O189" s="728"/>
    </row>
    <row r="190" spans="1:15" s="182" customFormat="1" ht="21.75" customHeight="1" x14ac:dyDescent="0.15">
      <c r="A190" s="151" t="s">
        <v>5650</v>
      </c>
      <c r="B190" s="20" t="s">
        <v>595</v>
      </c>
      <c r="C190" s="241" t="s">
        <v>3346</v>
      </c>
      <c r="D190" s="241" t="s">
        <v>3637</v>
      </c>
      <c r="E190" s="241" t="s">
        <v>596</v>
      </c>
      <c r="F190" s="292" t="s">
        <v>3328</v>
      </c>
      <c r="G190" s="242" t="s">
        <v>3381</v>
      </c>
      <c r="H190" s="727">
        <v>21037</v>
      </c>
      <c r="I190" s="194">
        <v>0</v>
      </c>
      <c r="J190" s="194">
        <v>40000</v>
      </c>
      <c r="K190" s="185">
        <v>0.5</v>
      </c>
      <c r="L190" s="183" t="s">
        <v>4706</v>
      </c>
      <c r="M190" s="183" t="s">
        <v>3434</v>
      </c>
      <c r="N190" s="183" t="s">
        <v>3434</v>
      </c>
      <c r="O190" s="727"/>
    </row>
    <row r="191" spans="1:15" s="182" customFormat="1" ht="21.75" customHeight="1" x14ac:dyDescent="0.15">
      <c r="A191" s="151" t="s">
        <v>5650</v>
      </c>
      <c r="B191" s="20" t="s">
        <v>5662</v>
      </c>
      <c r="C191" s="241" t="s">
        <v>3346</v>
      </c>
      <c r="D191" s="241" t="s">
        <v>3637</v>
      </c>
      <c r="E191" s="241" t="s">
        <v>596</v>
      </c>
      <c r="F191" s="292" t="s">
        <v>3328</v>
      </c>
      <c r="G191" s="242" t="s">
        <v>3381</v>
      </c>
      <c r="H191" s="731">
        <v>21037</v>
      </c>
      <c r="I191" s="194">
        <v>0</v>
      </c>
      <c r="J191" s="194">
        <v>40000</v>
      </c>
      <c r="K191" s="185">
        <v>0.5</v>
      </c>
      <c r="L191" s="183" t="s">
        <v>4706</v>
      </c>
      <c r="M191" s="183" t="s">
        <v>3434</v>
      </c>
      <c r="N191" s="183" t="s">
        <v>3434</v>
      </c>
      <c r="O191" s="731"/>
    </row>
    <row r="192" spans="1:15" s="182" customFormat="1" ht="21.75" customHeight="1" x14ac:dyDescent="0.15">
      <c r="A192" s="151" t="s">
        <v>5650</v>
      </c>
      <c r="B192" s="20" t="s">
        <v>5652</v>
      </c>
      <c r="C192" s="728" t="s">
        <v>4941</v>
      </c>
      <c r="D192" s="728" t="s">
        <v>4942</v>
      </c>
      <c r="E192" s="728" t="s">
        <v>5657</v>
      </c>
      <c r="F192" s="207" t="s">
        <v>3328</v>
      </c>
      <c r="G192" s="235" t="s">
        <v>5658</v>
      </c>
      <c r="H192" s="727">
        <v>21112</v>
      </c>
      <c r="I192" s="194">
        <v>166500</v>
      </c>
      <c r="J192" s="194">
        <v>0</v>
      </c>
      <c r="K192" s="185">
        <v>0.9</v>
      </c>
      <c r="L192" s="183" t="s">
        <v>5659</v>
      </c>
      <c r="M192" s="183" t="s">
        <v>3726</v>
      </c>
      <c r="N192" s="183" t="s">
        <v>3726</v>
      </c>
      <c r="O192" s="226" t="s">
        <v>5663</v>
      </c>
    </row>
    <row r="193" spans="1:15" s="182" customFormat="1" ht="21.75" customHeight="1" x14ac:dyDescent="0.15">
      <c r="A193" s="151" t="s">
        <v>5660</v>
      </c>
      <c r="B193" s="20" t="s">
        <v>5318</v>
      </c>
      <c r="C193" s="241" t="s">
        <v>3384</v>
      </c>
      <c r="D193" s="241" t="s">
        <v>3354</v>
      </c>
      <c r="E193" s="241" t="s">
        <v>5321</v>
      </c>
      <c r="F193" s="279" t="s">
        <v>3328</v>
      </c>
      <c r="G193" s="242" t="s">
        <v>5322</v>
      </c>
      <c r="H193" s="729">
        <v>16069</v>
      </c>
      <c r="I193" s="194">
        <v>108538.458</v>
      </c>
      <c r="J193" s="194">
        <v>0</v>
      </c>
      <c r="K193" s="185" t="s">
        <v>5664</v>
      </c>
      <c r="L193" s="183" t="s">
        <v>4824</v>
      </c>
      <c r="M193" s="183" t="s">
        <v>4699</v>
      </c>
      <c r="N193" s="183" t="s">
        <v>3726</v>
      </c>
      <c r="O193" s="731" t="s">
        <v>5667</v>
      </c>
    </row>
    <row r="194" spans="1:15" s="182" customFormat="1" ht="21.75" customHeight="1" x14ac:dyDescent="0.15">
      <c r="A194" s="151" t="s">
        <v>5660</v>
      </c>
      <c r="B194" s="20" t="s">
        <v>5318</v>
      </c>
      <c r="C194" s="241" t="s">
        <v>3384</v>
      </c>
      <c r="D194" s="241" t="s">
        <v>3352</v>
      </c>
      <c r="E194" s="241" t="s">
        <v>5665</v>
      </c>
      <c r="F194" s="241" t="s">
        <v>3328</v>
      </c>
      <c r="G194" s="242" t="s">
        <v>3453</v>
      </c>
      <c r="H194" s="731">
        <v>20037</v>
      </c>
      <c r="I194" s="194">
        <v>291461.53999999998</v>
      </c>
      <c r="J194" s="194">
        <v>0</v>
      </c>
      <c r="K194" s="185" t="s">
        <v>5666</v>
      </c>
      <c r="L194" s="183" t="s">
        <v>4694</v>
      </c>
      <c r="M194" s="183" t="s">
        <v>4699</v>
      </c>
      <c r="N194" s="183" t="s">
        <v>3726</v>
      </c>
      <c r="O194" s="731" t="s">
        <v>5667</v>
      </c>
    </row>
    <row r="195" spans="1:15" s="182" customFormat="1" ht="21.75" customHeight="1" x14ac:dyDescent="0.15">
      <c r="A195" s="151" t="s">
        <v>5661</v>
      </c>
      <c r="B195" s="20" t="s">
        <v>5050</v>
      </c>
      <c r="C195" s="241" t="s">
        <v>3346</v>
      </c>
      <c r="D195" s="241" t="s">
        <v>3347</v>
      </c>
      <c r="E195" s="596" t="s">
        <v>3542</v>
      </c>
      <c r="F195" s="241" t="s">
        <v>3328</v>
      </c>
      <c r="G195" s="242" t="s">
        <v>3349</v>
      </c>
      <c r="H195" s="731">
        <v>20034</v>
      </c>
      <c r="I195" s="194">
        <v>0</v>
      </c>
      <c r="J195" s="194">
        <v>37500</v>
      </c>
      <c r="K195" s="185">
        <v>0.25</v>
      </c>
      <c r="L195" s="183" t="s">
        <v>4706</v>
      </c>
      <c r="M195" s="183" t="s">
        <v>3725</v>
      </c>
      <c r="N195" s="183" t="s">
        <v>3726</v>
      </c>
      <c r="O195" s="226"/>
    </row>
    <row r="196" spans="1:15" s="182" customFormat="1" ht="21.75" customHeight="1" x14ac:dyDescent="0.15">
      <c r="A196" s="151" t="s">
        <v>5661</v>
      </c>
      <c r="B196" s="20" t="s">
        <v>5050</v>
      </c>
      <c r="C196" s="241" t="s">
        <v>3346</v>
      </c>
      <c r="D196" s="241" t="s">
        <v>3347</v>
      </c>
      <c r="E196" s="596" t="s">
        <v>3542</v>
      </c>
      <c r="F196" s="241" t="s">
        <v>3328</v>
      </c>
      <c r="G196" s="242" t="s">
        <v>3349</v>
      </c>
      <c r="H196" s="731">
        <v>21014</v>
      </c>
      <c r="I196" s="194">
        <v>0</v>
      </c>
      <c r="J196" s="194">
        <v>37125</v>
      </c>
      <c r="K196" s="185">
        <v>0.25</v>
      </c>
      <c r="L196" s="183" t="s">
        <v>4706</v>
      </c>
      <c r="M196" s="183" t="s">
        <v>3725</v>
      </c>
      <c r="N196" s="183" t="s">
        <v>3726</v>
      </c>
      <c r="O196" s="226"/>
    </row>
    <row r="197" spans="1:15" s="182" customFormat="1" ht="21.75" customHeight="1" x14ac:dyDescent="0.15">
      <c r="A197" s="151" t="s">
        <v>5683</v>
      </c>
      <c r="B197" s="20" t="s">
        <v>4715</v>
      </c>
      <c r="C197" s="241" t="s">
        <v>3351</v>
      </c>
      <c r="D197" s="241" t="s">
        <v>3347</v>
      </c>
      <c r="E197" s="241" t="s">
        <v>4360</v>
      </c>
      <c r="F197" s="241" t="s">
        <v>3340</v>
      </c>
      <c r="G197" s="242" t="s">
        <v>3477</v>
      </c>
      <c r="H197" s="736">
        <v>21065</v>
      </c>
      <c r="I197" s="194">
        <v>0</v>
      </c>
      <c r="J197" s="194">
        <v>10000</v>
      </c>
      <c r="K197" s="185">
        <v>0.1</v>
      </c>
      <c r="L197" s="183" t="s">
        <v>4724</v>
      </c>
      <c r="M197" s="730" t="s">
        <v>3726</v>
      </c>
      <c r="N197" s="241" t="s">
        <v>3726</v>
      </c>
      <c r="O197" s="736"/>
    </row>
    <row r="198" spans="1:15" s="182" customFormat="1" ht="21.75" customHeight="1" x14ac:dyDescent="0.15">
      <c r="A198" s="151" t="s">
        <v>5668</v>
      </c>
      <c r="B198" s="20" t="s">
        <v>5670</v>
      </c>
      <c r="C198" s="732" t="s">
        <v>3351</v>
      </c>
      <c r="D198" s="732" t="s">
        <v>3326</v>
      </c>
      <c r="E198" s="732" t="s">
        <v>5672</v>
      </c>
      <c r="F198" s="224" t="s">
        <v>3328</v>
      </c>
      <c r="G198" s="239" t="s">
        <v>5240</v>
      </c>
      <c r="H198" s="732">
        <v>22037</v>
      </c>
      <c r="I198" s="194">
        <v>0</v>
      </c>
      <c r="J198" s="194">
        <v>29800</v>
      </c>
      <c r="K198" s="185">
        <v>1</v>
      </c>
      <c r="L198" s="183" t="s">
        <v>4707</v>
      </c>
      <c r="M198" s="183" t="s">
        <v>3726</v>
      </c>
      <c r="N198" s="183" t="s">
        <v>3726</v>
      </c>
      <c r="O198" s="226"/>
    </row>
    <row r="199" spans="1:15" s="182" customFormat="1" ht="21.75" customHeight="1" x14ac:dyDescent="0.15">
      <c r="A199" s="151" t="s">
        <v>5669</v>
      </c>
      <c r="B199" s="20" t="s">
        <v>5671</v>
      </c>
      <c r="C199" s="732" t="s">
        <v>3351</v>
      </c>
      <c r="D199" s="732" t="s">
        <v>3326</v>
      </c>
      <c r="E199" s="732" t="s">
        <v>4106</v>
      </c>
      <c r="F199" s="224" t="s">
        <v>3328</v>
      </c>
      <c r="G199" s="239" t="s">
        <v>5240</v>
      </c>
      <c r="H199" s="732">
        <v>22038</v>
      </c>
      <c r="I199" s="194">
        <v>0</v>
      </c>
      <c r="J199" s="194">
        <v>29800</v>
      </c>
      <c r="K199" s="185">
        <v>1</v>
      </c>
      <c r="L199" s="183" t="s">
        <v>4707</v>
      </c>
      <c r="M199" s="183" t="s">
        <v>3726</v>
      </c>
      <c r="N199" s="183" t="s">
        <v>3726</v>
      </c>
      <c r="O199" s="226"/>
    </row>
    <row r="200" spans="1:15" s="182" customFormat="1" ht="21.75" customHeight="1" x14ac:dyDescent="0.15">
      <c r="A200" s="151" t="s">
        <v>5673</v>
      </c>
      <c r="B200" s="20" t="s">
        <v>4715</v>
      </c>
      <c r="C200" s="733" t="s">
        <v>3351</v>
      </c>
      <c r="D200" s="733" t="s">
        <v>3347</v>
      </c>
      <c r="E200" s="733" t="s">
        <v>4360</v>
      </c>
      <c r="F200" s="184" t="s">
        <v>4944</v>
      </c>
      <c r="G200" s="239" t="s">
        <v>5240</v>
      </c>
      <c r="H200" s="733" t="s">
        <v>5674</v>
      </c>
      <c r="I200" s="194">
        <v>0</v>
      </c>
      <c r="J200" s="194">
        <v>25200</v>
      </c>
      <c r="K200" s="185">
        <v>0.9</v>
      </c>
      <c r="L200" s="183" t="s">
        <v>4711</v>
      </c>
      <c r="M200" s="183" t="s">
        <v>3726</v>
      </c>
      <c r="N200" s="183" t="s">
        <v>3726</v>
      </c>
      <c r="O200" s="226"/>
    </row>
    <row r="201" spans="1:15" s="182" customFormat="1" ht="21.75" customHeight="1" x14ac:dyDescent="0.15">
      <c r="A201" s="151" t="s">
        <v>5675</v>
      </c>
      <c r="B201" s="20" t="s">
        <v>5676</v>
      </c>
      <c r="C201" s="241" t="s">
        <v>3351</v>
      </c>
      <c r="D201" s="241" t="s">
        <v>3354</v>
      </c>
      <c r="E201" s="241" t="s">
        <v>3521</v>
      </c>
      <c r="F201" s="267" t="s">
        <v>3328</v>
      </c>
      <c r="G201" s="242" t="s">
        <v>3566</v>
      </c>
      <c r="H201" s="734">
        <v>20055</v>
      </c>
      <c r="I201" s="194">
        <v>0</v>
      </c>
      <c r="J201" s="194">
        <v>89100</v>
      </c>
      <c r="K201" s="185">
        <v>0.33</v>
      </c>
      <c r="L201" s="183" t="s">
        <v>4706</v>
      </c>
      <c r="M201" s="183" t="s">
        <v>4699</v>
      </c>
      <c r="N201" s="183" t="s">
        <v>3726</v>
      </c>
      <c r="O201" s="226"/>
    </row>
    <row r="202" spans="1:15" s="182" customFormat="1" ht="21.75" customHeight="1" x14ac:dyDescent="0.15">
      <c r="A202" s="151" t="s">
        <v>5677</v>
      </c>
      <c r="B202" s="20" t="s">
        <v>5678</v>
      </c>
      <c r="C202" s="164" t="s">
        <v>3351</v>
      </c>
      <c r="D202" s="164" t="s">
        <v>3352</v>
      </c>
      <c r="E202" s="164" t="s">
        <v>5680</v>
      </c>
      <c r="F202" s="184" t="s">
        <v>5078</v>
      </c>
      <c r="G202" s="235" t="s">
        <v>5681</v>
      </c>
      <c r="H202" s="735" t="s">
        <v>5679</v>
      </c>
      <c r="I202" s="194">
        <v>0</v>
      </c>
      <c r="J202" s="194">
        <v>554000</v>
      </c>
      <c r="K202" s="185" t="s">
        <v>5682</v>
      </c>
      <c r="L202" s="183" t="s">
        <v>4707</v>
      </c>
      <c r="M202" s="183" t="s">
        <v>3726</v>
      </c>
      <c r="N202" s="183" t="s">
        <v>3726</v>
      </c>
      <c r="O202" s="226"/>
    </row>
    <row r="203" spans="1:15" s="182" customFormat="1" ht="21.75" customHeight="1" x14ac:dyDescent="0.15">
      <c r="A203" s="151" t="s">
        <v>5684</v>
      </c>
      <c r="B203" s="20" t="s">
        <v>772</v>
      </c>
      <c r="C203" s="241" t="s">
        <v>3325</v>
      </c>
      <c r="D203" s="241" t="s">
        <v>3415</v>
      </c>
      <c r="E203" s="614" t="s">
        <v>41</v>
      </c>
      <c r="F203" s="247" t="s">
        <v>3328</v>
      </c>
      <c r="G203" s="55" t="s">
        <v>5687</v>
      </c>
      <c r="H203" s="638">
        <v>12020</v>
      </c>
      <c r="I203" s="194">
        <v>0</v>
      </c>
      <c r="J203" s="194">
        <v>7800</v>
      </c>
      <c r="K203" s="185">
        <v>0.1</v>
      </c>
      <c r="L203" s="183" t="s">
        <v>4724</v>
      </c>
      <c r="M203" s="267" t="s">
        <v>3433</v>
      </c>
      <c r="N203" s="596" t="s">
        <v>3957</v>
      </c>
      <c r="O203" s="226"/>
    </row>
    <row r="204" spans="1:15" s="182" customFormat="1" ht="21.75" customHeight="1" x14ac:dyDescent="0.15">
      <c r="A204" s="151" t="s">
        <v>5684</v>
      </c>
      <c r="B204" s="20" t="s">
        <v>772</v>
      </c>
      <c r="C204" s="241" t="s">
        <v>3325</v>
      </c>
      <c r="D204" s="241" t="s">
        <v>3415</v>
      </c>
      <c r="E204" s="614" t="s">
        <v>41</v>
      </c>
      <c r="F204" s="719" t="s">
        <v>3328</v>
      </c>
      <c r="G204" s="248" t="s">
        <v>5688</v>
      </c>
      <c r="H204" s="638">
        <v>13010</v>
      </c>
      <c r="I204" s="194">
        <v>0</v>
      </c>
      <c r="J204" s="194">
        <v>74000</v>
      </c>
      <c r="K204" s="185">
        <v>0.5</v>
      </c>
      <c r="L204" s="183" t="s">
        <v>4706</v>
      </c>
      <c r="M204" s="267" t="s">
        <v>3433</v>
      </c>
      <c r="N204" s="596" t="s">
        <v>3957</v>
      </c>
      <c r="O204" s="226"/>
    </row>
    <row r="205" spans="1:15" s="182" customFormat="1" ht="21.75" customHeight="1" x14ac:dyDescent="0.15">
      <c r="A205" s="151" t="s">
        <v>5685</v>
      </c>
      <c r="B205" s="20" t="s">
        <v>5461</v>
      </c>
      <c r="C205" s="279" t="s">
        <v>3351</v>
      </c>
      <c r="D205" s="279" t="s">
        <v>3717</v>
      </c>
      <c r="E205" s="737" t="s">
        <v>5485</v>
      </c>
      <c r="F205" s="224" t="s">
        <v>3328</v>
      </c>
      <c r="G205" s="235" t="s">
        <v>3329</v>
      </c>
      <c r="H205" s="737">
        <v>21134</v>
      </c>
      <c r="I205" s="194">
        <v>0</v>
      </c>
      <c r="J205" s="194">
        <v>105900</v>
      </c>
      <c r="K205" s="185">
        <v>0.3</v>
      </c>
      <c r="L205" s="183" t="s">
        <v>5527</v>
      </c>
      <c r="M205" s="184" t="s">
        <v>5255</v>
      </c>
      <c r="N205" s="184" t="s">
        <v>5255</v>
      </c>
      <c r="O205" s="226"/>
    </row>
    <row r="206" spans="1:15" s="182" customFormat="1" ht="21.75" customHeight="1" x14ac:dyDescent="0.15">
      <c r="A206" s="151" t="s">
        <v>5686</v>
      </c>
      <c r="B206" s="20" t="s">
        <v>5027</v>
      </c>
      <c r="C206" s="184" t="s">
        <v>4963</v>
      </c>
      <c r="D206" s="184" t="s">
        <v>5028</v>
      </c>
      <c r="E206" s="184" t="s">
        <v>5029</v>
      </c>
      <c r="F206" s="224" t="s">
        <v>3328</v>
      </c>
      <c r="G206" s="239" t="s">
        <v>5240</v>
      </c>
      <c r="H206" s="737">
        <v>22070</v>
      </c>
      <c r="I206" s="194">
        <v>0</v>
      </c>
      <c r="J206" s="194">
        <v>30000</v>
      </c>
      <c r="K206" s="185">
        <v>1</v>
      </c>
      <c r="L206" s="183" t="s">
        <v>4707</v>
      </c>
      <c r="M206" s="183" t="s">
        <v>3957</v>
      </c>
      <c r="N206" s="183" t="s">
        <v>3957</v>
      </c>
      <c r="O206" s="226"/>
    </row>
    <row r="207" spans="1:15" s="182" customFormat="1" ht="21.75" customHeight="1" x14ac:dyDescent="0.15">
      <c r="A207" s="151" t="s">
        <v>5689</v>
      </c>
      <c r="B207" s="20" t="s">
        <v>5560</v>
      </c>
      <c r="C207" s="236" t="s">
        <v>3363</v>
      </c>
      <c r="D207" s="738" t="s">
        <v>3967</v>
      </c>
      <c r="E207" s="180" t="s">
        <v>3975</v>
      </c>
      <c r="F207" s="224" t="s">
        <v>3328</v>
      </c>
      <c r="G207" s="239" t="s">
        <v>3349</v>
      </c>
      <c r="H207" s="739">
        <v>22109</v>
      </c>
      <c r="I207" s="194">
        <v>0</v>
      </c>
      <c r="J207" s="194">
        <v>6000</v>
      </c>
      <c r="K207" s="185">
        <v>0.2</v>
      </c>
      <c r="L207" s="183" t="s">
        <v>4706</v>
      </c>
      <c r="M207" s="183" t="s">
        <v>3957</v>
      </c>
      <c r="N207" s="183" t="s">
        <v>3957</v>
      </c>
      <c r="O207" s="226"/>
    </row>
    <row r="208" spans="1:15" s="182" customFormat="1" ht="21.75" customHeight="1" x14ac:dyDescent="0.15">
      <c r="A208" s="151" t="s">
        <v>5689</v>
      </c>
      <c r="B208" s="20" t="s">
        <v>5552</v>
      </c>
      <c r="C208" s="236" t="s">
        <v>3363</v>
      </c>
      <c r="D208" s="738" t="s">
        <v>3967</v>
      </c>
      <c r="E208" s="180" t="s">
        <v>3969</v>
      </c>
      <c r="F208" s="224" t="s">
        <v>3328</v>
      </c>
      <c r="G208" s="239" t="s">
        <v>3349</v>
      </c>
      <c r="H208" s="739">
        <v>22111</v>
      </c>
      <c r="I208" s="194">
        <v>0</v>
      </c>
      <c r="J208" s="194">
        <v>6000</v>
      </c>
      <c r="K208" s="185">
        <v>0.2</v>
      </c>
      <c r="L208" s="183" t="s">
        <v>4706</v>
      </c>
      <c r="M208" s="183" t="s">
        <v>3957</v>
      </c>
      <c r="N208" s="183" t="s">
        <v>3957</v>
      </c>
      <c r="O208" s="226"/>
    </row>
    <row r="209" spans="1:15" s="182" customFormat="1" ht="21.75" customHeight="1" x14ac:dyDescent="0.15">
      <c r="A209" s="151" t="s">
        <v>5690</v>
      </c>
      <c r="B209" s="20" t="s">
        <v>4728</v>
      </c>
      <c r="C209" s="279" t="s">
        <v>3346</v>
      </c>
      <c r="D209" s="241" t="s">
        <v>4156</v>
      </c>
      <c r="E209" s="614" t="s">
        <v>952</v>
      </c>
      <c r="F209" s="241" t="s">
        <v>4213</v>
      </c>
      <c r="G209" s="242" t="s">
        <v>4214</v>
      </c>
      <c r="H209" s="739">
        <v>16084</v>
      </c>
      <c r="I209" s="194">
        <v>0</v>
      </c>
      <c r="J209" s="194">
        <v>40190</v>
      </c>
      <c r="K209" s="185">
        <v>0.1</v>
      </c>
      <c r="L209" s="183" t="s">
        <v>4724</v>
      </c>
      <c r="M209" s="241" t="s">
        <v>3612</v>
      </c>
      <c r="N209" s="596" t="s">
        <v>3433</v>
      </c>
      <c r="O209" s="226"/>
    </row>
    <row r="210" spans="1:15" s="182" customFormat="1" ht="21.75" customHeight="1" x14ac:dyDescent="0.15">
      <c r="A210" s="151" t="s">
        <v>5692</v>
      </c>
      <c r="B210" s="20" t="s">
        <v>5409</v>
      </c>
      <c r="C210" s="184" t="s">
        <v>4963</v>
      </c>
      <c r="D210" s="184" t="s">
        <v>5153</v>
      </c>
      <c r="E210" s="184" t="s">
        <v>5420</v>
      </c>
      <c r="F210" s="184" t="s">
        <v>5078</v>
      </c>
      <c r="G210" s="235" t="s">
        <v>5030</v>
      </c>
      <c r="H210" s="740">
        <v>21144</v>
      </c>
      <c r="I210" s="194">
        <v>0</v>
      </c>
      <c r="J210" s="194">
        <v>76500</v>
      </c>
      <c r="K210" s="185">
        <v>0.9</v>
      </c>
      <c r="L210" s="183" t="s">
        <v>4706</v>
      </c>
      <c r="M210" s="241" t="s">
        <v>3957</v>
      </c>
      <c r="N210" s="596" t="s">
        <v>3957</v>
      </c>
      <c r="O210" s="226"/>
    </row>
    <row r="211" spans="1:15" s="182" customFormat="1" ht="21.75" customHeight="1" x14ac:dyDescent="0.15">
      <c r="A211" s="151" t="s">
        <v>5693</v>
      </c>
      <c r="B211" s="20" t="s">
        <v>4893</v>
      </c>
      <c r="C211" s="184" t="s">
        <v>3985</v>
      </c>
      <c r="D211" s="184" t="s">
        <v>3572</v>
      </c>
      <c r="E211" s="184" t="s">
        <v>5697</v>
      </c>
      <c r="F211" s="224" t="s">
        <v>3328</v>
      </c>
      <c r="G211" s="239" t="s">
        <v>5240</v>
      </c>
      <c r="H211" s="741">
        <v>22081</v>
      </c>
      <c r="I211" s="194">
        <v>0</v>
      </c>
      <c r="J211" s="194">
        <v>30000</v>
      </c>
      <c r="K211" s="185">
        <v>1</v>
      </c>
      <c r="L211" s="183" t="s">
        <v>4707</v>
      </c>
      <c r="M211" s="183" t="s">
        <v>3957</v>
      </c>
      <c r="N211" s="183" t="s">
        <v>3957</v>
      </c>
      <c r="O211" s="226"/>
    </row>
    <row r="212" spans="1:15" s="182" customFormat="1" ht="21.75" customHeight="1" x14ac:dyDescent="0.15">
      <c r="A212" s="151" t="s">
        <v>5694</v>
      </c>
      <c r="B212" s="242" t="s">
        <v>4677</v>
      </c>
      <c r="C212" s="279" t="s">
        <v>3363</v>
      </c>
      <c r="D212" s="279" t="s">
        <v>3457</v>
      </c>
      <c r="E212" s="279" t="s">
        <v>3458</v>
      </c>
      <c r="F212" s="599" t="s">
        <v>3328</v>
      </c>
      <c r="G212" s="242" t="s">
        <v>3349</v>
      </c>
      <c r="H212" s="742">
        <v>21043</v>
      </c>
      <c r="I212" s="194">
        <v>0</v>
      </c>
      <c r="J212" s="194">
        <v>48150</v>
      </c>
      <c r="K212" s="222">
        <v>0.48149999999999998</v>
      </c>
      <c r="L212" s="183" t="s">
        <v>4706</v>
      </c>
      <c r="M212" s="183" t="s">
        <v>3957</v>
      </c>
      <c r="N212" s="183" t="s">
        <v>3957</v>
      </c>
      <c r="O212" s="226"/>
    </row>
    <row r="213" spans="1:15" s="182" customFormat="1" ht="21.75" customHeight="1" x14ac:dyDescent="0.15">
      <c r="A213" s="151" t="s">
        <v>5694</v>
      </c>
      <c r="B213" s="242" t="s">
        <v>4677</v>
      </c>
      <c r="C213" s="224" t="s">
        <v>3363</v>
      </c>
      <c r="D213" s="224" t="s">
        <v>3457</v>
      </c>
      <c r="E213" s="224" t="s">
        <v>3458</v>
      </c>
      <c r="F213" s="207" t="s">
        <v>3328</v>
      </c>
      <c r="G213" s="235" t="s">
        <v>5030</v>
      </c>
      <c r="H213" s="741">
        <v>22071</v>
      </c>
      <c r="I213" s="194">
        <v>0</v>
      </c>
      <c r="J213" s="194">
        <v>50000</v>
      </c>
      <c r="K213" s="185">
        <v>0.5</v>
      </c>
      <c r="L213" s="183" t="s">
        <v>4706</v>
      </c>
      <c r="M213" s="183" t="s">
        <v>3957</v>
      </c>
      <c r="N213" s="183" t="s">
        <v>3957</v>
      </c>
      <c r="O213" s="226"/>
    </row>
    <row r="214" spans="1:15" s="182" customFormat="1" ht="21.75" customHeight="1" x14ac:dyDescent="0.15">
      <c r="A214" s="151" t="s">
        <v>5695</v>
      </c>
      <c r="B214" s="20" t="s">
        <v>5696</v>
      </c>
      <c r="C214" s="279" t="s">
        <v>3346</v>
      </c>
      <c r="D214" s="241" t="s">
        <v>3360</v>
      </c>
      <c r="E214" s="614" t="s">
        <v>5046</v>
      </c>
      <c r="F214" s="279" t="s">
        <v>3355</v>
      </c>
      <c r="G214" s="242" t="s">
        <v>5698</v>
      </c>
      <c r="H214" s="741">
        <v>16039</v>
      </c>
      <c r="I214" s="194">
        <v>0</v>
      </c>
      <c r="J214" s="194">
        <v>28000</v>
      </c>
      <c r="K214" s="185">
        <v>0.1</v>
      </c>
      <c r="L214" s="183" t="s">
        <v>4724</v>
      </c>
      <c r="M214" s="267" t="s">
        <v>3433</v>
      </c>
      <c r="N214" s="267" t="s">
        <v>3433</v>
      </c>
      <c r="O214" s="226"/>
    </row>
    <row r="215" spans="1:15" s="182" customFormat="1" ht="21.75" customHeight="1" x14ac:dyDescent="0.15">
      <c r="A215" s="151" t="s">
        <v>5699</v>
      </c>
      <c r="B215" s="20" t="s">
        <v>4789</v>
      </c>
      <c r="C215" s="241" t="s">
        <v>3346</v>
      </c>
      <c r="D215" s="241" t="s">
        <v>4808</v>
      </c>
      <c r="E215" s="241" t="s">
        <v>4809</v>
      </c>
      <c r="F215" s="241" t="s">
        <v>3340</v>
      </c>
      <c r="G215" s="605" t="s">
        <v>3477</v>
      </c>
      <c r="H215" s="743" t="s">
        <v>4812</v>
      </c>
      <c r="I215" s="194">
        <v>0</v>
      </c>
      <c r="J215" s="194">
        <v>2800</v>
      </c>
      <c r="K215" s="185" t="s">
        <v>5706</v>
      </c>
      <c r="L215" s="183" t="s">
        <v>5005</v>
      </c>
      <c r="M215" s="267" t="s">
        <v>3434</v>
      </c>
      <c r="N215" s="267" t="s">
        <v>3434</v>
      </c>
      <c r="O215" s="226"/>
    </row>
    <row r="216" spans="1:15" s="182" customFormat="1" ht="21.75" customHeight="1" x14ac:dyDescent="0.15">
      <c r="A216" s="151" t="s">
        <v>5700</v>
      </c>
      <c r="B216" s="20" t="s">
        <v>5050</v>
      </c>
      <c r="C216" s="744" t="s">
        <v>3346</v>
      </c>
      <c r="D216" s="744" t="s">
        <v>3347</v>
      </c>
      <c r="E216" s="30" t="s">
        <v>3542</v>
      </c>
      <c r="F216" s="554"/>
      <c r="G216" s="555"/>
      <c r="H216" s="743">
        <v>22104</v>
      </c>
      <c r="I216" s="194">
        <v>0</v>
      </c>
      <c r="J216" s="194">
        <v>81500</v>
      </c>
      <c r="K216" s="185">
        <v>1</v>
      </c>
      <c r="L216" s="183" t="s">
        <v>4707</v>
      </c>
      <c r="M216" s="267" t="s">
        <v>3725</v>
      </c>
      <c r="N216" s="267" t="s">
        <v>3725</v>
      </c>
      <c r="O216" s="226"/>
    </row>
    <row r="217" spans="1:15" s="182" customFormat="1" ht="21.75" customHeight="1" x14ac:dyDescent="0.15">
      <c r="A217" s="151" t="s">
        <v>5700</v>
      </c>
      <c r="B217" s="20" t="s">
        <v>5691</v>
      </c>
      <c r="C217" s="236" t="s">
        <v>3363</v>
      </c>
      <c r="D217" s="738" t="s">
        <v>3967</v>
      </c>
      <c r="E217" s="180" t="s">
        <v>3968</v>
      </c>
      <c r="F217" s="224" t="s">
        <v>3328</v>
      </c>
      <c r="G217" s="239" t="s">
        <v>3349</v>
      </c>
      <c r="H217" s="739">
        <v>22110</v>
      </c>
      <c r="I217" s="194">
        <v>0</v>
      </c>
      <c r="J217" s="194">
        <v>6000</v>
      </c>
      <c r="K217" s="185">
        <v>0.2</v>
      </c>
      <c r="L217" s="183" t="s">
        <v>4706</v>
      </c>
      <c r="M217" s="183" t="s">
        <v>3957</v>
      </c>
      <c r="N217" s="183" t="s">
        <v>3957</v>
      </c>
      <c r="O217" s="226"/>
    </row>
    <row r="218" spans="1:15" s="182" customFormat="1" ht="21.75" customHeight="1" x14ac:dyDescent="0.15">
      <c r="A218" s="151" t="s">
        <v>5701</v>
      </c>
      <c r="B218" s="20" t="s">
        <v>5702</v>
      </c>
      <c r="C218" s="184" t="s">
        <v>4941</v>
      </c>
      <c r="D218" s="184" t="s">
        <v>4942</v>
      </c>
      <c r="E218" s="184" t="s">
        <v>5704</v>
      </c>
      <c r="F218" s="184" t="s">
        <v>5078</v>
      </c>
      <c r="G218" s="235" t="s">
        <v>5705</v>
      </c>
      <c r="H218" s="744">
        <v>22126</v>
      </c>
      <c r="I218" s="194">
        <v>0</v>
      </c>
      <c r="J218" s="194">
        <v>152600</v>
      </c>
      <c r="K218" s="185">
        <v>0.7</v>
      </c>
      <c r="L218" s="183" t="s">
        <v>4697</v>
      </c>
      <c r="M218" s="267" t="s">
        <v>3726</v>
      </c>
      <c r="N218" s="267" t="s">
        <v>3726</v>
      </c>
      <c r="O218" s="226"/>
    </row>
    <row r="219" spans="1:15" s="182" customFormat="1" ht="21.75" customHeight="1" x14ac:dyDescent="0.15">
      <c r="A219" s="151" t="s">
        <v>5703</v>
      </c>
      <c r="B219" s="20" t="s">
        <v>4789</v>
      </c>
      <c r="C219" s="241" t="s">
        <v>3346</v>
      </c>
      <c r="D219" s="241" t="s">
        <v>4808</v>
      </c>
      <c r="E219" s="241" t="s">
        <v>4809</v>
      </c>
      <c r="F219" s="241" t="s">
        <v>3340</v>
      </c>
      <c r="G219" s="605" t="s">
        <v>3477</v>
      </c>
      <c r="H219" s="744" t="s">
        <v>4812</v>
      </c>
      <c r="I219" s="194">
        <v>34000</v>
      </c>
      <c r="J219" s="194">
        <v>0</v>
      </c>
      <c r="K219" s="185" t="s">
        <v>5707</v>
      </c>
      <c r="L219" s="183" t="s">
        <v>5004</v>
      </c>
      <c r="M219" s="267" t="s">
        <v>3434</v>
      </c>
      <c r="N219" s="267" t="s">
        <v>3434</v>
      </c>
      <c r="O219" s="745" t="s">
        <v>5708</v>
      </c>
    </row>
    <row r="220" spans="1:15" s="182" customFormat="1" ht="21.75" customHeight="1" x14ac:dyDescent="0.15">
      <c r="A220" s="151" t="s">
        <v>5703</v>
      </c>
      <c r="B220" s="20" t="s">
        <v>4789</v>
      </c>
      <c r="C220" s="241" t="s">
        <v>3346</v>
      </c>
      <c r="D220" s="241" t="s">
        <v>4808</v>
      </c>
      <c r="E220" s="241" t="s">
        <v>4809</v>
      </c>
      <c r="F220" s="241" t="s">
        <v>3355</v>
      </c>
      <c r="G220" s="605" t="s">
        <v>4017</v>
      </c>
      <c r="H220" s="744" t="s">
        <v>4807</v>
      </c>
      <c r="I220" s="194">
        <v>16000</v>
      </c>
      <c r="J220" s="194">
        <v>0</v>
      </c>
      <c r="K220" s="185">
        <v>0.1</v>
      </c>
      <c r="L220" s="183" t="s">
        <v>4724</v>
      </c>
      <c r="M220" s="267" t="s">
        <v>3434</v>
      </c>
      <c r="N220" s="267" t="s">
        <v>3434</v>
      </c>
      <c r="O220" s="745" t="s">
        <v>5708</v>
      </c>
    </row>
    <row r="221" spans="1:15" s="182" customFormat="1" ht="21.75" customHeight="1" x14ac:dyDescent="0.15">
      <c r="A221" s="151" t="s">
        <v>5709</v>
      </c>
      <c r="B221" s="20" t="s">
        <v>5712</v>
      </c>
      <c r="C221" s="746" t="s">
        <v>4982</v>
      </c>
      <c r="D221" s="746" t="s">
        <v>5541</v>
      </c>
      <c r="E221" s="746" t="s">
        <v>5713</v>
      </c>
      <c r="F221" s="554"/>
      <c r="G221" s="555"/>
      <c r="H221" s="746">
        <v>22103</v>
      </c>
      <c r="I221" s="194">
        <v>0</v>
      </c>
      <c r="J221" s="194">
        <v>80500</v>
      </c>
      <c r="K221" s="185">
        <v>1</v>
      </c>
      <c r="L221" s="183" t="s">
        <v>4707</v>
      </c>
      <c r="M221" s="184" t="s">
        <v>662</v>
      </c>
      <c r="N221" s="184" t="s">
        <v>662</v>
      </c>
      <c r="O221" s="746"/>
    </row>
    <row r="222" spans="1:15" s="182" customFormat="1" ht="21.75" customHeight="1" x14ac:dyDescent="0.15">
      <c r="A222" s="151" t="s">
        <v>5710</v>
      </c>
      <c r="B222" s="20" t="s">
        <v>5560</v>
      </c>
      <c r="C222" s="184" t="s">
        <v>4963</v>
      </c>
      <c r="D222" s="184" t="s">
        <v>5714</v>
      </c>
      <c r="E222" s="184" t="s">
        <v>5715</v>
      </c>
      <c r="F222" s="184" t="s">
        <v>5078</v>
      </c>
      <c r="G222" s="239" t="s">
        <v>5240</v>
      </c>
      <c r="H222" s="746">
        <v>22125</v>
      </c>
      <c r="I222" s="194">
        <v>0</v>
      </c>
      <c r="J222" s="194">
        <v>30000</v>
      </c>
      <c r="K222" s="185">
        <v>1</v>
      </c>
      <c r="L222" s="183" t="s">
        <v>4707</v>
      </c>
      <c r="M222" s="267" t="s">
        <v>3957</v>
      </c>
      <c r="N222" s="267" t="s">
        <v>3957</v>
      </c>
      <c r="O222" s="746"/>
    </row>
    <row r="223" spans="1:15" s="182" customFormat="1" ht="21.75" customHeight="1" x14ac:dyDescent="0.15">
      <c r="A223" s="151" t="s">
        <v>5711</v>
      </c>
      <c r="B223" s="20" t="s">
        <v>4956</v>
      </c>
      <c r="C223" s="747" t="s">
        <v>5213</v>
      </c>
      <c r="D223" s="747" t="s">
        <v>5214</v>
      </c>
      <c r="E223" s="747" t="s">
        <v>5215</v>
      </c>
      <c r="F223" s="184" t="s">
        <v>3340</v>
      </c>
      <c r="G223" s="235" t="s">
        <v>5030</v>
      </c>
      <c r="H223" s="746">
        <v>22065</v>
      </c>
      <c r="I223" s="194">
        <v>0</v>
      </c>
      <c r="J223" s="194">
        <v>37500</v>
      </c>
      <c r="K223" s="185">
        <v>0.5</v>
      </c>
      <c r="L223" s="183" t="s">
        <v>4706</v>
      </c>
      <c r="M223" s="267" t="s">
        <v>3726</v>
      </c>
      <c r="N223" s="267" t="s">
        <v>3726</v>
      </c>
      <c r="O223" s="746"/>
    </row>
    <row r="224" spans="1:15" s="182" customFormat="1" ht="21.75" customHeight="1" x14ac:dyDescent="0.15">
      <c r="A224" s="151" t="s">
        <v>5711</v>
      </c>
      <c r="B224" s="226" t="s">
        <v>5554</v>
      </c>
      <c r="C224" s="184" t="s">
        <v>4941</v>
      </c>
      <c r="D224" s="184" t="s">
        <v>5076</v>
      </c>
      <c r="E224" s="749" t="s">
        <v>4064</v>
      </c>
      <c r="F224" s="224" t="s">
        <v>3328</v>
      </c>
      <c r="G224" s="235" t="s">
        <v>5030</v>
      </c>
      <c r="H224" s="748">
        <v>22102</v>
      </c>
      <c r="I224" s="194">
        <v>0</v>
      </c>
      <c r="J224" s="194">
        <v>95000</v>
      </c>
      <c r="K224" s="185">
        <v>0.95</v>
      </c>
      <c r="L224" s="183" t="s">
        <v>4707</v>
      </c>
      <c r="M224" s="267" t="s">
        <v>3726</v>
      </c>
      <c r="N224" s="267" t="s">
        <v>3726</v>
      </c>
      <c r="O224" s="748"/>
    </row>
    <row r="225" spans="1:15" s="182" customFormat="1" ht="21.75" customHeight="1" x14ac:dyDescent="0.15">
      <c r="A225" s="151" t="s">
        <v>5716</v>
      </c>
      <c r="B225" s="20" t="s">
        <v>4833</v>
      </c>
      <c r="C225" s="184" t="s">
        <v>3346</v>
      </c>
      <c r="D225" s="184" t="s">
        <v>3326</v>
      </c>
      <c r="E225" s="184" t="s">
        <v>873</v>
      </c>
      <c r="F225" s="184" t="s">
        <v>3328</v>
      </c>
      <c r="G225" s="235" t="s">
        <v>3349</v>
      </c>
      <c r="H225" s="747">
        <v>21081</v>
      </c>
      <c r="I225" s="194">
        <v>0</v>
      </c>
      <c r="J225" s="194">
        <v>120000</v>
      </c>
      <c r="K225" s="185">
        <v>1</v>
      </c>
      <c r="L225" s="183" t="s">
        <v>4706</v>
      </c>
      <c r="M225" s="267" t="s">
        <v>3434</v>
      </c>
      <c r="N225" s="267" t="s">
        <v>3434</v>
      </c>
      <c r="O225" s="747"/>
    </row>
    <row r="226" spans="1:15" s="182" customFormat="1" ht="21.75" customHeight="1" x14ac:dyDescent="0.15">
      <c r="A226" s="151" t="s">
        <v>5716</v>
      </c>
      <c r="B226" s="20" t="s">
        <v>5717</v>
      </c>
      <c r="C226" s="184" t="s">
        <v>4963</v>
      </c>
      <c r="D226" s="184" t="s">
        <v>4964</v>
      </c>
      <c r="E226" s="184" t="s">
        <v>4965</v>
      </c>
      <c r="F226" s="184" t="s">
        <v>3328</v>
      </c>
      <c r="G226" s="235" t="s">
        <v>3329</v>
      </c>
      <c r="H226" s="748">
        <v>21086</v>
      </c>
      <c r="I226" s="194">
        <v>0</v>
      </c>
      <c r="J226" s="194">
        <v>109100</v>
      </c>
      <c r="K226" s="185" t="s">
        <v>5718</v>
      </c>
      <c r="L226" s="183" t="s">
        <v>4824</v>
      </c>
      <c r="M226" s="241" t="s">
        <v>3434</v>
      </c>
      <c r="N226" s="241" t="s">
        <v>3434</v>
      </c>
      <c r="O226" s="748"/>
    </row>
    <row r="227" spans="1:15" s="182" customFormat="1" ht="21.75" customHeight="1" x14ac:dyDescent="0.15">
      <c r="A227" s="151" t="s">
        <v>5719</v>
      </c>
      <c r="B227" s="20" t="s">
        <v>595</v>
      </c>
      <c r="C227" s="184" t="s">
        <v>4982</v>
      </c>
      <c r="D227" s="184" t="s">
        <v>5721</v>
      </c>
      <c r="E227" s="184" t="s">
        <v>820</v>
      </c>
      <c r="F227" s="292" t="s">
        <v>3328</v>
      </c>
      <c r="G227" s="235" t="s">
        <v>3381</v>
      </c>
      <c r="H227" s="750">
        <v>22067</v>
      </c>
      <c r="I227" s="194">
        <v>0</v>
      </c>
      <c r="J227" s="194">
        <v>20000</v>
      </c>
      <c r="K227" s="185">
        <v>0.25</v>
      </c>
      <c r="L227" s="183" t="s">
        <v>4706</v>
      </c>
      <c r="M227" s="267" t="s">
        <v>3434</v>
      </c>
      <c r="N227" s="267" t="s">
        <v>3434</v>
      </c>
      <c r="O227" s="750"/>
    </row>
    <row r="228" spans="1:15" s="182" customFormat="1" ht="21.75" customHeight="1" x14ac:dyDescent="0.15">
      <c r="A228" s="151" t="s">
        <v>5719</v>
      </c>
      <c r="B228" s="20" t="s">
        <v>5662</v>
      </c>
      <c r="C228" s="184" t="s">
        <v>4982</v>
      </c>
      <c r="D228" s="184" t="s">
        <v>5721</v>
      </c>
      <c r="E228" s="184" t="s">
        <v>820</v>
      </c>
      <c r="F228" s="292" t="s">
        <v>3328</v>
      </c>
      <c r="G228" s="235" t="s">
        <v>3381</v>
      </c>
      <c r="H228" s="750">
        <v>22067</v>
      </c>
      <c r="I228" s="194">
        <v>0</v>
      </c>
      <c r="J228" s="194">
        <v>20000</v>
      </c>
      <c r="K228" s="185">
        <v>0.25</v>
      </c>
      <c r="L228" s="183" t="s">
        <v>4706</v>
      </c>
      <c r="M228" s="241" t="s">
        <v>3434</v>
      </c>
      <c r="N228" s="241" t="s">
        <v>3434</v>
      </c>
      <c r="O228" s="750"/>
    </row>
    <row r="229" spans="1:15" s="182" customFormat="1" ht="21.75" customHeight="1" x14ac:dyDescent="0.15">
      <c r="A229" s="151" t="s">
        <v>5719</v>
      </c>
      <c r="B229" s="20" t="s">
        <v>4806</v>
      </c>
      <c r="C229" s="184" t="s">
        <v>4963</v>
      </c>
      <c r="D229" s="184" t="s">
        <v>5028</v>
      </c>
      <c r="E229" s="184" t="s">
        <v>5722</v>
      </c>
      <c r="F229" s="224" t="s">
        <v>3328</v>
      </c>
      <c r="G229" s="239" t="s">
        <v>5240</v>
      </c>
      <c r="H229" s="750">
        <v>22069</v>
      </c>
      <c r="I229" s="194">
        <v>0</v>
      </c>
      <c r="J229" s="194">
        <v>30000</v>
      </c>
      <c r="K229" s="185">
        <v>1</v>
      </c>
      <c r="L229" s="183" t="s">
        <v>4707</v>
      </c>
      <c r="M229" s="241" t="s">
        <v>3957</v>
      </c>
      <c r="N229" s="241" t="s">
        <v>3957</v>
      </c>
      <c r="O229" s="750"/>
    </row>
    <row r="230" spans="1:15" s="182" customFormat="1" ht="21.75" customHeight="1" x14ac:dyDescent="0.15">
      <c r="A230" s="151" t="s">
        <v>5720</v>
      </c>
      <c r="B230" s="20" t="s">
        <v>4834</v>
      </c>
      <c r="C230" s="751" t="s">
        <v>3346</v>
      </c>
      <c r="D230" s="751" t="s">
        <v>3326</v>
      </c>
      <c r="E230" s="751" t="s">
        <v>4298</v>
      </c>
      <c r="F230" s="184" t="s">
        <v>3328</v>
      </c>
      <c r="G230" s="235" t="s">
        <v>3349</v>
      </c>
      <c r="H230" s="750">
        <v>21080</v>
      </c>
      <c r="I230" s="194">
        <v>0</v>
      </c>
      <c r="J230" s="194">
        <v>120000</v>
      </c>
      <c r="K230" s="185">
        <v>1</v>
      </c>
      <c r="L230" s="183" t="s">
        <v>4706</v>
      </c>
      <c r="M230" s="241" t="s">
        <v>3434</v>
      </c>
      <c r="N230" s="241" t="s">
        <v>3434</v>
      </c>
      <c r="O230" s="750"/>
    </row>
    <row r="231" spans="1:15" s="182" customFormat="1" ht="21.75" customHeight="1" x14ac:dyDescent="0.15">
      <c r="A231" s="151" t="s">
        <v>5723</v>
      </c>
      <c r="B231" s="20" t="s">
        <v>5394</v>
      </c>
      <c r="C231" s="751" t="s">
        <v>3346</v>
      </c>
      <c r="D231" s="751" t="s">
        <v>3347</v>
      </c>
      <c r="E231" s="184" t="s">
        <v>5397</v>
      </c>
      <c r="F231" s="554"/>
      <c r="G231" s="555"/>
      <c r="H231" s="751">
        <v>22105</v>
      </c>
      <c r="I231" s="194">
        <v>0</v>
      </c>
      <c r="J231" s="194">
        <v>80300</v>
      </c>
      <c r="K231" s="185">
        <v>1</v>
      </c>
      <c r="L231" s="183" t="s">
        <v>4707</v>
      </c>
      <c r="M231" s="241" t="s">
        <v>3725</v>
      </c>
      <c r="N231" s="241" t="s">
        <v>3725</v>
      </c>
      <c r="O231" s="751"/>
    </row>
    <row r="232" spans="1:15" s="182" customFormat="1" ht="21.75" customHeight="1" x14ac:dyDescent="0.15">
      <c r="A232" s="151" t="s">
        <v>5724</v>
      </c>
      <c r="B232" s="20" t="s">
        <v>5725</v>
      </c>
      <c r="C232" s="184" t="s">
        <v>4963</v>
      </c>
      <c r="D232" s="184" t="s">
        <v>5153</v>
      </c>
      <c r="E232" s="184" t="s">
        <v>5179</v>
      </c>
      <c r="F232" s="267" t="s">
        <v>3328</v>
      </c>
      <c r="G232" s="239" t="s">
        <v>5240</v>
      </c>
      <c r="H232" s="752">
        <v>22030</v>
      </c>
      <c r="I232" s="194">
        <v>0</v>
      </c>
      <c r="J232" s="194">
        <v>22500</v>
      </c>
      <c r="K232" s="185">
        <v>0.9</v>
      </c>
      <c r="L232" s="183" t="s">
        <v>4711</v>
      </c>
      <c r="M232" s="241" t="s">
        <v>3957</v>
      </c>
      <c r="N232" s="241" t="s">
        <v>3957</v>
      </c>
      <c r="O232" s="752"/>
    </row>
    <row r="233" spans="1:15" s="182" customFormat="1" ht="21.75" customHeight="1" x14ac:dyDescent="0.15">
      <c r="A233" s="151" t="s">
        <v>5724</v>
      </c>
      <c r="B233" s="20" t="s">
        <v>5726</v>
      </c>
      <c r="C233" s="184" t="s">
        <v>4963</v>
      </c>
      <c r="D233" s="184" t="s">
        <v>5153</v>
      </c>
      <c r="E233" s="184" t="s">
        <v>5179</v>
      </c>
      <c r="F233" s="184" t="s">
        <v>5078</v>
      </c>
      <c r="G233" s="235" t="s">
        <v>5727</v>
      </c>
      <c r="H233" s="752">
        <v>21143</v>
      </c>
      <c r="I233" s="194">
        <v>0</v>
      </c>
      <c r="J233" s="194">
        <v>76500</v>
      </c>
      <c r="K233" s="185">
        <v>0.9</v>
      </c>
      <c r="L233" s="183" t="s">
        <v>4711</v>
      </c>
      <c r="M233" s="241" t="s">
        <v>3957</v>
      </c>
      <c r="N233" s="241" t="s">
        <v>3957</v>
      </c>
      <c r="O233" s="752"/>
    </row>
    <row r="234" spans="1:15" s="182" customFormat="1" ht="21.75" customHeight="1" x14ac:dyDescent="0.15">
      <c r="A234" s="151" t="s">
        <v>5724</v>
      </c>
      <c r="B234" s="20" t="s">
        <v>5409</v>
      </c>
      <c r="C234" s="184" t="s">
        <v>4963</v>
      </c>
      <c r="D234" s="184" t="s">
        <v>5153</v>
      </c>
      <c r="E234" s="184" t="s">
        <v>5420</v>
      </c>
      <c r="F234" s="184" t="s">
        <v>5078</v>
      </c>
      <c r="G234" s="235" t="s">
        <v>5030</v>
      </c>
      <c r="H234" s="752">
        <v>21144</v>
      </c>
      <c r="I234" s="194">
        <v>0</v>
      </c>
      <c r="J234" s="194">
        <v>8500</v>
      </c>
      <c r="K234" s="185">
        <v>0.1</v>
      </c>
      <c r="L234" s="183" t="s">
        <v>4706</v>
      </c>
      <c r="M234" s="241" t="s">
        <v>3957</v>
      </c>
      <c r="N234" s="241" t="s">
        <v>3957</v>
      </c>
      <c r="O234" s="752"/>
    </row>
    <row r="235" spans="1:15" s="182" customFormat="1" ht="21.75" customHeight="1" x14ac:dyDescent="0.15">
      <c r="A235" s="151" t="s">
        <v>5724</v>
      </c>
      <c r="B235" s="20" t="s">
        <v>637</v>
      </c>
      <c r="C235" s="754" t="s">
        <v>5567</v>
      </c>
      <c r="D235" s="754" t="s">
        <v>4942</v>
      </c>
      <c r="E235" s="754" t="s">
        <v>5728</v>
      </c>
      <c r="F235" s="184" t="s">
        <v>5078</v>
      </c>
      <c r="G235" s="235" t="s">
        <v>5030</v>
      </c>
      <c r="H235" s="753">
        <v>21158</v>
      </c>
      <c r="I235" s="194">
        <v>0</v>
      </c>
      <c r="J235" s="194">
        <v>88000</v>
      </c>
      <c r="K235" s="185">
        <v>1</v>
      </c>
      <c r="L235" s="183" t="s">
        <v>4706</v>
      </c>
      <c r="M235" s="241" t="s">
        <v>3957</v>
      </c>
      <c r="N235" s="241" t="s">
        <v>3957</v>
      </c>
      <c r="O235" s="753"/>
    </row>
    <row r="236" spans="1:15" s="182" customFormat="1" ht="21.75" customHeight="1" x14ac:dyDescent="0.15">
      <c r="A236" s="151" t="s">
        <v>5724</v>
      </c>
      <c r="B236" s="20" t="s">
        <v>4169</v>
      </c>
      <c r="C236" s="184" t="s">
        <v>4963</v>
      </c>
      <c r="D236" s="184" t="s">
        <v>5098</v>
      </c>
      <c r="E236" s="184" t="s">
        <v>791</v>
      </c>
      <c r="F236" s="184" t="s">
        <v>3328</v>
      </c>
      <c r="G236" s="235" t="s">
        <v>3353</v>
      </c>
      <c r="H236" s="744">
        <v>22120</v>
      </c>
      <c r="I236" s="194">
        <v>0</v>
      </c>
      <c r="J236" s="194">
        <v>9000</v>
      </c>
      <c r="K236" s="185">
        <v>1</v>
      </c>
      <c r="L236" s="183" t="s">
        <v>4707</v>
      </c>
      <c r="M236" s="241" t="s">
        <v>3957</v>
      </c>
      <c r="N236" s="241" t="s">
        <v>3957</v>
      </c>
      <c r="O236" s="744"/>
    </row>
    <row r="237" spans="1:15" s="182" customFormat="1" ht="21.75" customHeight="1" x14ac:dyDescent="0.15">
      <c r="A237" s="151" t="s">
        <v>5729</v>
      </c>
      <c r="B237" s="20" t="s">
        <v>5730</v>
      </c>
      <c r="C237" s="184" t="s">
        <v>5567</v>
      </c>
      <c r="D237" s="184" t="s">
        <v>5098</v>
      </c>
      <c r="E237" s="184" t="s">
        <v>777</v>
      </c>
      <c r="F237" s="184" t="s">
        <v>3328</v>
      </c>
      <c r="G237" s="235" t="s">
        <v>5731</v>
      </c>
      <c r="H237" s="755">
        <v>22118</v>
      </c>
      <c r="I237" s="194">
        <v>0</v>
      </c>
      <c r="J237" s="194">
        <v>7500</v>
      </c>
      <c r="K237" s="185">
        <v>0.5</v>
      </c>
      <c r="L237" s="183" t="s">
        <v>4707</v>
      </c>
      <c r="M237" s="241" t="s">
        <v>3957</v>
      </c>
      <c r="N237" s="241" t="s">
        <v>3957</v>
      </c>
      <c r="O237" s="755"/>
    </row>
    <row r="238" spans="1:15" s="182" customFormat="1" ht="21.75" customHeight="1" x14ac:dyDescent="0.15">
      <c r="A238" s="151" t="s">
        <v>5729</v>
      </c>
      <c r="B238" s="20" t="s">
        <v>5730</v>
      </c>
      <c r="C238" s="184" t="s">
        <v>5567</v>
      </c>
      <c r="D238" s="184" t="s">
        <v>5098</v>
      </c>
      <c r="E238" s="184" t="s">
        <v>777</v>
      </c>
      <c r="F238" s="184" t="s">
        <v>3328</v>
      </c>
      <c r="G238" s="235" t="s">
        <v>5731</v>
      </c>
      <c r="H238" s="755">
        <v>22118</v>
      </c>
      <c r="I238" s="194">
        <v>0</v>
      </c>
      <c r="J238" s="194">
        <v>7500</v>
      </c>
      <c r="K238" s="185">
        <v>0.5</v>
      </c>
      <c r="L238" s="183" t="s">
        <v>4707</v>
      </c>
      <c r="M238" s="241" t="s">
        <v>3957</v>
      </c>
      <c r="N238" s="241" t="s">
        <v>3957</v>
      </c>
      <c r="O238" s="755"/>
    </row>
    <row r="239" spans="1:15" s="182" customFormat="1" ht="21.75" customHeight="1" x14ac:dyDescent="0.15">
      <c r="A239" s="151" t="s">
        <v>5732</v>
      </c>
      <c r="B239" s="20" t="s">
        <v>5734</v>
      </c>
      <c r="C239" s="581" t="s">
        <v>3346</v>
      </c>
      <c r="D239" s="581" t="s">
        <v>3354</v>
      </c>
      <c r="E239" s="285" t="s">
        <v>4723</v>
      </c>
      <c r="F239" s="224" t="s">
        <v>3328</v>
      </c>
      <c r="G239" s="235" t="s">
        <v>4375</v>
      </c>
      <c r="H239" s="638" t="s">
        <v>5735</v>
      </c>
      <c r="I239" s="194">
        <v>0</v>
      </c>
      <c r="J239" s="194">
        <v>74000</v>
      </c>
      <c r="K239" s="185">
        <v>0.5</v>
      </c>
      <c r="L239" s="183" t="s">
        <v>4706</v>
      </c>
      <c r="M239" s="184" t="s">
        <v>3725</v>
      </c>
      <c r="N239" s="184" t="s">
        <v>5255</v>
      </c>
      <c r="O239" s="757"/>
    </row>
    <row r="240" spans="1:15" s="182" customFormat="1" ht="21.75" customHeight="1" x14ac:dyDescent="0.15">
      <c r="A240" s="151" t="s">
        <v>5732</v>
      </c>
      <c r="B240" s="20" t="s">
        <v>5733</v>
      </c>
      <c r="C240" s="236" t="s">
        <v>3346</v>
      </c>
      <c r="D240" s="756" t="s">
        <v>3354</v>
      </c>
      <c r="E240" s="180" t="s">
        <v>4130</v>
      </c>
      <c r="F240" s="224" t="s">
        <v>3328</v>
      </c>
      <c r="G240" s="235" t="s">
        <v>4375</v>
      </c>
      <c r="H240" s="638">
        <v>21184</v>
      </c>
      <c r="I240" s="194">
        <v>0</v>
      </c>
      <c r="J240" s="194">
        <v>74000</v>
      </c>
      <c r="K240" s="185">
        <v>0.5</v>
      </c>
      <c r="L240" s="183" t="s">
        <v>4706</v>
      </c>
      <c r="M240" s="184" t="s">
        <v>3725</v>
      </c>
      <c r="N240" s="184" t="s">
        <v>5255</v>
      </c>
      <c r="O240" s="757"/>
    </row>
    <row r="241" spans="1:15" s="182" customFormat="1" ht="21.75" customHeight="1" x14ac:dyDescent="0.15">
      <c r="A241" s="151" t="s">
        <v>5732</v>
      </c>
      <c r="B241" s="20" t="s">
        <v>3</v>
      </c>
      <c r="C241" s="758" t="s">
        <v>3346</v>
      </c>
      <c r="D241" s="236" t="s">
        <v>3354</v>
      </c>
      <c r="E241" s="30" t="s">
        <v>921</v>
      </c>
      <c r="F241" s="184" t="s">
        <v>3328</v>
      </c>
      <c r="G241" s="235" t="s">
        <v>4375</v>
      </c>
      <c r="H241" s="638" t="s">
        <v>5736</v>
      </c>
      <c r="I241" s="194">
        <v>0</v>
      </c>
      <c r="J241" s="194">
        <v>74000</v>
      </c>
      <c r="K241" s="185">
        <v>0.5</v>
      </c>
      <c r="L241" s="183" t="s">
        <v>4706</v>
      </c>
      <c r="M241" s="184" t="s">
        <v>3725</v>
      </c>
      <c r="N241" s="184" t="s">
        <v>5255</v>
      </c>
      <c r="O241" s="757"/>
    </row>
    <row r="242" spans="1:15" s="182" customFormat="1" ht="21.75" customHeight="1" x14ac:dyDescent="0.15">
      <c r="A242" s="151" t="s">
        <v>5732</v>
      </c>
      <c r="B242" s="20" t="s">
        <v>3</v>
      </c>
      <c r="C242" s="758" t="s">
        <v>3346</v>
      </c>
      <c r="D242" s="236" t="s">
        <v>3354</v>
      </c>
      <c r="E242" s="30" t="s">
        <v>925</v>
      </c>
      <c r="F242" s="184" t="s">
        <v>3328</v>
      </c>
      <c r="G242" s="235" t="s">
        <v>4375</v>
      </c>
      <c r="H242" s="638" t="s">
        <v>5737</v>
      </c>
      <c r="I242" s="194">
        <v>0</v>
      </c>
      <c r="J242" s="194">
        <v>74000</v>
      </c>
      <c r="K242" s="185">
        <v>0.5</v>
      </c>
      <c r="L242" s="183" t="s">
        <v>4706</v>
      </c>
      <c r="M242" s="184" t="s">
        <v>3725</v>
      </c>
      <c r="N242" s="184" t="s">
        <v>5255</v>
      </c>
      <c r="O242" s="758"/>
    </row>
    <row r="243" spans="1:15" s="182" customFormat="1" ht="21.75" customHeight="1" x14ac:dyDescent="0.15">
      <c r="A243" s="151" t="s">
        <v>5732</v>
      </c>
      <c r="B243" s="20" t="s">
        <v>10</v>
      </c>
      <c r="C243" s="758" t="s">
        <v>3346</v>
      </c>
      <c r="D243" s="758" t="s">
        <v>3354</v>
      </c>
      <c r="E243" s="758" t="s">
        <v>845</v>
      </c>
      <c r="F243" s="267" t="s">
        <v>3328</v>
      </c>
      <c r="G243" s="235" t="s">
        <v>4375</v>
      </c>
      <c r="H243" s="757" t="s">
        <v>5738</v>
      </c>
      <c r="I243" s="194">
        <v>0</v>
      </c>
      <c r="J243" s="194">
        <v>74000</v>
      </c>
      <c r="K243" s="185">
        <v>0.5</v>
      </c>
      <c r="L243" s="183" t="s">
        <v>4706</v>
      </c>
      <c r="M243" s="184" t="s">
        <v>3725</v>
      </c>
      <c r="N243" s="184" t="s">
        <v>5255</v>
      </c>
      <c r="O243" s="757"/>
    </row>
    <row r="244" spans="1:15" s="182" customFormat="1" ht="21.75" customHeight="1" x14ac:dyDescent="0.15">
      <c r="A244" s="151" t="s">
        <v>5732</v>
      </c>
      <c r="B244" s="20" t="s">
        <v>3727</v>
      </c>
      <c r="C244" s="758" t="s">
        <v>3346</v>
      </c>
      <c r="D244" s="758" t="s">
        <v>3354</v>
      </c>
      <c r="E244" s="758" t="s">
        <v>846</v>
      </c>
      <c r="F244" s="267" t="s">
        <v>3328</v>
      </c>
      <c r="G244" s="235" t="s">
        <v>4375</v>
      </c>
      <c r="H244" s="757" t="s">
        <v>5739</v>
      </c>
      <c r="I244" s="194">
        <v>0</v>
      </c>
      <c r="J244" s="194">
        <v>74000</v>
      </c>
      <c r="K244" s="185">
        <v>0.5</v>
      </c>
      <c r="L244" s="183" t="s">
        <v>4706</v>
      </c>
      <c r="M244" s="184" t="s">
        <v>3725</v>
      </c>
      <c r="N244" s="184" t="s">
        <v>5255</v>
      </c>
      <c r="O244" s="757"/>
    </row>
    <row r="245" spans="1:15" s="182" customFormat="1" ht="21.75" customHeight="1" x14ac:dyDescent="0.15">
      <c r="A245" s="151" t="s">
        <v>5732</v>
      </c>
      <c r="B245" s="20" t="s">
        <v>5123</v>
      </c>
      <c r="C245" s="758" t="s">
        <v>4982</v>
      </c>
      <c r="D245" s="758" t="s">
        <v>5018</v>
      </c>
      <c r="E245" s="758" t="s">
        <v>5335</v>
      </c>
      <c r="F245" s="184" t="s">
        <v>3328</v>
      </c>
      <c r="G245" s="235" t="s">
        <v>3349</v>
      </c>
      <c r="H245" s="757">
        <v>21085</v>
      </c>
      <c r="I245" s="194">
        <v>0</v>
      </c>
      <c r="J245" s="194">
        <v>74000</v>
      </c>
      <c r="K245" s="185">
        <v>0.5</v>
      </c>
      <c r="L245" s="183" t="s">
        <v>4706</v>
      </c>
      <c r="M245" s="184" t="s">
        <v>3725</v>
      </c>
      <c r="N245" s="184" t="s">
        <v>5255</v>
      </c>
      <c r="O245" s="757"/>
    </row>
    <row r="246" spans="1:15" s="182" customFormat="1" ht="21.75" customHeight="1" x14ac:dyDescent="0.15">
      <c r="A246" s="151" t="s">
        <v>5740</v>
      </c>
      <c r="B246" s="20" t="s">
        <v>5742</v>
      </c>
      <c r="C246" s="241" t="s">
        <v>3368</v>
      </c>
      <c r="D246" s="241" t="s">
        <v>3369</v>
      </c>
      <c r="E246" s="241" t="s">
        <v>3466</v>
      </c>
      <c r="F246" s="279" t="s">
        <v>3328</v>
      </c>
      <c r="G246" s="170" t="s">
        <v>3349</v>
      </c>
      <c r="H246" s="759">
        <v>21046</v>
      </c>
      <c r="I246" s="194">
        <v>0</v>
      </c>
      <c r="J246" s="194">
        <v>78000</v>
      </c>
      <c r="K246" s="222">
        <v>0.97499999999999998</v>
      </c>
      <c r="L246" s="183" t="s">
        <v>5743</v>
      </c>
      <c r="M246" s="241" t="s">
        <v>4699</v>
      </c>
      <c r="N246" s="241" t="s">
        <v>4399</v>
      </c>
      <c r="O246" s="759"/>
    </row>
    <row r="247" spans="1:15" s="182" customFormat="1" ht="21.75" customHeight="1" x14ac:dyDescent="0.15">
      <c r="A247" s="151" t="s">
        <v>5741</v>
      </c>
      <c r="B247" s="20" t="s">
        <v>5488</v>
      </c>
      <c r="C247" s="184" t="s">
        <v>4982</v>
      </c>
      <c r="D247" s="184" t="s">
        <v>5422</v>
      </c>
      <c r="E247" s="184" t="s">
        <v>5427</v>
      </c>
      <c r="F247" s="292" t="s">
        <v>3328</v>
      </c>
      <c r="G247" s="235" t="s">
        <v>5030</v>
      </c>
      <c r="H247" s="759">
        <v>21192</v>
      </c>
      <c r="I247" s="194">
        <v>0</v>
      </c>
      <c r="J247" s="194">
        <v>48000</v>
      </c>
      <c r="K247" s="185">
        <v>0.5</v>
      </c>
      <c r="L247" s="183" t="s">
        <v>5743</v>
      </c>
      <c r="M247" s="184" t="s">
        <v>3433</v>
      </c>
      <c r="N247" s="184" t="s">
        <v>3433</v>
      </c>
      <c r="O247" s="759"/>
    </row>
    <row r="248" spans="1:15" s="182" customFormat="1" ht="21.75" customHeight="1" x14ac:dyDescent="0.15">
      <c r="A248" s="151" t="s">
        <v>5741</v>
      </c>
      <c r="B248" s="20" t="s">
        <v>631</v>
      </c>
      <c r="C248" s="241" t="s">
        <v>3325</v>
      </c>
      <c r="D248" s="241" t="s">
        <v>3439</v>
      </c>
      <c r="E248" s="241" t="s">
        <v>4230</v>
      </c>
      <c r="F248" s="241" t="s">
        <v>3328</v>
      </c>
      <c r="G248" s="242" t="s">
        <v>3353</v>
      </c>
      <c r="H248" s="759">
        <v>20047</v>
      </c>
      <c r="I248" s="194">
        <v>0</v>
      </c>
      <c r="J248" s="194">
        <v>8454</v>
      </c>
      <c r="K248" s="185">
        <v>0.1</v>
      </c>
      <c r="L248" s="183" t="s">
        <v>5744</v>
      </c>
      <c r="M248" s="184" t="s">
        <v>3433</v>
      </c>
      <c r="N248" s="184" t="s">
        <v>3433</v>
      </c>
      <c r="O248" s="759"/>
    </row>
    <row r="249" spans="1:15" s="182" customFormat="1" ht="21.75" customHeight="1" x14ac:dyDescent="0.15">
      <c r="A249" s="151" t="s">
        <v>5741</v>
      </c>
      <c r="B249" s="20" t="s">
        <v>5456</v>
      </c>
      <c r="C249" s="236" t="s">
        <v>3337</v>
      </c>
      <c r="D249" s="602" t="s">
        <v>3702</v>
      </c>
      <c r="E249" s="236" t="s">
        <v>4589</v>
      </c>
      <c r="F249" s="241" t="s">
        <v>3340</v>
      </c>
      <c r="G249" s="242" t="s">
        <v>4590</v>
      </c>
      <c r="H249" s="759">
        <v>20065</v>
      </c>
      <c r="I249" s="194">
        <v>0</v>
      </c>
      <c r="J249" s="194">
        <v>4850</v>
      </c>
      <c r="K249" s="185">
        <v>0.1</v>
      </c>
      <c r="L249" s="183" t="s">
        <v>5744</v>
      </c>
      <c r="M249" s="184" t="s">
        <v>5745</v>
      </c>
      <c r="N249" s="184" t="s">
        <v>5255</v>
      </c>
      <c r="O249" s="759"/>
    </row>
    <row r="250" spans="1:15" s="182" customFormat="1" ht="21.75" customHeight="1" x14ac:dyDescent="0.15">
      <c r="A250" s="151" t="s">
        <v>5746</v>
      </c>
      <c r="B250" s="20" t="s">
        <v>5747</v>
      </c>
      <c r="C250" s="566"/>
      <c r="D250" s="566"/>
      <c r="E250" s="566"/>
      <c r="F250" s="554"/>
      <c r="G250" s="555"/>
      <c r="H250" s="760">
        <v>22144</v>
      </c>
      <c r="I250" s="194">
        <v>0</v>
      </c>
      <c r="J250" s="194">
        <v>150000</v>
      </c>
      <c r="K250" s="185">
        <v>0.3</v>
      </c>
      <c r="L250" s="183" t="s">
        <v>806</v>
      </c>
      <c r="M250" s="184" t="s">
        <v>662</v>
      </c>
      <c r="N250" s="184" t="s">
        <v>662</v>
      </c>
      <c r="O250" s="760"/>
    </row>
    <row r="251" spans="1:15" s="182" customFormat="1" ht="21.75" customHeight="1" x14ac:dyDescent="0.15">
      <c r="A251" s="151" t="s">
        <v>5746</v>
      </c>
      <c r="B251" s="20" t="s">
        <v>4891</v>
      </c>
      <c r="C251" s="764" t="s">
        <v>5567</v>
      </c>
      <c r="D251" s="764" t="s">
        <v>5760</v>
      </c>
      <c r="E251" s="764" t="s">
        <v>5761</v>
      </c>
      <c r="F251" s="184" t="s">
        <v>5762</v>
      </c>
      <c r="G251" s="235" t="s">
        <v>5763</v>
      </c>
      <c r="H251" s="638" t="s">
        <v>5757</v>
      </c>
      <c r="I251" s="194">
        <v>0</v>
      </c>
      <c r="J251" s="194">
        <v>19114</v>
      </c>
      <c r="K251" s="185">
        <v>0.5</v>
      </c>
      <c r="L251" s="183" t="s">
        <v>806</v>
      </c>
      <c r="M251" s="184" t="s">
        <v>5765</v>
      </c>
      <c r="N251" s="184" t="s">
        <v>5765</v>
      </c>
      <c r="O251" s="760"/>
    </row>
    <row r="252" spans="1:15" s="182" customFormat="1" ht="21.75" customHeight="1" x14ac:dyDescent="0.15">
      <c r="A252" s="151" t="s">
        <v>5746</v>
      </c>
      <c r="B252" s="20" t="s">
        <v>4891</v>
      </c>
      <c r="C252" s="764" t="s">
        <v>5567</v>
      </c>
      <c r="D252" s="764" t="s">
        <v>5760</v>
      </c>
      <c r="E252" s="764" t="s">
        <v>5761</v>
      </c>
      <c r="F252" s="184" t="s">
        <v>5078</v>
      </c>
      <c r="G252" s="235" t="s">
        <v>3329</v>
      </c>
      <c r="H252" s="638" t="s">
        <v>5758</v>
      </c>
      <c r="I252" s="194">
        <v>0</v>
      </c>
      <c r="J252" s="194">
        <v>333138.5</v>
      </c>
      <c r="K252" s="185">
        <v>0.5</v>
      </c>
      <c r="L252" s="183" t="s">
        <v>806</v>
      </c>
      <c r="M252" s="184" t="s">
        <v>5765</v>
      </c>
      <c r="N252" s="184" t="s">
        <v>5765</v>
      </c>
      <c r="O252" s="764"/>
    </row>
    <row r="253" spans="1:15" s="182" customFormat="1" ht="21.75" customHeight="1" x14ac:dyDescent="0.15">
      <c r="A253" s="151" t="s">
        <v>5746</v>
      </c>
      <c r="B253" s="20" t="s">
        <v>4891</v>
      </c>
      <c r="C253" s="764" t="s">
        <v>5567</v>
      </c>
      <c r="D253" s="764" t="s">
        <v>5760</v>
      </c>
      <c r="E253" s="764" t="s">
        <v>5761</v>
      </c>
      <c r="F253" s="184" t="s">
        <v>3400</v>
      </c>
      <c r="G253" s="235" t="s">
        <v>5764</v>
      </c>
      <c r="H253" s="638" t="s">
        <v>5759</v>
      </c>
      <c r="I253" s="194">
        <v>0</v>
      </c>
      <c r="J253" s="194">
        <v>11747.5</v>
      </c>
      <c r="K253" s="185">
        <v>0.5</v>
      </c>
      <c r="L253" s="183" t="s">
        <v>806</v>
      </c>
      <c r="M253" s="184" t="s">
        <v>5765</v>
      </c>
      <c r="N253" s="184" t="s">
        <v>5765</v>
      </c>
      <c r="O253" s="764"/>
    </row>
    <row r="254" spans="1:15" s="182" customFormat="1" ht="21.75" customHeight="1" x14ac:dyDescent="0.15">
      <c r="A254" s="151" t="s">
        <v>5748</v>
      </c>
      <c r="B254" s="20" t="s">
        <v>4749</v>
      </c>
      <c r="C254" s="764" t="s">
        <v>3346</v>
      </c>
      <c r="D254" s="236" t="s">
        <v>3354</v>
      </c>
      <c r="E254" s="30" t="s">
        <v>3562</v>
      </c>
      <c r="F254" s="184" t="s">
        <v>3328</v>
      </c>
      <c r="G254" s="235" t="s">
        <v>4375</v>
      </c>
      <c r="H254" s="760" t="s">
        <v>5766</v>
      </c>
      <c r="I254" s="194">
        <v>0</v>
      </c>
      <c r="J254" s="194">
        <v>74000</v>
      </c>
      <c r="K254" s="185">
        <v>0.5</v>
      </c>
      <c r="L254" s="183" t="s">
        <v>5743</v>
      </c>
      <c r="M254" s="184" t="s">
        <v>3725</v>
      </c>
      <c r="N254" s="184" t="s">
        <v>3726</v>
      </c>
      <c r="O254" s="760"/>
    </row>
    <row r="255" spans="1:15" s="182" customFormat="1" ht="21.75" customHeight="1" x14ac:dyDescent="0.15">
      <c r="A255" s="151" t="s">
        <v>5748</v>
      </c>
      <c r="B255" s="20" t="s">
        <v>5749</v>
      </c>
      <c r="C255" s="566"/>
      <c r="D255" s="566"/>
      <c r="E255" s="566"/>
      <c r="F255" s="766"/>
      <c r="G255" s="555"/>
      <c r="H255" s="760">
        <v>22112</v>
      </c>
      <c r="I255" s="194">
        <v>0</v>
      </c>
      <c r="J255" s="194">
        <v>1134000</v>
      </c>
      <c r="K255" s="185">
        <v>0.6</v>
      </c>
      <c r="L255" s="183" t="s">
        <v>806</v>
      </c>
      <c r="M255" s="184" t="s">
        <v>662</v>
      </c>
      <c r="N255" s="184" t="s">
        <v>662</v>
      </c>
      <c r="O255" s="760"/>
    </row>
    <row r="256" spans="1:15" s="182" customFormat="1" ht="21.75" customHeight="1" x14ac:dyDescent="0.15">
      <c r="A256" s="151" t="s">
        <v>5750</v>
      </c>
      <c r="B256" s="20" t="s">
        <v>4715</v>
      </c>
      <c r="C256" s="241" t="s">
        <v>3351</v>
      </c>
      <c r="D256" s="241" t="s">
        <v>3347</v>
      </c>
      <c r="E256" s="241" t="s">
        <v>5767</v>
      </c>
      <c r="F256" s="241" t="s">
        <v>3328</v>
      </c>
      <c r="G256" s="242" t="s">
        <v>4622</v>
      </c>
      <c r="H256" s="760">
        <v>21067</v>
      </c>
      <c r="I256" s="194">
        <v>0</v>
      </c>
      <c r="J256" s="194">
        <v>26600</v>
      </c>
      <c r="K256" s="185">
        <v>0.9</v>
      </c>
      <c r="L256" s="183" t="s">
        <v>5768</v>
      </c>
      <c r="M256" s="730" t="s">
        <v>4699</v>
      </c>
      <c r="N256" s="241" t="s">
        <v>3726</v>
      </c>
      <c r="O256" s="760"/>
    </row>
    <row r="257" spans="1:15" s="182" customFormat="1" ht="21.75" customHeight="1" x14ac:dyDescent="0.15">
      <c r="A257" s="151" t="s">
        <v>5751</v>
      </c>
      <c r="B257" s="20" t="s">
        <v>4911</v>
      </c>
      <c r="C257" s="764" t="s">
        <v>3346</v>
      </c>
      <c r="D257" s="764" t="s">
        <v>3354</v>
      </c>
      <c r="E257" s="764" t="s">
        <v>844</v>
      </c>
      <c r="F257" s="267" t="s">
        <v>3328</v>
      </c>
      <c r="G257" s="235" t="s">
        <v>4375</v>
      </c>
      <c r="H257" s="760" t="s">
        <v>5769</v>
      </c>
      <c r="I257" s="194">
        <v>0</v>
      </c>
      <c r="J257" s="194">
        <v>74000</v>
      </c>
      <c r="K257" s="185">
        <v>0.5</v>
      </c>
      <c r="L257" s="183" t="s">
        <v>5743</v>
      </c>
      <c r="M257" s="184" t="s">
        <v>3725</v>
      </c>
      <c r="N257" s="184" t="s">
        <v>3726</v>
      </c>
      <c r="O257" s="760"/>
    </row>
    <row r="258" spans="1:15" s="182" customFormat="1" ht="21.75" customHeight="1" x14ac:dyDescent="0.15">
      <c r="A258" s="151" t="s">
        <v>5752</v>
      </c>
      <c r="B258" s="20" t="s">
        <v>4937</v>
      </c>
      <c r="C258" s="241" t="s">
        <v>3414</v>
      </c>
      <c r="D258" s="241" t="s">
        <v>3360</v>
      </c>
      <c r="E258" s="241" t="s">
        <v>4938</v>
      </c>
      <c r="F258" s="241" t="s">
        <v>3328</v>
      </c>
      <c r="G258" s="242" t="s">
        <v>3453</v>
      </c>
      <c r="H258" s="760">
        <v>20090</v>
      </c>
      <c r="I258" s="194">
        <v>0</v>
      </c>
      <c r="J258" s="194">
        <v>86580</v>
      </c>
      <c r="K258" s="185">
        <v>0.2</v>
      </c>
      <c r="L258" s="183" t="s">
        <v>5770</v>
      </c>
      <c r="M258" s="184" t="s">
        <v>5771</v>
      </c>
      <c r="N258" s="184" t="s">
        <v>5771</v>
      </c>
      <c r="O258" s="760"/>
    </row>
    <row r="259" spans="1:15" s="182" customFormat="1" ht="21.75" customHeight="1" x14ac:dyDescent="0.15">
      <c r="A259" s="151" t="s">
        <v>5752</v>
      </c>
      <c r="B259" s="20" t="s">
        <v>5753</v>
      </c>
      <c r="C259" s="241" t="s">
        <v>3364</v>
      </c>
      <c r="D259" s="241" t="s">
        <v>3326</v>
      </c>
      <c r="E259" s="241" t="s">
        <v>3269</v>
      </c>
      <c r="F259" s="292" t="s">
        <v>3328</v>
      </c>
      <c r="G259" s="242" t="s">
        <v>3349</v>
      </c>
      <c r="H259" s="638">
        <v>20129</v>
      </c>
      <c r="I259" s="194">
        <v>0</v>
      </c>
      <c r="J259" s="194">
        <v>40000</v>
      </c>
      <c r="K259" s="185">
        <v>0.5</v>
      </c>
      <c r="L259" s="183" t="s">
        <v>5743</v>
      </c>
      <c r="M259" s="241" t="s">
        <v>4957</v>
      </c>
      <c r="N259" s="241" t="s">
        <v>3726</v>
      </c>
      <c r="O259" s="760"/>
    </row>
    <row r="260" spans="1:15" s="182" customFormat="1" ht="21.75" customHeight="1" x14ac:dyDescent="0.15">
      <c r="A260" s="151" t="s">
        <v>5752</v>
      </c>
      <c r="B260" s="20" t="s">
        <v>5753</v>
      </c>
      <c r="C260" s="241" t="s">
        <v>3364</v>
      </c>
      <c r="D260" s="241" t="s">
        <v>3326</v>
      </c>
      <c r="E260" s="241" t="s">
        <v>3268</v>
      </c>
      <c r="F260" s="292" t="s">
        <v>3328</v>
      </c>
      <c r="G260" s="242" t="s">
        <v>3349</v>
      </c>
      <c r="H260" s="638">
        <v>20130</v>
      </c>
      <c r="I260" s="194">
        <v>0</v>
      </c>
      <c r="J260" s="194">
        <v>40000</v>
      </c>
      <c r="K260" s="185">
        <v>0.5</v>
      </c>
      <c r="L260" s="183" t="s">
        <v>5743</v>
      </c>
      <c r="M260" s="241" t="s">
        <v>4957</v>
      </c>
      <c r="N260" s="241" t="s">
        <v>3726</v>
      </c>
      <c r="O260" s="764"/>
    </row>
    <row r="261" spans="1:15" s="182" customFormat="1" ht="21.75" customHeight="1" x14ac:dyDescent="0.15">
      <c r="A261" s="151" t="s">
        <v>5754</v>
      </c>
      <c r="B261" s="20" t="s">
        <v>4685</v>
      </c>
      <c r="C261" s="764" t="s">
        <v>4982</v>
      </c>
      <c r="D261" s="764" t="s">
        <v>5018</v>
      </c>
      <c r="E261" s="764" t="s">
        <v>664</v>
      </c>
      <c r="F261" s="267" t="s">
        <v>3328</v>
      </c>
      <c r="G261" s="235" t="s">
        <v>4375</v>
      </c>
      <c r="H261" s="638" t="s">
        <v>5772</v>
      </c>
      <c r="I261" s="194">
        <v>0</v>
      </c>
      <c r="J261" s="194">
        <v>74000</v>
      </c>
      <c r="K261" s="185">
        <v>0.5</v>
      </c>
      <c r="L261" s="183" t="s">
        <v>5743</v>
      </c>
      <c r="M261" s="184" t="s">
        <v>3725</v>
      </c>
      <c r="N261" s="184" t="s">
        <v>3726</v>
      </c>
      <c r="O261" s="761"/>
    </row>
    <row r="262" spans="1:15" s="182" customFormat="1" ht="21.75" customHeight="1" x14ac:dyDescent="0.15">
      <c r="A262" s="151" t="s">
        <v>5754</v>
      </c>
      <c r="B262" s="20" t="s">
        <v>4685</v>
      </c>
      <c r="C262" s="764" t="s">
        <v>3346</v>
      </c>
      <c r="D262" s="764" t="s">
        <v>3354</v>
      </c>
      <c r="E262" s="764" t="s">
        <v>3675</v>
      </c>
      <c r="F262" s="267" t="s">
        <v>3328</v>
      </c>
      <c r="G262" s="235" t="s">
        <v>4375</v>
      </c>
      <c r="H262" s="638" t="s">
        <v>5773</v>
      </c>
      <c r="I262" s="194">
        <v>0</v>
      </c>
      <c r="J262" s="194">
        <v>74000</v>
      </c>
      <c r="K262" s="185">
        <v>0.5</v>
      </c>
      <c r="L262" s="183" t="s">
        <v>5743</v>
      </c>
      <c r="M262" s="184" t="s">
        <v>3725</v>
      </c>
      <c r="N262" s="184" t="s">
        <v>3726</v>
      </c>
      <c r="O262" s="761"/>
    </row>
    <row r="263" spans="1:15" s="182" customFormat="1" ht="21.75" customHeight="1" x14ac:dyDescent="0.15">
      <c r="A263" s="151" t="s">
        <v>5754</v>
      </c>
      <c r="B263" s="20" t="s">
        <v>5168</v>
      </c>
      <c r="C263" s="241" t="s">
        <v>3334</v>
      </c>
      <c r="D263" s="241" t="s">
        <v>3326</v>
      </c>
      <c r="E263" s="241" t="s">
        <v>3335</v>
      </c>
      <c r="F263" s="241" t="s">
        <v>3328</v>
      </c>
      <c r="G263" s="242" t="s">
        <v>3341</v>
      </c>
      <c r="H263" s="761">
        <v>20009</v>
      </c>
      <c r="I263" s="194">
        <v>0</v>
      </c>
      <c r="J263" s="194">
        <v>112500</v>
      </c>
      <c r="K263" s="185">
        <v>0.25</v>
      </c>
      <c r="L263" s="183" t="s">
        <v>5743</v>
      </c>
      <c r="M263" s="184" t="s">
        <v>5771</v>
      </c>
      <c r="N263" s="184" t="s">
        <v>5771</v>
      </c>
      <c r="O263" s="761"/>
    </row>
    <row r="264" spans="1:15" s="182" customFormat="1" ht="21.75" customHeight="1" x14ac:dyDescent="0.15">
      <c r="A264" s="151" t="s">
        <v>5755</v>
      </c>
      <c r="B264" s="20" t="s">
        <v>631</v>
      </c>
      <c r="C264" s="764" t="s">
        <v>5567</v>
      </c>
      <c r="D264" s="764" t="s">
        <v>5422</v>
      </c>
      <c r="E264" s="764" t="s">
        <v>5774</v>
      </c>
      <c r="F264" s="184" t="s">
        <v>3328</v>
      </c>
      <c r="G264" s="235" t="s">
        <v>5030</v>
      </c>
      <c r="H264" s="761">
        <v>21161</v>
      </c>
      <c r="I264" s="194">
        <v>0</v>
      </c>
      <c r="J264" s="194">
        <v>48000</v>
      </c>
      <c r="K264" s="185">
        <v>0.5</v>
      </c>
      <c r="L264" s="183" t="s">
        <v>5743</v>
      </c>
      <c r="M264" s="183" t="s">
        <v>3433</v>
      </c>
      <c r="N264" s="183" t="s">
        <v>3433</v>
      </c>
      <c r="O264" s="761"/>
    </row>
    <row r="265" spans="1:15" s="182" customFormat="1" ht="21.75" customHeight="1" x14ac:dyDescent="0.15">
      <c r="A265" s="151" t="s">
        <v>5755</v>
      </c>
      <c r="B265" s="20" t="s">
        <v>767</v>
      </c>
      <c r="C265" s="764" t="s">
        <v>5567</v>
      </c>
      <c r="D265" s="184" t="s">
        <v>5422</v>
      </c>
      <c r="E265" s="764" t="s">
        <v>5572</v>
      </c>
      <c r="F265" s="184" t="s">
        <v>5078</v>
      </c>
      <c r="G265" s="235" t="s">
        <v>5030</v>
      </c>
      <c r="H265" s="762">
        <v>21154</v>
      </c>
      <c r="I265" s="194">
        <v>0</v>
      </c>
      <c r="J265" s="194">
        <v>48000</v>
      </c>
      <c r="K265" s="185">
        <v>0.5</v>
      </c>
      <c r="L265" s="183" t="s">
        <v>5743</v>
      </c>
      <c r="M265" s="183" t="s">
        <v>3433</v>
      </c>
      <c r="N265" s="183" t="s">
        <v>3433</v>
      </c>
      <c r="O265" s="762"/>
    </row>
    <row r="266" spans="1:15" s="182" customFormat="1" ht="21.75" customHeight="1" x14ac:dyDescent="0.15">
      <c r="A266" s="151" t="s">
        <v>5755</v>
      </c>
      <c r="B266" s="20" t="s">
        <v>5756</v>
      </c>
      <c r="C266" s="566"/>
      <c r="D266" s="566"/>
      <c r="E266" s="566"/>
      <c r="F266" s="766"/>
      <c r="G266" s="555"/>
      <c r="H266" s="763">
        <v>22018</v>
      </c>
      <c r="I266" s="194">
        <v>0</v>
      </c>
      <c r="J266" s="194">
        <v>653000</v>
      </c>
      <c r="K266" s="185">
        <v>1</v>
      </c>
      <c r="L266" s="183" t="s">
        <v>806</v>
      </c>
      <c r="M266" s="241" t="s">
        <v>3725</v>
      </c>
      <c r="N266" s="241" t="s">
        <v>3725</v>
      </c>
      <c r="O266" s="763"/>
    </row>
    <row r="267" spans="1:15" s="182" customFormat="1" ht="21.75" customHeight="1" x14ac:dyDescent="0.15">
      <c r="A267" s="151" t="s">
        <v>5755</v>
      </c>
      <c r="B267" s="20" t="s">
        <v>4897</v>
      </c>
      <c r="C267" s="620" t="s">
        <v>3371</v>
      </c>
      <c r="D267" s="620" t="s">
        <v>3405</v>
      </c>
      <c r="E267" s="620" t="s">
        <v>4325</v>
      </c>
      <c r="F267" s="241" t="s">
        <v>3328</v>
      </c>
      <c r="G267" s="242" t="s">
        <v>3566</v>
      </c>
      <c r="H267" s="764">
        <v>20178</v>
      </c>
      <c r="I267" s="194">
        <v>0</v>
      </c>
      <c r="J267" s="194">
        <v>50000</v>
      </c>
      <c r="K267" s="185" t="s">
        <v>4960</v>
      </c>
      <c r="L267" s="183" t="s">
        <v>4706</v>
      </c>
      <c r="M267" s="183" t="s">
        <v>3434</v>
      </c>
      <c r="N267" s="183" t="s">
        <v>3434</v>
      </c>
      <c r="O267" s="764"/>
    </row>
    <row r="268" spans="1:15" s="182" customFormat="1" ht="21.75" customHeight="1" x14ac:dyDescent="0.15">
      <c r="A268" s="151" t="s">
        <v>5775</v>
      </c>
      <c r="B268" s="20" t="s">
        <v>4854</v>
      </c>
      <c r="C268" s="184" t="s">
        <v>4963</v>
      </c>
      <c r="D268" s="184" t="s">
        <v>4964</v>
      </c>
      <c r="E268" s="184" t="s">
        <v>5041</v>
      </c>
      <c r="F268" s="207" t="s">
        <v>3328</v>
      </c>
      <c r="G268" s="235" t="s">
        <v>5042</v>
      </c>
      <c r="H268" s="764">
        <v>21111</v>
      </c>
      <c r="I268" s="194">
        <v>0</v>
      </c>
      <c r="J268" s="194">
        <v>27604</v>
      </c>
      <c r="K268" s="185">
        <v>0.2</v>
      </c>
      <c r="L268" s="183" t="s">
        <v>4711</v>
      </c>
      <c r="M268" s="183" t="s">
        <v>3434</v>
      </c>
      <c r="N268" s="183" t="s">
        <v>3434</v>
      </c>
      <c r="O268" s="764"/>
    </row>
    <row r="269" spans="1:15" s="182" customFormat="1" ht="21.75" customHeight="1" x14ac:dyDescent="0.15">
      <c r="A269" s="151" t="s">
        <v>5776</v>
      </c>
      <c r="B269" s="20" t="s">
        <v>5500</v>
      </c>
      <c r="C269" s="241" t="s">
        <v>3363</v>
      </c>
      <c r="D269" s="241" t="s">
        <v>3463</v>
      </c>
      <c r="E269" s="241" t="s">
        <v>4062</v>
      </c>
      <c r="F269" s="292" t="s">
        <v>3328</v>
      </c>
      <c r="G269" s="242" t="s">
        <v>3829</v>
      </c>
      <c r="H269" s="764">
        <v>19077</v>
      </c>
      <c r="I269" s="194">
        <v>0</v>
      </c>
      <c r="J269" s="194">
        <v>7774.92</v>
      </c>
      <c r="K269" s="185" t="s">
        <v>5777</v>
      </c>
      <c r="L269" s="183" t="s">
        <v>4724</v>
      </c>
      <c r="M269" s="183" t="s">
        <v>3957</v>
      </c>
      <c r="N269" s="183" t="s">
        <v>3957</v>
      </c>
      <c r="O269" s="764"/>
    </row>
    <row r="270" spans="1:15" s="182" customFormat="1" ht="21.75" customHeight="1" x14ac:dyDescent="0.15">
      <c r="A270" s="151" t="s">
        <v>5776</v>
      </c>
      <c r="B270" s="20" t="s">
        <v>4715</v>
      </c>
      <c r="C270" s="279" t="s">
        <v>3351</v>
      </c>
      <c r="D270" s="602" t="s">
        <v>3347</v>
      </c>
      <c r="E270" s="236" t="s">
        <v>4550</v>
      </c>
      <c r="F270" s="241" t="s">
        <v>3332</v>
      </c>
      <c r="G270" s="242" t="s">
        <v>3381</v>
      </c>
      <c r="H270" s="765" t="s">
        <v>5783</v>
      </c>
      <c r="I270" s="194">
        <v>0</v>
      </c>
      <c r="J270" s="194">
        <v>120000</v>
      </c>
      <c r="K270" s="185">
        <v>1</v>
      </c>
      <c r="L270" s="183" t="s">
        <v>4706</v>
      </c>
      <c r="M270" s="241" t="s">
        <v>4699</v>
      </c>
      <c r="N270" s="241" t="s">
        <v>3726</v>
      </c>
      <c r="O270" s="765"/>
    </row>
    <row r="271" spans="1:15" s="182" customFormat="1" ht="21.75" customHeight="1" x14ac:dyDescent="0.15">
      <c r="A271" s="151" t="s">
        <v>5776</v>
      </c>
      <c r="B271" s="20" t="s">
        <v>4715</v>
      </c>
      <c r="C271" s="279" t="s">
        <v>3351</v>
      </c>
      <c r="D271" s="767" t="s">
        <v>3347</v>
      </c>
      <c r="E271" s="180" t="s">
        <v>4550</v>
      </c>
      <c r="F271" s="184" t="s">
        <v>3332</v>
      </c>
      <c r="G271" s="235" t="s">
        <v>3361</v>
      </c>
      <c r="H271" s="768" t="s">
        <v>5784</v>
      </c>
      <c r="I271" s="194">
        <v>0</v>
      </c>
      <c r="J271" s="194">
        <v>60000</v>
      </c>
      <c r="K271" s="185">
        <v>1</v>
      </c>
      <c r="L271" s="183" t="s">
        <v>4706</v>
      </c>
      <c r="M271" s="183" t="s">
        <v>3726</v>
      </c>
      <c r="N271" s="183" t="s">
        <v>3726</v>
      </c>
      <c r="O271" s="768"/>
    </row>
    <row r="272" spans="1:15" s="182" customFormat="1" ht="21.75" customHeight="1" x14ac:dyDescent="0.15">
      <c r="A272" s="151" t="s">
        <v>5778</v>
      </c>
      <c r="B272" s="20" t="s">
        <v>4728</v>
      </c>
      <c r="C272" s="768" t="s">
        <v>4982</v>
      </c>
      <c r="D272" s="768" t="s">
        <v>5631</v>
      </c>
      <c r="E272" s="768" t="s">
        <v>761</v>
      </c>
      <c r="F272" s="184" t="s">
        <v>5078</v>
      </c>
      <c r="G272" s="235" t="s">
        <v>5785</v>
      </c>
      <c r="H272" s="765">
        <v>22127</v>
      </c>
      <c r="I272" s="194">
        <v>0</v>
      </c>
      <c r="J272" s="194">
        <v>19000</v>
      </c>
      <c r="K272" s="185">
        <v>0.5</v>
      </c>
      <c r="L272" s="183" t="s">
        <v>4707</v>
      </c>
      <c r="M272" s="184" t="s">
        <v>693</v>
      </c>
      <c r="N272" s="184" t="s">
        <v>693</v>
      </c>
      <c r="O272" s="765"/>
    </row>
    <row r="273" spans="1:15" s="182" customFormat="1" ht="21.75" customHeight="1" x14ac:dyDescent="0.15">
      <c r="A273" s="151" t="s">
        <v>5778</v>
      </c>
      <c r="B273" s="20" t="s">
        <v>886</v>
      </c>
      <c r="C273" s="768" t="s">
        <v>4982</v>
      </c>
      <c r="D273" s="768" t="s">
        <v>5631</v>
      </c>
      <c r="E273" s="768" t="s">
        <v>761</v>
      </c>
      <c r="F273" s="184" t="s">
        <v>5078</v>
      </c>
      <c r="G273" s="235" t="s">
        <v>5785</v>
      </c>
      <c r="H273" s="765">
        <v>22127</v>
      </c>
      <c r="I273" s="194">
        <v>0</v>
      </c>
      <c r="J273" s="194">
        <v>19000</v>
      </c>
      <c r="K273" s="185">
        <v>0.5</v>
      </c>
      <c r="L273" s="183" t="s">
        <v>4707</v>
      </c>
      <c r="M273" s="184" t="s">
        <v>693</v>
      </c>
      <c r="N273" s="184" t="s">
        <v>693</v>
      </c>
      <c r="O273" s="765"/>
    </row>
    <row r="274" spans="1:15" s="182" customFormat="1" ht="21.75" customHeight="1" x14ac:dyDescent="0.15">
      <c r="A274" s="151" t="s">
        <v>5776</v>
      </c>
      <c r="B274" s="20" t="s">
        <v>5779</v>
      </c>
      <c r="C274" s="241" t="s">
        <v>3363</v>
      </c>
      <c r="D274" s="241" t="s">
        <v>3463</v>
      </c>
      <c r="E274" s="241" t="s">
        <v>3954</v>
      </c>
      <c r="F274" s="292" t="s">
        <v>3328</v>
      </c>
      <c r="G274" s="242" t="s">
        <v>3829</v>
      </c>
      <c r="H274" s="765">
        <v>19076</v>
      </c>
      <c r="I274" s="194">
        <v>0</v>
      </c>
      <c r="J274" s="194">
        <v>11197.72</v>
      </c>
      <c r="K274" s="185" t="s">
        <v>5786</v>
      </c>
      <c r="L274" s="183" t="s">
        <v>4724</v>
      </c>
      <c r="M274" s="183" t="s">
        <v>3957</v>
      </c>
      <c r="N274" s="183" t="s">
        <v>3957</v>
      </c>
      <c r="O274" s="765"/>
    </row>
    <row r="275" spans="1:15" s="182" customFormat="1" ht="21.75" customHeight="1" x14ac:dyDescent="0.15">
      <c r="A275" s="151" t="s">
        <v>5780</v>
      </c>
      <c r="B275" s="20" t="s">
        <v>5781</v>
      </c>
      <c r="C275" s="597" t="s">
        <v>3337</v>
      </c>
      <c r="D275" s="597" t="s">
        <v>3463</v>
      </c>
      <c r="E275" s="597" t="s">
        <v>5787</v>
      </c>
      <c r="F275" s="279" t="s">
        <v>3328</v>
      </c>
      <c r="G275" s="170" t="s">
        <v>3574</v>
      </c>
      <c r="H275" s="768">
        <v>16029</v>
      </c>
      <c r="I275" s="194">
        <v>0</v>
      </c>
      <c r="J275" s="194">
        <v>13000</v>
      </c>
      <c r="K275" s="185">
        <v>0.1</v>
      </c>
      <c r="L275" s="183" t="s">
        <v>4724</v>
      </c>
      <c r="M275" s="183" t="s">
        <v>4957</v>
      </c>
      <c r="N275" s="183" t="s">
        <v>3726</v>
      </c>
      <c r="O275" s="768"/>
    </row>
    <row r="276" spans="1:15" s="182" customFormat="1" ht="21.75" customHeight="1" x14ac:dyDescent="0.15">
      <c r="A276" s="151" t="s">
        <v>5780</v>
      </c>
      <c r="B276" s="20" t="s">
        <v>5782</v>
      </c>
      <c r="C276" s="236" t="s">
        <v>3337</v>
      </c>
      <c r="D276" s="236" t="s">
        <v>3463</v>
      </c>
      <c r="E276" s="614" t="s">
        <v>5788</v>
      </c>
      <c r="F276" s="247" t="s">
        <v>3328</v>
      </c>
      <c r="G276" s="248" t="s">
        <v>3529</v>
      </c>
      <c r="H276" s="768">
        <v>13043</v>
      </c>
      <c r="I276" s="194">
        <v>0</v>
      </c>
      <c r="J276" s="194">
        <v>30000</v>
      </c>
      <c r="K276" s="185">
        <v>0.1</v>
      </c>
      <c r="L276" s="183" t="s">
        <v>4724</v>
      </c>
      <c r="M276" s="183" t="s">
        <v>3433</v>
      </c>
      <c r="N276" s="183" t="s">
        <v>3726</v>
      </c>
      <c r="O276" s="768"/>
    </row>
    <row r="277" spans="1:15" s="182" customFormat="1" ht="21.75" customHeight="1" x14ac:dyDescent="0.15">
      <c r="A277" s="151" t="s">
        <v>5789</v>
      </c>
      <c r="B277" s="20" t="s">
        <v>5117</v>
      </c>
      <c r="C277" s="184" t="s">
        <v>4963</v>
      </c>
      <c r="D277" s="184" t="s">
        <v>5422</v>
      </c>
      <c r="E277" s="184" t="s">
        <v>5423</v>
      </c>
      <c r="F277" s="292" t="s">
        <v>3328</v>
      </c>
      <c r="G277" s="235" t="s">
        <v>5030</v>
      </c>
      <c r="H277" s="769">
        <v>21191</v>
      </c>
      <c r="I277" s="194">
        <v>0</v>
      </c>
      <c r="J277" s="194">
        <v>48000</v>
      </c>
      <c r="K277" s="185">
        <v>0.5</v>
      </c>
      <c r="L277" s="183" t="s">
        <v>4706</v>
      </c>
      <c r="M277" s="183" t="s">
        <v>3433</v>
      </c>
      <c r="N277" s="183" t="s">
        <v>3433</v>
      </c>
      <c r="O277" s="769"/>
    </row>
    <row r="278" spans="1:15" s="182" customFormat="1" ht="21.75" customHeight="1" x14ac:dyDescent="0.15">
      <c r="A278" s="151" t="s">
        <v>5790</v>
      </c>
      <c r="B278" s="20" t="s">
        <v>5071</v>
      </c>
      <c r="C278" s="241" t="s">
        <v>3346</v>
      </c>
      <c r="D278" s="241" t="s">
        <v>3347</v>
      </c>
      <c r="E278" s="241" t="s">
        <v>3348</v>
      </c>
      <c r="F278" s="241" t="s">
        <v>3328</v>
      </c>
      <c r="G278" s="242" t="s">
        <v>3349</v>
      </c>
      <c r="H278" s="194" t="s">
        <v>5791</v>
      </c>
      <c r="I278" s="194">
        <v>0</v>
      </c>
      <c r="J278" s="194">
        <v>37500</v>
      </c>
      <c r="K278" s="185">
        <v>0.25</v>
      </c>
      <c r="L278" s="183" t="s">
        <v>4706</v>
      </c>
      <c r="M278" s="183" t="s">
        <v>3725</v>
      </c>
      <c r="N278" s="183" t="s">
        <v>3725</v>
      </c>
      <c r="O278" s="770"/>
    </row>
    <row r="279" spans="1:15" s="182" customFormat="1" ht="21.75" customHeight="1" x14ac:dyDescent="0.15">
      <c r="A279" s="151" t="s">
        <v>5790</v>
      </c>
      <c r="B279" s="20" t="s">
        <v>5071</v>
      </c>
      <c r="C279" s="241" t="s">
        <v>3346</v>
      </c>
      <c r="D279" s="241" t="s">
        <v>3347</v>
      </c>
      <c r="E279" s="241" t="s">
        <v>3350</v>
      </c>
      <c r="F279" s="241" t="s">
        <v>3328</v>
      </c>
      <c r="G279" s="242" t="s">
        <v>3349</v>
      </c>
      <c r="H279" s="194" t="s">
        <v>5792</v>
      </c>
      <c r="I279" s="194">
        <v>0</v>
      </c>
      <c r="J279" s="194">
        <v>37500</v>
      </c>
      <c r="K279" s="185">
        <v>0.25</v>
      </c>
      <c r="L279" s="183" t="s">
        <v>4706</v>
      </c>
      <c r="M279" s="183" t="s">
        <v>3725</v>
      </c>
      <c r="N279" s="183" t="s">
        <v>3725</v>
      </c>
      <c r="O279" s="770"/>
    </row>
    <row r="280" spans="1:15" s="182" customFormat="1" ht="21.75" customHeight="1" x14ac:dyDescent="0.15">
      <c r="A280" s="151" t="s">
        <v>5790</v>
      </c>
      <c r="B280" s="20" t="s">
        <v>5071</v>
      </c>
      <c r="C280" s="241" t="s">
        <v>3346</v>
      </c>
      <c r="D280" s="241" t="s">
        <v>3347</v>
      </c>
      <c r="E280" s="241" t="s">
        <v>3348</v>
      </c>
      <c r="F280" s="241" t="s">
        <v>3328</v>
      </c>
      <c r="G280" s="242" t="s">
        <v>3349</v>
      </c>
      <c r="H280" s="194" t="s">
        <v>5093</v>
      </c>
      <c r="I280" s="194">
        <v>0</v>
      </c>
      <c r="J280" s="194">
        <v>36875</v>
      </c>
      <c r="K280" s="185">
        <v>0.25</v>
      </c>
      <c r="L280" s="183" t="s">
        <v>4706</v>
      </c>
      <c r="M280" s="183" t="s">
        <v>3725</v>
      </c>
      <c r="N280" s="183" t="s">
        <v>3725</v>
      </c>
      <c r="O280" s="770"/>
    </row>
    <row r="281" spans="1:15" s="182" customFormat="1" ht="21.75" customHeight="1" x14ac:dyDescent="0.15">
      <c r="A281" s="151" t="s">
        <v>5790</v>
      </c>
      <c r="B281" s="20" t="s">
        <v>5071</v>
      </c>
      <c r="C281" s="241" t="s">
        <v>3346</v>
      </c>
      <c r="D281" s="241" t="s">
        <v>3347</v>
      </c>
      <c r="E281" s="241" t="s">
        <v>3350</v>
      </c>
      <c r="F281" s="241" t="s">
        <v>3328</v>
      </c>
      <c r="G281" s="242" t="s">
        <v>3349</v>
      </c>
      <c r="H281" s="194" t="s">
        <v>5094</v>
      </c>
      <c r="I281" s="194">
        <v>0</v>
      </c>
      <c r="J281" s="194">
        <v>36875</v>
      </c>
      <c r="K281" s="185">
        <v>0.25</v>
      </c>
      <c r="L281" s="183" t="s">
        <v>4706</v>
      </c>
      <c r="M281" s="183" t="s">
        <v>3725</v>
      </c>
      <c r="N281" s="183" t="s">
        <v>3725</v>
      </c>
      <c r="O281" s="770"/>
    </row>
    <row r="282" spans="1:15" s="182" customFormat="1" ht="21.75" customHeight="1" x14ac:dyDescent="0.15">
      <c r="A282" s="151" t="s">
        <v>5790</v>
      </c>
      <c r="B282" s="20" t="s">
        <v>4681</v>
      </c>
      <c r="C282" s="770" t="s">
        <v>5148</v>
      </c>
      <c r="D282" s="770" t="s">
        <v>5098</v>
      </c>
      <c r="E282" s="770" t="s">
        <v>5149</v>
      </c>
      <c r="F282" s="184" t="s">
        <v>5078</v>
      </c>
      <c r="G282" s="235" t="s">
        <v>4923</v>
      </c>
      <c r="H282" s="770">
        <v>22143</v>
      </c>
      <c r="I282" s="194">
        <v>0</v>
      </c>
      <c r="J282" s="194">
        <v>18000</v>
      </c>
      <c r="K282" s="185">
        <v>0.9</v>
      </c>
      <c r="L282" s="183" t="s">
        <v>4711</v>
      </c>
      <c r="M282" s="183" t="s">
        <v>4708</v>
      </c>
      <c r="N282" s="183" t="s">
        <v>4708</v>
      </c>
      <c r="O282" s="770"/>
    </row>
    <row r="283" spans="1:15" s="182" customFormat="1" ht="21.75" customHeight="1" x14ac:dyDescent="0.15">
      <c r="A283" s="151" t="s">
        <v>5790</v>
      </c>
      <c r="B283" s="20" t="s">
        <v>4681</v>
      </c>
      <c r="C283" s="770" t="s">
        <v>5148</v>
      </c>
      <c r="D283" s="770" t="s">
        <v>5098</v>
      </c>
      <c r="E283" s="770" t="s">
        <v>5149</v>
      </c>
      <c r="F283" s="184" t="s">
        <v>5078</v>
      </c>
      <c r="G283" s="235" t="s">
        <v>5793</v>
      </c>
      <c r="H283" s="770">
        <v>22086</v>
      </c>
      <c r="I283" s="194">
        <v>0</v>
      </c>
      <c r="J283" s="194">
        <v>64350</v>
      </c>
      <c r="K283" s="185">
        <v>0.9</v>
      </c>
      <c r="L283" s="183" t="s">
        <v>4711</v>
      </c>
      <c r="M283" s="183" t="s">
        <v>4708</v>
      </c>
      <c r="N283" s="183" t="s">
        <v>4708</v>
      </c>
      <c r="O283" s="770"/>
    </row>
    <row r="284" spans="1:15" s="182" customFormat="1" ht="21.75" customHeight="1" x14ac:dyDescent="0.15">
      <c r="A284" s="151" t="s">
        <v>5794</v>
      </c>
      <c r="B284" s="20" t="s">
        <v>4947</v>
      </c>
      <c r="C284" s="224" t="s">
        <v>3376</v>
      </c>
      <c r="D284" s="224" t="s">
        <v>4948</v>
      </c>
      <c r="E284" s="224" t="s">
        <v>3960</v>
      </c>
      <c r="F284" s="207" t="s">
        <v>3328</v>
      </c>
      <c r="G284" s="235" t="s">
        <v>5795</v>
      </c>
      <c r="H284" s="771">
        <v>21105</v>
      </c>
      <c r="I284" s="194">
        <v>0</v>
      </c>
      <c r="J284" s="194">
        <v>90000</v>
      </c>
      <c r="K284" s="185">
        <v>1</v>
      </c>
      <c r="L284" s="183" t="s">
        <v>4706</v>
      </c>
      <c r="M284" s="183" t="s">
        <v>4708</v>
      </c>
      <c r="N284" s="183" t="s">
        <v>4708</v>
      </c>
      <c r="O284" s="771"/>
    </row>
    <row r="285" spans="1:15" s="182" customFormat="1" ht="21.75" customHeight="1" x14ac:dyDescent="0.15">
      <c r="A285" s="151" t="s">
        <v>5796</v>
      </c>
      <c r="B285" s="226" t="s">
        <v>5797</v>
      </c>
      <c r="C285" s="184" t="s">
        <v>4982</v>
      </c>
      <c r="D285" s="184" t="s">
        <v>5422</v>
      </c>
      <c r="E285" s="184" t="s">
        <v>5798</v>
      </c>
      <c r="F285" s="184" t="s">
        <v>5078</v>
      </c>
      <c r="G285" s="235" t="s">
        <v>3329</v>
      </c>
      <c r="H285" s="638" t="s">
        <v>5800</v>
      </c>
      <c r="I285" s="194">
        <v>161000</v>
      </c>
      <c r="J285" s="194">
        <v>0</v>
      </c>
      <c r="K285" s="185" t="s">
        <v>5802</v>
      </c>
      <c r="L285" s="183" t="s">
        <v>4849</v>
      </c>
      <c r="M285" s="183" t="s">
        <v>3433</v>
      </c>
      <c r="N285" s="183" t="s">
        <v>3433</v>
      </c>
      <c r="O285" s="772" t="s">
        <v>5803</v>
      </c>
    </row>
    <row r="286" spans="1:15" s="182" customFormat="1" ht="21.75" customHeight="1" x14ac:dyDescent="0.15">
      <c r="A286" s="151" t="s">
        <v>5796</v>
      </c>
      <c r="B286" s="226" t="s">
        <v>5797</v>
      </c>
      <c r="C286" s="184" t="s">
        <v>4982</v>
      </c>
      <c r="D286" s="184" t="s">
        <v>5422</v>
      </c>
      <c r="E286" s="184" t="s">
        <v>5798</v>
      </c>
      <c r="F286" s="184" t="s">
        <v>3400</v>
      </c>
      <c r="G286" s="235" t="s">
        <v>5799</v>
      </c>
      <c r="H286" s="638" t="s">
        <v>5801</v>
      </c>
      <c r="I286" s="194">
        <v>39000</v>
      </c>
      <c r="J286" s="194">
        <v>0</v>
      </c>
      <c r="K286" s="185">
        <v>0.3</v>
      </c>
      <c r="L286" s="183" t="s">
        <v>4849</v>
      </c>
      <c r="M286" s="183" t="s">
        <v>3433</v>
      </c>
      <c r="N286" s="183" t="s">
        <v>3433</v>
      </c>
      <c r="O286" s="772" t="s">
        <v>5803</v>
      </c>
    </row>
    <row r="287" spans="1:15" s="182" customFormat="1" ht="21.75" customHeight="1" x14ac:dyDescent="0.15">
      <c r="A287" s="151" t="s">
        <v>5804</v>
      </c>
      <c r="B287" s="226" t="s">
        <v>5806</v>
      </c>
      <c r="C287" s="241" t="s">
        <v>3325</v>
      </c>
      <c r="D287" s="241" t="s">
        <v>3439</v>
      </c>
      <c r="E287" s="241" t="s">
        <v>5568</v>
      </c>
      <c r="F287" s="241" t="s">
        <v>3355</v>
      </c>
      <c r="G287" s="242" t="s">
        <v>4348</v>
      </c>
      <c r="H287" s="638">
        <v>20032</v>
      </c>
      <c r="I287" s="194">
        <v>0</v>
      </c>
      <c r="J287" s="194">
        <v>86400</v>
      </c>
      <c r="K287" s="185">
        <v>0.9</v>
      </c>
      <c r="L287" s="183" t="s">
        <v>4707</v>
      </c>
      <c r="M287" s="183" t="s">
        <v>3433</v>
      </c>
      <c r="N287" s="183" t="s">
        <v>3433</v>
      </c>
      <c r="O287" s="772"/>
    </row>
    <row r="288" spans="1:15" s="182" customFormat="1" ht="21.75" customHeight="1" x14ac:dyDescent="0.15">
      <c r="A288" s="151" t="s">
        <v>5805</v>
      </c>
      <c r="B288" s="226" t="s">
        <v>5807</v>
      </c>
      <c r="C288" s="774" t="s">
        <v>3351</v>
      </c>
      <c r="D288" s="774" t="s">
        <v>3347</v>
      </c>
      <c r="E288" s="774" t="s">
        <v>5767</v>
      </c>
      <c r="F288" s="224" t="s">
        <v>3328</v>
      </c>
      <c r="G288" s="239" t="s">
        <v>5240</v>
      </c>
      <c r="H288" s="638" t="s">
        <v>5809</v>
      </c>
      <c r="I288" s="194">
        <v>0</v>
      </c>
      <c r="J288" s="194">
        <v>25200</v>
      </c>
      <c r="K288" s="185">
        <v>0.9</v>
      </c>
      <c r="L288" s="183" t="s">
        <v>4711</v>
      </c>
      <c r="M288" s="183" t="s">
        <v>3726</v>
      </c>
      <c r="N288" s="183" t="s">
        <v>3726</v>
      </c>
      <c r="O288" s="773"/>
    </row>
    <row r="289" spans="1:15" s="182" customFormat="1" ht="21.75" customHeight="1" x14ac:dyDescent="0.15">
      <c r="A289" s="151" t="s">
        <v>5805</v>
      </c>
      <c r="B289" s="226" t="s">
        <v>5808</v>
      </c>
      <c r="C289" s="775" t="s">
        <v>3368</v>
      </c>
      <c r="D289" s="775" t="s">
        <v>3369</v>
      </c>
      <c r="E289" s="775" t="s">
        <v>3466</v>
      </c>
      <c r="F289" s="184" t="s">
        <v>5078</v>
      </c>
      <c r="G289" s="235" t="s">
        <v>5810</v>
      </c>
      <c r="H289" s="638">
        <v>22079</v>
      </c>
      <c r="I289" s="194">
        <v>0</v>
      </c>
      <c r="J289" s="194">
        <v>190570</v>
      </c>
      <c r="K289" s="185">
        <v>0.95</v>
      </c>
      <c r="L289" s="183" t="s">
        <v>4711</v>
      </c>
      <c r="M289" s="183" t="s">
        <v>4399</v>
      </c>
      <c r="N289" s="183" t="s">
        <v>4399</v>
      </c>
      <c r="O289" s="773"/>
    </row>
    <row r="290" spans="1:15" s="182" customFormat="1" ht="21.75" customHeight="1" x14ac:dyDescent="0.15">
      <c r="A290" s="151" t="s">
        <v>5811</v>
      </c>
      <c r="B290" s="226" t="s">
        <v>5812</v>
      </c>
      <c r="C290" s="184" t="s">
        <v>5816</v>
      </c>
      <c r="D290" s="184" t="s">
        <v>5153</v>
      </c>
      <c r="E290" s="184" t="s">
        <v>5817</v>
      </c>
      <c r="F290" s="184" t="s">
        <v>5078</v>
      </c>
      <c r="G290" s="235" t="s">
        <v>5818</v>
      </c>
      <c r="H290" s="638">
        <v>22144</v>
      </c>
      <c r="I290" s="194">
        <v>0</v>
      </c>
      <c r="J290" s="194">
        <v>300000</v>
      </c>
      <c r="K290" s="185">
        <v>0.6</v>
      </c>
      <c r="L290" s="183" t="s">
        <v>4707</v>
      </c>
      <c r="M290" s="183" t="s">
        <v>3725</v>
      </c>
      <c r="N290" s="183" t="s">
        <v>3725</v>
      </c>
      <c r="O290" s="776"/>
    </row>
    <row r="291" spans="1:15" s="182" customFormat="1" ht="21.75" customHeight="1" x14ac:dyDescent="0.15">
      <c r="A291" s="151" t="s">
        <v>5814</v>
      </c>
      <c r="B291" s="226" t="s">
        <v>5812</v>
      </c>
      <c r="C291" s="184" t="s">
        <v>5816</v>
      </c>
      <c r="D291" s="184" t="s">
        <v>5153</v>
      </c>
      <c r="E291" s="184" t="s">
        <v>5817</v>
      </c>
      <c r="F291" s="184" t="s">
        <v>5078</v>
      </c>
      <c r="G291" s="235" t="s">
        <v>5818</v>
      </c>
      <c r="H291" s="638">
        <v>22144</v>
      </c>
      <c r="I291" s="194">
        <v>0</v>
      </c>
      <c r="J291" s="194">
        <v>50000</v>
      </c>
      <c r="K291" s="185">
        <v>0.1</v>
      </c>
      <c r="L291" s="183" t="s">
        <v>4707</v>
      </c>
      <c r="M291" s="183" t="s">
        <v>3725</v>
      </c>
      <c r="N291" s="183" t="s">
        <v>3725</v>
      </c>
      <c r="O291" s="777"/>
    </row>
    <row r="292" spans="1:15" s="182" customFormat="1" ht="21.75" customHeight="1" x14ac:dyDescent="0.15">
      <c r="A292" s="151" t="s">
        <v>5811</v>
      </c>
      <c r="B292" s="226" t="s">
        <v>5813</v>
      </c>
      <c r="C292" s="236" t="s">
        <v>3346</v>
      </c>
      <c r="D292" s="778" t="s">
        <v>3326</v>
      </c>
      <c r="E292" s="180" t="s">
        <v>4298</v>
      </c>
      <c r="F292" s="184" t="s">
        <v>3355</v>
      </c>
      <c r="G292" s="235" t="s">
        <v>4786</v>
      </c>
      <c r="H292" s="638">
        <v>21074</v>
      </c>
      <c r="I292" s="194">
        <v>0</v>
      </c>
      <c r="J292" s="194">
        <v>4250</v>
      </c>
      <c r="K292" s="185">
        <v>0.05</v>
      </c>
      <c r="L292" s="183" t="s">
        <v>4724</v>
      </c>
      <c r="M292" s="183" t="s">
        <v>3434</v>
      </c>
      <c r="N292" s="183" t="s">
        <v>3434</v>
      </c>
      <c r="O292" s="776"/>
    </row>
    <row r="293" spans="1:15" s="182" customFormat="1" ht="21.75" customHeight="1" x14ac:dyDescent="0.15">
      <c r="A293" s="151" t="s">
        <v>5811</v>
      </c>
      <c r="B293" s="226" t="s">
        <v>719</v>
      </c>
      <c r="C293" s="236" t="s">
        <v>3346</v>
      </c>
      <c r="D293" s="778" t="s">
        <v>3326</v>
      </c>
      <c r="E293" s="180" t="s">
        <v>873</v>
      </c>
      <c r="F293" s="184" t="s">
        <v>3355</v>
      </c>
      <c r="G293" s="235" t="s">
        <v>4786</v>
      </c>
      <c r="H293" s="638">
        <v>21075</v>
      </c>
      <c r="I293" s="194">
        <v>0</v>
      </c>
      <c r="J293" s="194">
        <v>4250</v>
      </c>
      <c r="K293" s="185">
        <v>0.05</v>
      </c>
      <c r="L293" s="183" t="s">
        <v>4724</v>
      </c>
      <c r="M293" s="183" t="s">
        <v>3434</v>
      </c>
      <c r="N293" s="183" t="s">
        <v>3434</v>
      </c>
      <c r="O293" s="776"/>
    </row>
    <row r="294" spans="1:15" s="182" customFormat="1" ht="21.75" customHeight="1" x14ac:dyDescent="0.15">
      <c r="A294" s="151" t="s">
        <v>5814</v>
      </c>
      <c r="B294" s="226" t="s">
        <v>5815</v>
      </c>
      <c r="C294" s="184" t="s">
        <v>4963</v>
      </c>
      <c r="D294" s="184" t="s">
        <v>5153</v>
      </c>
      <c r="E294" s="184" t="s">
        <v>5420</v>
      </c>
      <c r="F294" s="267" t="s">
        <v>3328</v>
      </c>
      <c r="G294" s="239" t="s">
        <v>5240</v>
      </c>
      <c r="H294" s="638">
        <v>22029</v>
      </c>
      <c r="I294" s="194">
        <v>0</v>
      </c>
      <c r="J294" s="194">
        <v>22500</v>
      </c>
      <c r="K294" s="185">
        <v>0.9</v>
      </c>
      <c r="L294" s="183" t="s">
        <v>4711</v>
      </c>
      <c r="M294" s="183" t="s">
        <v>3957</v>
      </c>
      <c r="N294" s="183" t="s">
        <v>3957</v>
      </c>
      <c r="O294" s="777"/>
    </row>
    <row r="295" spans="1:15" s="182" customFormat="1" ht="21.75" customHeight="1" x14ac:dyDescent="0.15">
      <c r="A295" s="151" t="s">
        <v>5819</v>
      </c>
      <c r="B295" s="226" t="s">
        <v>5822</v>
      </c>
      <c r="C295" s="236" t="s">
        <v>3337</v>
      </c>
      <c r="D295" s="602" t="s">
        <v>3702</v>
      </c>
      <c r="E295" s="236" t="s">
        <v>4587</v>
      </c>
      <c r="F295" s="241" t="s">
        <v>3328</v>
      </c>
      <c r="G295" s="242" t="s">
        <v>3566</v>
      </c>
      <c r="H295" s="638">
        <v>21025</v>
      </c>
      <c r="I295" s="194">
        <v>0</v>
      </c>
      <c r="J295" s="194">
        <v>70000</v>
      </c>
      <c r="K295" s="185" t="s">
        <v>3105</v>
      </c>
      <c r="L295" s="183" t="s">
        <v>4706</v>
      </c>
      <c r="M295" s="183" t="s">
        <v>4957</v>
      </c>
      <c r="N295" s="183" t="s">
        <v>3726</v>
      </c>
      <c r="O295" s="779"/>
    </row>
    <row r="296" spans="1:15" s="182" customFormat="1" ht="21.75" customHeight="1" x14ac:dyDescent="0.15">
      <c r="A296" s="151" t="s">
        <v>5820</v>
      </c>
      <c r="B296" s="226" t="s">
        <v>5823</v>
      </c>
      <c r="C296" s="779" t="s">
        <v>4982</v>
      </c>
      <c r="D296" s="184" t="s">
        <v>5422</v>
      </c>
      <c r="E296" s="779" t="s">
        <v>5569</v>
      </c>
      <c r="F296" s="184" t="s">
        <v>4944</v>
      </c>
      <c r="G296" s="235" t="s">
        <v>5827</v>
      </c>
      <c r="H296" s="638" t="s">
        <v>5824</v>
      </c>
      <c r="I296" s="194">
        <v>0</v>
      </c>
      <c r="J296" s="194">
        <v>81000</v>
      </c>
      <c r="K296" s="185">
        <v>0.9</v>
      </c>
      <c r="L296" s="183" t="s">
        <v>4706</v>
      </c>
      <c r="M296" s="183" t="s">
        <v>3433</v>
      </c>
      <c r="N296" s="183" t="s">
        <v>3433</v>
      </c>
      <c r="O296" s="779"/>
    </row>
    <row r="297" spans="1:15" s="182" customFormat="1" ht="21.75" customHeight="1" x14ac:dyDescent="0.15">
      <c r="A297" s="151" t="s">
        <v>5820</v>
      </c>
      <c r="B297" s="226" t="s">
        <v>5823</v>
      </c>
      <c r="C297" s="184" t="s">
        <v>4982</v>
      </c>
      <c r="D297" s="184" t="s">
        <v>5422</v>
      </c>
      <c r="E297" s="184" t="s">
        <v>879</v>
      </c>
      <c r="F297" s="184" t="s">
        <v>4944</v>
      </c>
      <c r="G297" s="235" t="s">
        <v>5827</v>
      </c>
      <c r="H297" s="638" t="s">
        <v>5825</v>
      </c>
      <c r="I297" s="194">
        <v>0</v>
      </c>
      <c r="J297" s="194">
        <v>81000</v>
      </c>
      <c r="K297" s="185">
        <v>0.9</v>
      </c>
      <c r="L297" s="183" t="s">
        <v>4706</v>
      </c>
      <c r="M297" s="183" t="s">
        <v>3433</v>
      </c>
      <c r="N297" s="183" t="s">
        <v>3433</v>
      </c>
      <c r="O297" s="779"/>
    </row>
    <row r="298" spans="1:15" s="182" customFormat="1" ht="21.75" customHeight="1" x14ac:dyDescent="0.15">
      <c r="A298" s="151" t="s">
        <v>5820</v>
      </c>
      <c r="B298" s="226" t="s">
        <v>5823</v>
      </c>
      <c r="C298" s="224" t="s">
        <v>3325</v>
      </c>
      <c r="D298" s="224" t="s">
        <v>3439</v>
      </c>
      <c r="E298" s="180" t="s">
        <v>4102</v>
      </c>
      <c r="F298" s="224" t="s">
        <v>3340</v>
      </c>
      <c r="G298" s="235" t="s">
        <v>5827</v>
      </c>
      <c r="H298" s="638" t="s">
        <v>5826</v>
      </c>
      <c r="I298" s="194">
        <v>0</v>
      </c>
      <c r="J298" s="194">
        <v>81000</v>
      </c>
      <c r="K298" s="185">
        <v>0.9</v>
      </c>
      <c r="L298" s="183" t="s">
        <v>4706</v>
      </c>
      <c r="M298" s="183" t="s">
        <v>3433</v>
      </c>
      <c r="N298" s="183" t="s">
        <v>3433</v>
      </c>
      <c r="O298" s="779"/>
    </row>
    <row r="299" spans="1:15" s="182" customFormat="1" ht="21.75" customHeight="1" x14ac:dyDescent="0.15">
      <c r="A299" s="151" t="s">
        <v>5821</v>
      </c>
      <c r="B299" s="226" t="s">
        <v>866</v>
      </c>
      <c r="C299" s="779" t="s">
        <v>4982</v>
      </c>
      <c r="D299" s="184" t="s">
        <v>5422</v>
      </c>
      <c r="E299" s="779" t="s">
        <v>5828</v>
      </c>
      <c r="F299" s="292" t="s">
        <v>3328</v>
      </c>
      <c r="G299" s="235" t="s">
        <v>5030</v>
      </c>
      <c r="H299" s="638">
        <v>21164</v>
      </c>
      <c r="I299" s="194">
        <v>0</v>
      </c>
      <c r="J299" s="194">
        <v>48000</v>
      </c>
      <c r="K299" s="185">
        <v>0.5</v>
      </c>
      <c r="L299" s="183" t="s">
        <v>4706</v>
      </c>
      <c r="M299" s="183" t="s">
        <v>3433</v>
      </c>
      <c r="N299" s="183" t="s">
        <v>3433</v>
      </c>
      <c r="O299" s="779"/>
    </row>
    <row r="300" spans="1:15" s="182" customFormat="1" ht="21.75" customHeight="1" x14ac:dyDescent="0.15">
      <c r="A300" s="151" t="s">
        <v>5829</v>
      </c>
      <c r="B300" s="226" t="s">
        <v>5831</v>
      </c>
      <c r="C300" s="236" t="s">
        <v>3337</v>
      </c>
      <c r="D300" s="602" t="s">
        <v>3702</v>
      </c>
      <c r="E300" s="236" t="s">
        <v>4589</v>
      </c>
      <c r="F300" s="241" t="s">
        <v>3340</v>
      </c>
      <c r="G300" s="242" t="s">
        <v>3566</v>
      </c>
      <c r="H300" s="638">
        <v>21027</v>
      </c>
      <c r="I300" s="194">
        <v>0</v>
      </c>
      <c r="J300" s="194">
        <v>70000</v>
      </c>
      <c r="K300" s="185" t="s">
        <v>3105</v>
      </c>
      <c r="L300" s="183" t="s">
        <v>4706</v>
      </c>
      <c r="M300" s="241" t="s">
        <v>4957</v>
      </c>
      <c r="N300" s="241" t="s">
        <v>3726</v>
      </c>
      <c r="O300" s="780"/>
    </row>
    <row r="301" spans="1:15" s="182" customFormat="1" ht="21.75" customHeight="1" x14ac:dyDescent="0.15">
      <c r="A301" s="151" t="s">
        <v>5830</v>
      </c>
      <c r="B301" s="226" t="s">
        <v>5832</v>
      </c>
      <c r="C301" s="781" t="s">
        <v>4963</v>
      </c>
      <c r="D301" s="781" t="s">
        <v>4942</v>
      </c>
      <c r="E301" s="781" t="s">
        <v>697</v>
      </c>
      <c r="F301" s="184" t="s">
        <v>5078</v>
      </c>
      <c r="G301" s="239" t="s">
        <v>3349</v>
      </c>
      <c r="H301" s="638">
        <v>22003</v>
      </c>
      <c r="I301" s="194">
        <v>0</v>
      </c>
      <c r="J301" s="194">
        <v>89000</v>
      </c>
      <c r="K301" s="185">
        <v>1</v>
      </c>
      <c r="L301" s="183" t="s">
        <v>4706</v>
      </c>
      <c r="M301" s="183" t="s">
        <v>3957</v>
      </c>
      <c r="N301" s="183" t="s">
        <v>3957</v>
      </c>
      <c r="O301" s="780"/>
    </row>
    <row r="302" spans="1:15" s="182" customFormat="1" ht="21.75" customHeight="1" x14ac:dyDescent="0.15">
      <c r="A302" s="151" t="s">
        <v>5830</v>
      </c>
      <c r="B302" s="226" t="s">
        <v>5833</v>
      </c>
      <c r="C302" s="184" t="s">
        <v>5834</v>
      </c>
      <c r="D302" s="184" t="s">
        <v>5018</v>
      </c>
      <c r="E302" s="184" t="s">
        <v>4145</v>
      </c>
      <c r="F302" s="184" t="s">
        <v>5020</v>
      </c>
      <c r="G302" s="235" t="s">
        <v>5021</v>
      </c>
      <c r="H302" s="638">
        <v>22161</v>
      </c>
      <c r="I302" s="194">
        <v>0</v>
      </c>
      <c r="J302" s="194">
        <v>15900</v>
      </c>
      <c r="K302" s="185">
        <v>1</v>
      </c>
      <c r="L302" s="183" t="s">
        <v>4707</v>
      </c>
      <c r="M302" s="183" t="s">
        <v>4399</v>
      </c>
      <c r="N302" s="183" t="s">
        <v>4399</v>
      </c>
      <c r="O302" s="780"/>
    </row>
    <row r="303" spans="1:15" s="182" customFormat="1" ht="21.75" customHeight="1" x14ac:dyDescent="0.15">
      <c r="A303" s="151" t="s">
        <v>5830</v>
      </c>
      <c r="B303" s="226" t="s">
        <v>5291</v>
      </c>
      <c r="C303" s="781" t="s">
        <v>4982</v>
      </c>
      <c r="D303" s="781" t="s">
        <v>5294</v>
      </c>
      <c r="E303" s="781" t="s">
        <v>5295</v>
      </c>
      <c r="F303" s="184" t="s">
        <v>3328</v>
      </c>
      <c r="G303" s="235" t="s">
        <v>5030</v>
      </c>
      <c r="H303" s="638">
        <v>21146</v>
      </c>
      <c r="I303" s="194">
        <v>0</v>
      </c>
      <c r="J303" s="194">
        <v>45000</v>
      </c>
      <c r="K303" s="185">
        <v>0.5</v>
      </c>
      <c r="L303" s="183" t="s">
        <v>4706</v>
      </c>
      <c r="M303" s="184" t="s">
        <v>5835</v>
      </c>
      <c r="N303" s="184" t="s">
        <v>5835</v>
      </c>
      <c r="O303" s="780"/>
    </row>
    <row r="304" spans="1:15" s="182" customFormat="1" ht="21.75" customHeight="1" x14ac:dyDescent="0.15">
      <c r="A304" s="151" t="s">
        <v>5830</v>
      </c>
      <c r="B304" s="226" t="s">
        <v>5291</v>
      </c>
      <c r="C304" s="781" t="s">
        <v>4982</v>
      </c>
      <c r="D304" s="184" t="s">
        <v>5294</v>
      </c>
      <c r="E304" s="781" t="s">
        <v>5295</v>
      </c>
      <c r="F304" s="184" t="s">
        <v>3328</v>
      </c>
      <c r="G304" s="239" t="s">
        <v>5240</v>
      </c>
      <c r="H304" s="181">
        <v>22137</v>
      </c>
      <c r="I304" s="194">
        <v>0</v>
      </c>
      <c r="J304" s="194">
        <v>46550</v>
      </c>
      <c r="K304" s="185">
        <v>0.95</v>
      </c>
      <c r="L304" s="183" t="s">
        <v>4707</v>
      </c>
      <c r="M304" s="241" t="s">
        <v>3434</v>
      </c>
      <c r="N304" s="241" t="s">
        <v>3434</v>
      </c>
      <c r="O304" s="780"/>
    </row>
    <row r="305" spans="1:15" s="182" customFormat="1" ht="21.75" customHeight="1" x14ac:dyDescent="0.15">
      <c r="A305" s="151" t="s">
        <v>5836</v>
      </c>
      <c r="B305" s="226" t="s">
        <v>5815</v>
      </c>
      <c r="C305" s="184" t="s">
        <v>4963</v>
      </c>
      <c r="D305" s="184" t="s">
        <v>5153</v>
      </c>
      <c r="E305" s="184" t="s">
        <v>5420</v>
      </c>
      <c r="F305" s="184" t="s">
        <v>5078</v>
      </c>
      <c r="G305" s="235" t="s">
        <v>5421</v>
      </c>
      <c r="H305" s="181">
        <v>21145</v>
      </c>
      <c r="I305" s="194">
        <v>0</v>
      </c>
      <c r="J305" s="194">
        <v>7800</v>
      </c>
      <c r="K305" s="185">
        <v>0.1</v>
      </c>
      <c r="L305" s="183" t="s">
        <v>4724</v>
      </c>
      <c r="M305" s="241" t="s">
        <v>3957</v>
      </c>
      <c r="N305" s="241" t="s">
        <v>3957</v>
      </c>
      <c r="O305" s="782"/>
    </row>
    <row r="306" spans="1:15" s="182" customFormat="1" ht="21.75" customHeight="1" x14ac:dyDescent="0.15">
      <c r="A306" s="151" t="s">
        <v>5836</v>
      </c>
      <c r="B306" s="226" t="s">
        <v>5845</v>
      </c>
      <c r="C306" s="783" t="s">
        <v>5567</v>
      </c>
      <c r="D306" s="783" t="s">
        <v>4942</v>
      </c>
      <c r="E306" s="783" t="s">
        <v>5728</v>
      </c>
      <c r="F306" s="184" t="s">
        <v>5078</v>
      </c>
      <c r="G306" s="235" t="s">
        <v>5030</v>
      </c>
      <c r="H306" s="181">
        <v>22032</v>
      </c>
      <c r="I306" s="194">
        <v>0</v>
      </c>
      <c r="J306" s="194">
        <v>88000</v>
      </c>
      <c r="K306" s="185">
        <v>1</v>
      </c>
      <c r="L306" s="183" t="s">
        <v>4706</v>
      </c>
      <c r="M306" s="241" t="s">
        <v>3957</v>
      </c>
      <c r="N306" s="241" t="s">
        <v>3957</v>
      </c>
      <c r="O306" s="782"/>
    </row>
    <row r="307" spans="1:15" s="182" customFormat="1" ht="21.75" customHeight="1" x14ac:dyDescent="0.15">
      <c r="A307" s="151" t="s">
        <v>5837</v>
      </c>
      <c r="B307" s="226" t="s">
        <v>5846</v>
      </c>
      <c r="C307" s="241" t="s">
        <v>3346</v>
      </c>
      <c r="D307" s="241" t="s">
        <v>3481</v>
      </c>
      <c r="E307" s="241" t="s">
        <v>4692</v>
      </c>
      <c r="F307" s="241" t="s">
        <v>3340</v>
      </c>
      <c r="G307" s="242" t="s">
        <v>3566</v>
      </c>
      <c r="H307" s="181">
        <v>20142</v>
      </c>
      <c r="I307" s="194">
        <v>0</v>
      </c>
      <c r="J307" s="194">
        <v>93500</v>
      </c>
      <c r="K307" s="185" t="s">
        <v>3105</v>
      </c>
      <c r="L307" s="183" t="s">
        <v>4706</v>
      </c>
      <c r="M307" s="241" t="s">
        <v>3434</v>
      </c>
      <c r="N307" s="241" t="s">
        <v>3434</v>
      </c>
      <c r="O307" s="782"/>
    </row>
    <row r="308" spans="1:15" s="182" customFormat="1" ht="21.75" customHeight="1" x14ac:dyDescent="0.15">
      <c r="A308" s="151" t="s">
        <v>5838</v>
      </c>
      <c r="B308" s="226" t="s">
        <v>5201</v>
      </c>
      <c r="C308" s="783" t="s">
        <v>5213</v>
      </c>
      <c r="D308" s="783" t="s">
        <v>5214</v>
      </c>
      <c r="E308" s="783" t="s">
        <v>5215</v>
      </c>
      <c r="F308" s="184" t="s">
        <v>3340</v>
      </c>
      <c r="G308" s="235" t="s">
        <v>5030</v>
      </c>
      <c r="H308" s="181">
        <v>22065</v>
      </c>
      <c r="I308" s="194">
        <v>0</v>
      </c>
      <c r="J308" s="194">
        <v>37500</v>
      </c>
      <c r="K308" s="185">
        <v>0.5</v>
      </c>
      <c r="L308" s="183" t="s">
        <v>4706</v>
      </c>
      <c r="M308" s="184" t="s">
        <v>5255</v>
      </c>
      <c r="N308" s="184" t="s">
        <v>5255</v>
      </c>
      <c r="O308" s="782"/>
    </row>
    <row r="309" spans="1:15" s="182" customFormat="1" ht="21.75" customHeight="1" x14ac:dyDescent="0.15">
      <c r="A309" s="151" t="s">
        <v>5839</v>
      </c>
      <c r="B309" s="226" t="s">
        <v>5847</v>
      </c>
      <c r="C309" s="784" t="s">
        <v>3363</v>
      </c>
      <c r="D309" s="784" t="s">
        <v>3354</v>
      </c>
      <c r="E309" s="784" t="s">
        <v>5865</v>
      </c>
      <c r="F309" s="184" t="s">
        <v>5078</v>
      </c>
      <c r="G309" s="235" t="s">
        <v>5658</v>
      </c>
      <c r="H309" s="181">
        <v>22128</v>
      </c>
      <c r="I309" s="194">
        <v>0</v>
      </c>
      <c r="J309" s="194">
        <v>107100</v>
      </c>
      <c r="K309" s="185">
        <v>0.9</v>
      </c>
      <c r="L309" s="183" t="s">
        <v>4707</v>
      </c>
      <c r="M309" s="241" t="s">
        <v>3957</v>
      </c>
      <c r="N309" s="241" t="s">
        <v>3957</v>
      </c>
      <c r="O309" s="782"/>
    </row>
    <row r="310" spans="1:15" s="182" customFormat="1" ht="21.75" customHeight="1" x14ac:dyDescent="0.15">
      <c r="A310" s="151" t="s">
        <v>5840</v>
      </c>
      <c r="B310" s="226" t="s">
        <v>2927</v>
      </c>
      <c r="C310" s="241" t="s">
        <v>3376</v>
      </c>
      <c r="D310" s="368" t="s">
        <v>3682</v>
      </c>
      <c r="E310" s="596" t="s">
        <v>3683</v>
      </c>
      <c r="F310" s="241" t="s">
        <v>3355</v>
      </c>
      <c r="G310" s="242" t="s">
        <v>4768</v>
      </c>
      <c r="H310" s="181" t="s">
        <v>4766</v>
      </c>
      <c r="I310" s="194">
        <v>0</v>
      </c>
      <c r="J310" s="194">
        <v>13000</v>
      </c>
      <c r="K310" s="185">
        <v>0.1</v>
      </c>
      <c r="L310" s="183" t="s">
        <v>4724</v>
      </c>
      <c r="M310" s="241" t="s">
        <v>4708</v>
      </c>
      <c r="N310" s="241" t="s">
        <v>4708</v>
      </c>
      <c r="O310" s="782"/>
    </row>
    <row r="311" spans="1:15" s="182" customFormat="1" ht="21.75" customHeight="1" x14ac:dyDescent="0.15">
      <c r="A311" s="151" t="s">
        <v>5840</v>
      </c>
      <c r="B311" s="226" t="s">
        <v>2927</v>
      </c>
      <c r="C311" s="241" t="s">
        <v>3376</v>
      </c>
      <c r="D311" s="368" t="s">
        <v>3682</v>
      </c>
      <c r="E311" s="596" t="s">
        <v>3683</v>
      </c>
      <c r="F311" s="241" t="s">
        <v>3355</v>
      </c>
      <c r="G311" s="242" t="s">
        <v>4769</v>
      </c>
      <c r="H311" s="181" t="s">
        <v>4767</v>
      </c>
      <c r="I311" s="194">
        <v>0</v>
      </c>
      <c r="J311" s="194">
        <v>5000</v>
      </c>
      <c r="K311" s="185">
        <v>0.1</v>
      </c>
      <c r="L311" s="183" t="s">
        <v>4724</v>
      </c>
      <c r="M311" s="241" t="s">
        <v>4708</v>
      </c>
      <c r="N311" s="241" t="s">
        <v>4708</v>
      </c>
      <c r="O311" s="783"/>
    </row>
    <row r="312" spans="1:15" s="182" customFormat="1" ht="21.75" customHeight="1" x14ac:dyDescent="0.15">
      <c r="A312" s="151" t="s">
        <v>5841</v>
      </c>
      <c r="B312" s="226" t="s">
        <v>5848</v>
      </c>
      <c r="C312" s="224" t="s">
        <v>3334</v>
      </c>
      <c r="D312" s="224" t="s">
        <v>3326</v>
      </c>
      <c r="E312" s="224" t="s">
        <v>3942</v>
      </c>
      <c r="F312" s="207" t="s">
        <v>3328</v>
      </c>
      <c r="G312" s="235" t="s">
        <v>5827</v>
      </c>
      <c r="H312" s="181">
        <v>21106</v>
      </c>
      <c r="I312" s="194">
        <v>0</v>
      </c>
      <c r="J312" s="194">
        <v>49650</v>
      </c>
      <c r="K312" s="185" t="s">
        <v>3105</v>
      </c>
      <c r="L312" s="183" t="s">
        <v>4706</v>
      </c>
      <c r="M312" s="241" t="s">
        <v>4708</v>
      </c>
      <c r="N312" s="241" t="s">
        <v>4708</v>
      </c>
      <c r="O312" s="782"/>
    </row>
    <row r="313" spans="1:15" s="182" customFormat="1" ht="21.75" customHeight="1" x14ac:dyDescent="0.15">
      <c r="A313" s="151" t="s">
        <v>5841</v>
      </c>
      <c r="B313" s="226" t="s">
        <v>5849</v>
      </c>
      <c r="C313" s="783" t="s">
        <v>5148</v>
      </c>
      <c r="D313" s="783" t="s">
        <v>5853</v>
      </c>
      <c r="E313" s="783" t="s">
        <v>5854</v>
      </c>
      <c r="F313" s="184" t="s">
        <v>5078</v>
      </c>
      <c r="G313" s="235" t="s">
        <v>5855</v>
      </c>
      <c r="H313" s="181">
        <v>22129</v>
      </c>
      <c r="I313" s="194">
        <v>0</v>
      </c>
      <c r="J313" s="194">
        <v>29100</v>
      </c>
      <c r="K313" s="185">
        <v>0.97</v>
      </c>
      <c r="L313" s="183" t="s">
        <v>4711</v>
      </c>
      <c r="M313" s="241" t="s">
        <v>4708</v>
      </c>
      <c r="N313" s="241" t="s">
        <v>4708</v>
      </c>
      <c r="O313" s="782"/>
    </row>
    <row r="314" spans="1:15" s="182" customFormat="1" ht="21.75" customHeight="1" x14ac:dyDescent="0.15">
      <c r="A314" s="151" t="s">
        <v>5842</v>
      </c>
      <c r="B314" s="226" t="s">
        <v>5224</v>
      </c>
      <c r="C314" s="184" t="s">
        <v>4982</v>
      </c>
      <c r="D314" s="184" t="s">
        <v>4964</v>
      </c>
      <c r="E314" s="184" t="s">
        <v>5856</v>
      </c>
      <c r="F314" s="184" t="s">
        <v>3328</v>
      </c>
      <c r="G314" s="235" t="s">
        <v>5042</v>
      </c>
      <c r="H314" s="181">
        <v>21087</v>
      </c>
      <c r="I314" s="194">
        <v>0</v>
      </c>
      <c r="J314" s="194">
        <v>66015</v>
      </c>
      <c r="K314" s="185">
        <v>0.75</v>
      </c>
      <c r="L314" s="183" t="s">
        <v>4711</v>
      </c>
      <c r="M314" s="241" t="s">
        <v>3434</v>
      </c>
      <c r="N314" s="241" t="s">
        <v>3434</v>
      </c>
      <c r="O314" s="782"/>
    </row>
    <row r="315" spans="1:15" s="182" customFormat="1" ht="21.75" customHeight="1" x14ac:dyDescent="0.15">
      <c r="A315" s="151" t="s">
        <v>5842</v>
      </c>
      <c r="B315" s="226" t="s">
        <v>672</v>
      </c>
      <c r="C315" s="783" t="s">
        <v>3346</v>
      </c>
      <c r="D315" s="783" t="s">
        <v>3347</v>
      </c>
      <c r="E315" s="783" t="s">
        <v>3348</v>
      </c>
      <c r="F315" s="184" t="s">
        <v>3328</v>
      </c>
      <c r="G315" s="235" t="s">
        <v>3349</v>
      </c>
      <c r="H315" s="638" t="s">
        <v>5857</v>
      </c>
      <c r="I315" s="194">
        <v>0</v>
      </c>
      <c r="J315" s="194">
        <v>137500</v>
      </c>
      <c r="K315" s="185">
        <v>1</v>
      </c>
      <c r="L315" s="183" t="s">
        <v>4706</v>
      </c>
      <c r="M315" s="184" t="s">
        <v>3725</v>
      </c>
      <c r="N315" s="184" t="s">
        <v>662</v>
      </c>
      <c r="O315" s="782"/>
    </row>
    <row r="316" spans="1:15" s="182" customFormat="1" ht="21.75" customHeight="1" x14ac:dyDescent="0.15">
      <c r="A316" s="151" t="s">
        <v>5842</v>
      </c>
      <c r="B316" s="226" t="s">
        <v>672</v>
      </c>
      <c r="C316" s="783" t="s">
        <v>3346</v>
      </c>
      <c r="D316" s="783" t="s">
        <v>3347</v>
      </c>
      <c r="E316" s="783" t="s">
        <v>3350</v>
      </c>
      <c r="F316" s="184" t="s">
        <v>3328</v>
      </c>
      <c r="G316" s="235" t="s">
        <v>3349</v>
      </c>
      <c r="H316" s="638" t="s">
        <v>5858</v>
      </c>
      <c r="I316" s="194">
        <v>0</v>
      </c>
      <c r="J316" s="194">
        <v>137500</v>
      </c>
      <c r="K316" s="185">
        <v>1</v>
      </c>
      <c r="L316" s="183" t="s">
        <v>4706</v>
      </c>
      <c r="M316" s="184" t="s">
        <v>3725</v>
      </c>
      <c r="N316" s="184" t="s">
        <v>662</v>
      </c>
      <c r="O316" s="783"/>
    </row>
    <row r="317" spans="1:15" s="182" customFormat="1" ht="21.75" customHeight="1" x14ac:dyDescent="0.15">
      <c r="A317" s="151" t="s">
        <v>5842</v>
      </c>
      <c r="B317" s="226" t="s">
        <v>5850</v>
      </c>
      <c r="C317" s="783" t="s">
        <v>4963</v>
      </c>
      <c r="D317" s="783" t="s">
        <v>5153</v>
      </c>
      <c r="E317" s="783" t="s">
        <v>5859</v>
      </c>
      <c r="F317" s="184" t="s">
        <v>4944</v>
      </c>
      <c r="G317" s="235" t="s">
        <v>5860</v>
      </c>
      <c r="H317" s="181">
        <v>22051</v>
      </c>
      <c r="I317" s="194">
        <v>0</v>
      </c>
      <c r="J317" s="194">
        <v>137500</v>
      </c>
      <c r="K317" s="185">
        <v>1</v>
      </c>
      <c r="L317" s="183" t="s">
        <v>4707</v>
      </c>
      <c r="M317" s="241" t="s">
        <v>3434</v>
      </c>
      <c r="N317" s="241" t="s">
        <v>3434</v>
      </c>
      <c r="O317" s="782"/>
    </row>
    <row r="318" spans="1:15" s="182" customFormat="1" ht="21.75" customHeight="1" x14ac:dyDescent="0.15">
      <c r="A318" s="151" t="s">
        <v>5843</v>
      </c>
      <c r="B318" s="226" t="s">
        <v>5851</v>
      </c>
      <c r="C318" s="241" t="s">
        <v>3364</v>
      </c>
      <c r="D318" s="241" t="s">
        <v>3326</v>
      </c>
      <c r="E318" s="241" t="s">
        <v>3269</v>
      </c>
      <c r="F318" s="292" t="s">
        <v>3328</v>
      </c>
      <c r="G318" s="242" t="s">
        <v>3349</v>
      </c>
      <c r="H318" s="181" t="s">
        <v>5877</v>
      </c>
      <c r="I318" s="194">
        <v>0</v>
      </c>
      <c r="J318" s="194">
        <v>40000</v>
      </c>
      <c r="K318" s="185">
        <v>0.5</v>
      </c>
      <c r="L318" s="183" t="s">
        <v>4706</v>
      </c>
      <c r="M318" s="241" t="s">
        <v>4957</v>
      </c>
      <c r="N318" s="596" t="s">
        <v>3726</v>
      </c>
      <c r="O318" s="782"/>
    </row>
    <row r="319" spans="1:15" s="182" customFormat="1" ht="21.75" customHeight="1" x14ac:dyDescent="0.15">
      <c r="A319" s="151" t="s">
        <v>5843</v>
      </c>
      <c r="B319" s="226" t="s">
        <v>5797</v>
      </c>
      <c r="C319" s="184" t="s">
        <v>4982</v>
      </c>
      <c r="D319" s="184" t="s">
        <v>5422</v>
      </c>
      <c r="E319" s="184" t="s">
        <v>5798</v>
      </c>
      <c r="F319" s="184" t="s">
        <v>5078</v>
      </c>
      <c r="G319" s="235" t="s">
        <v>3329</v>
      </c>
      <c r="H319" s="181" t="s">
        <v>5878</v>
      </c>
      <c r="I319" s="194">
        <v>0</v>
      </c>
      <c r="J319" s="194">
        <v>109000</v>
      </c>
      <c r="K319" s="185" t="s">
        <v>5879</v>
      </c>
      <c r="L319" s="183" t="s">
        <v>4694</v>
      </c>
      <c r="M319" s="184" t="s">
        <v>693</v>
      </c>
      <c r="N319" s="184" t="s">
        <v>693</v>
      </c>
      <c r="O319" s="782"/>
    </row>
    <row r="320" spans="1:15" s="182" customFormat="1" ht="21.75" customHeight="1" x14ac:dyDescent="0.15">
      <c r="A320" s="151" t="s">
        <v>5844</v>
      </c>
      <c r="B320" s="226" t="s">
        <v>5852</v>
      </c>
      <c r="C320" s="783" t="s">
        <v>5156</v>
      </c>
      <c r="D320" s="783" t="s">
        <v>5153</v>
      </c>
      <c r="E320" s="783" t="s">
        <v>5863</v>
      </c>
      <c r="F320" s="184" t="s">
        <v>3355</v>
      </c>
      <c r="G320" s="235" t="s">
        <v>5864</v>
      </c>
      <c r="H320" s="638" t="s">
        <v>5861</v>
      </c>
      <c r="I320" s="194">
        <v>0</v>
      </c>
      <c r="J320" s="194">
        <v>242440</v>
      </c>
      <c r="K320" s="185">
        <v>0.95</v>
      </c>
      <c r="L320" s="183" t="s">
        <v>4711</v>
      </c>
      <c r="M320" s="241" t="s">
        <v>4708</v>
      </c>
      <c r="N320" s="241" t="s">
        <v>4708</v>
      </c>
      <c r="O320" s="782"/>
    </row>
    <row r="321" spans="1:15" s="182" customFormat="1" ht="21.75" customHeight="1" x14ac:dyDescent="0.15">
      <c r="A321" s="151" t="s">
        <v>5844</v>
      </c>
      <c r="B321" s="226" t="s">
        <v>5852</v>
      </c>
      <c r="C321" s="783" t="s">
        <v>5156</v>
      </c>
      <c r="D321" s="783" t="s">
        <v>5153</v>
      </c>
      <c r="E321" s="783" t="s">
        <v>5863</v>
      </c>
      <c r="F321" s="184" t="s">
        <v>3328</v>
      </c>
      <c r="G321" s="239" t="s">
        <v>5240</v>
      </c>
      <c r="H321" s="638" t="s">
        <v>5862</v>
      </c>
      <c r="I321" s="194">
        <v>0</v>
      </c>
      <c r="J321" s="194">
        <v>19000</v>
      </c>
      <c r="K321" s="185">
        <v>0.95</v>
      </c>
      <c r="L321" s="183" t="s">
        <v>4711</v>
      </c>
      <c r="M321" s="241" t="s">
        <v>4708</v>
      </c>
      <c r="N321" s="241" t="s">
        <v>4708</v>
      </c>
      <c r="O321" s="783"/>
    </row>
    <row r="322" spans="1:15" s="182" customFormat="1" ht="21.75" customHeight="1" x14ac:dyDescent="0.15">
      <c r="A322" s="151" t="s">
        <v>5866</v>
      </c>
      <c r="B322" s="226" t="s">
        <v>913</v>
      </c>
      <c r="C322" s="786" t="s">
        <v>3985</v>
      </c>
      <c r="D322" s="786" t="s">
        <v>4089</v>
      </c>
      <c r="E322" s="786" t="s">
        <v>40</v>
      </c>
      <c r="F322" s="184" t="s">
        <v>5078</v>
      </c>
      <c r="G322" s="235" t="s">
        <v>5873</v>
      </c>
      <c r="H322" s="638">
        <v>22134</v>
      </c>
      <c r="I322" s="194">
        <v>0</v>
      </c>
      <c r="J322" s="194">
        <v>86000</v>
      </c>
      <c r="K322" s="185">
        <v>1</v>
      </c>
      <c r="L322" s="183" t="s">
        <v>4707</v>
      </c>
      <c r="M322" s="241" t="s">
        <v>3433</v>
      </c>
      <c r="N322" s="241" t="s">
        <v>3433</v>
      </c>
      <c r="O322" s="785"/>
    </row>
    <row r="323" spans="1:15" s="182" customFormat="1" ht="21.75" customHeight="1" x14ac:dyDescent="0.15">
      <c r="A323" s="151" t="s">
        <v>5867</v>
      </c>
      <c r="B323" s="226" t="s">
        <v>5807</v>
      </c>
      <c r="C323" s="614" t="s">
        <v>3351</v>
      </c>
      <c r="D323" s="614" t="s">
        <v>3415</v>
      </c>
      <c r="E323" s="614" t="s">
        <v>107</v>
      </c>
      <c r="F323" s="236" t="s">
        <v>3328</v>
      </c>
      <c r="G323" s="240" t="s">
        <v>3349</v>
      </c>
      <c r="H323" s="638">
        <v>15003</v>
      </c>
      <c r="I323" s="194">
        <v>0</v>
      </c>
      <c r="J323" s="194">
        <v>6000</v>
      </c>
      <c r="K323" s="185">
        <v>0.05</v>
      </c>
      <c r="L323" s="183" t="s">
        <v>4724</v>
      </c>
      <c r="M323" s="267" t="s">
        <v>4699</v>
      </c>
      <c r="N323" s="596" t="s">
        <v>3726</v>
      </c>
      <c r="O323" s="785"/>
    </row>
    <row r="324" spans="1:15" s="182" customFormat="1" ht="21.75" customHeight="1" x14ac:dyDescent="0.15">
      <c r="A324" s="151" t="s">
        <v>5867</v>
      </c>
      <c r="B324" s="226" t="s">
        <v>5869</v>
      </c>
      <c r="C324" s="279" t="s">
        <v>3351</v>
      </c>
      <c r="D324" s="241" t="s">
        <v>3354</v>
      </c>
      <c r="E324" s="614" t="s">
        <v>5874</v>
      </c>
      <c r="F324" s="241" t="s">
        <v>4416</v>
      </c>
      <c r="G324" s="242" t="s">
        <v>5875</v>
      </c>
      <c r="H324" s="638">
        <v>16109</v>
      </c>
      <c r="I324" s="194">
        <v>0</v>
      </c>
      <c r="J324" s="194">
        <v>10800</v>
      </c>
      <c r="K324" s="185">
        <v>0.1</v>
      </c>
      <c r="L324" s="183" t="s">
        <v>4724</v>
      </c>
      <c r="M324" s="241" t="s">
        <v>4699</v>
      </c>
      <c r="N324" s="596" t="s">
        <v>3726</v>
      </c>
      <c r="O324" s="785"/>
    </row>
    <row r="325" spans="1:15" s="182" customFormat="1" ht="21.75" customHeight="1" x14ac:dyDescent="0.15">
      <c r="A325" s="151" t="s">
        <v>5867</v>
      </c>
      <c r="B325" s="226" t="s">
        <v>5870</v>
      </c>
      <c r="C325" s="241" t="s">
        <v>3325</v>
      </c>
      <c r="D325" s="241" t="s">
        <v>3439</v>
      </c>
      <c r="E325" s="241" t="s">
        <v>3440</v>
      </c>
      <c r="F325" s="241" t="s">
        <v>3328</v>
      </c>
      <c r="G325" s="242" t="s">
        <v>3336</v>
      </c>
      <c r="H325" s="638">
        <v>21069</v>
      </c>
      <c r="I325" s="194">
        <v>0</v>
      </c>
      <c r="J325" s="194">
        <v>14000</v>
      </c>
      <c r="K325" s="185">
        <v>1</v>
      </c>
      <c r="L325" s="183" t="s">
        <v>4707</v>
      </c>
      <c r="M325" s="241" t="s">
        <v>3433</v>
      </c>
      <c r="N325" s="241" t="s">
        <v>3433</v>
      </c>
      <c r="O325" s="785"/>
    </row>
    <row r="326" spans="1:15" s="182" customFormat="1" ht="21.75" customHeight="1" x14ac:dyDescent="0.15">
      <c r="A326" s="151" t="s">
        <v>5868</v>
      </c>
      <c r="B326" s="226" t="s">
        <v>5871</v>
      </c>
      <c r="C326" s="786" t="s">
        <v>3346</v>
      </c>
      <c r="D326" s="786" t="s">
        <v>3347</v>
      </c>
      <c r="E326" s="30" t="s">
        <v>3542</v>
      </c>
      <c r="F326" s="184" t="s">
        <v>3328</v>
      </c>
      <c r="G326" s="235" t="s">
        <v>5795</v>
      </c>
      <c r="H326" s="638">
        <v>22014</v>
      </c>
      <c r="I326" s="194">
        <v>0</v>
      </c>
      <c r="J326" s="194">
        <v>148500</v>
      </c>
      <c r="K326" s="185">
        <v>1</v>
      </c>
      <c r="L326" s="183" t="s">
        <v>4706</v>
      </c>
      <c r="M326" s="184" t="s">
        <v>3725</v>
      </c>
      <c r="N326" s="184" t="s">
        <v>662</v>
      </c>
      <c r="O326" s="785"/>
    </row>
    <row r="327" spans="1:15" s="182" customFormat="1" ht="21.75" customHeight="1" x14ac:dyDescent="0.15">
      <c r="A327" s="151" t="s">
        <v>5868</v>
      </c>
      <c r="B327" s="226" t="s">
        <v>5872</v>
      </c>
      <c r="C327" s="224" t="s">
        <v>3346</v>
      </c>
      <c r="D327" s="234" t="s">
        <v>3622</v>
      </c>
      <c r="E327" s="207" t="s">
        <v>5876</v>
      </c>
      <c r="F327" s="224" t="s">
        <v>3340</v>
      </c>
      <c r="G327" s="239" t="s">
        <v>5240</v>
      </c>
      <c r="H327" s="638">
        <v>22141</v>
      </c>
      <c r="I327" s="194">
        <v>0</v>
      </c>
      <c r="J327" s="194">
        <v>10000</v>
      </c>
      <c r="K327" s="185">
        <v>1</v>
      </c>
      <c r="L327" s="183" t="s">
        <v>4707</v>
      </c>
      <c r="M327" s="241" t="s">
        <v>3434</v>
      </c>
      <c r="N327" s="241" t="s">
        <v>3434</v>
      </c>
      <c r="O327" s="785"/>
    </row>
    <row r="328" spans="1:15" s="182" customFormat="1" ht="21.75" customHeight="1" x14ac:dyDescent="0.15">
      <c r="A328" s="151" t="s">
        <v>5244</v>
      </c>
      <c r="B328" s="277" t="s">
        <v>7064</v>
      </c>
      <c r="C328" s="947" t="s">
        <v>4418</v>
      </c>
      <c r="D328" s="947" t="s">
        <v>4418</v>
      </c>
      <c r="E328" s="947" t="s">
        <v>4418</v>
      </c>
      <c r="F328" s="947" t="s">
        <v>4418</v>
      </c>
      <c r="G328" s="1004" t="s">
        <v>4418</v>
      </c>
      <c r="H328" s="509">
        <v>22010</v>
      </c>
      <c r="I328" s="194">
        <v>0</v>
      </c>
      <c r="J328" s="194">
        <v>390000</v>
      </c>
      <c r="K328" s="185">
        <v>1</v>
      </c>
      <c r="L328" s="183" t="s">
        <v>4707</v>
      </c>
      <c r="M328" s="183" t="s">
        <v>3725</v>
      </c>
      <c r="N328" s="183" t="s">
        <v>3725</v>
      </c>
      <c r="O328" s="785" t="s">
        <v>7063</v>
      </c>
    </row>
    <row r="329" spans="1:15" s="182" customFormat="1" ht="21.75" customHeight="1" x14ac:dyDescent="0.15">
      <c r="A329" s="151" t="s">
        <v>7061</v>
      </c>
      <c r="B329" s="277" t="s">
        <v>7064</v>
      </c>
      <c r="C329" s="947" t="s">
        <v>4418</v>
      </c>
      <c r="D329" s="947" t="s">
        <v>4418</v>
      </c>
      <c r="E329" s="947" t="s">
        <v>4418</v>
      </c>
      <c r="F329" s="947" t="s">
        <v>4418</v>
      </c>
      <c r="G329" s="1004" t="s">
        <v>4418</v>
      </c>
      <c r="H329" s="509">
        <v>22020</v>
      </c>
      <c r="I329" s="194">
        <v>0</v>
      </c>
      <c r="J329" s="194">
        <v>390000</v>
      </c>
      <c r="K329" s="185">
        <v>1</v>
      </c>
      <c r="L329" s="183" t="s">
        <v>4707</v>
      </c>
      <c r="M329" s="183" t="s">
        <v>3725</v>
      </c>
      <c r="N329" s="183" t="s">
        <v>3725</v>
      </c>
      <c r="O329" s="1060" t="s">
        <v>7063</v>
      </c>
    </row>
    <row r="330" spans="1:15" s="182" customFormat="1" ht="21.75" customHeight="1" x14ac:dyDescent="0.15">
      <c r="A330" s="151" t="s">
        <v>7062</v>
      </c>
      <c r="B330" s="277" t="s">
        <v>7064</v>
      </c>
      <c r="C330" s="947" t="s">
        <v>4418</v>
      </c>
      <c r="D330" s="947" t="s">
        <v>4418</v>
      </c>
      <c r="E330" s="947" t="s">
        <v>4418</v>
      </c>
      <c r="F330" s="947" t="s">
        <v>4418</v>
      </c>
      <c r="G330" s="1004" t="s">
        <v>4418</v>
      </c>
      <c r="H330" s="509">
        <v>22035</v>
      </c>
      <c r="I330" s="194">
        <v>0</v>
      </c>
      <c r="J330" s="194">
        <v>168230</v>
      </c>
      <c r="K330" s="185">
        <v>1</v>
      </c>
      <c r="L330" s="183" t="s">
        <v>4707</v>
      </c>
      <c r="M330" s="183" t="s">
        <v>3725</v>
      </c>
      <c r="N330" s="183" t="s">
        <v>3725</v>
      </c>
      <c r="O330" s="1060" t="s">
        <v>7063</v>
      </c>
    </row>
    <row r="331" spans="1:15" s="182" customFormat="1" ht="21.75" customHeight="1" x14ac:dyDescent="0.15">
      <c r="A331" s="151" t="s">
        <v>5561</v>
      </c>
      <c r="B331" s="277" t="s">
        <v>7064</v>
      </c>
      <c r="C331" s="947" t="s">
        <v>4418</v>
      </c>
      <c r="D331" s="947" t="s">
        <v>4418</v>
      </c>
      <c r="E331" s="947" t="s">
        <v>4418</v>
      </c>
      <c r="F331" s="947" t="s">
        <v>4418</v>
      </c>
      <c r="G331" s="1004" t="s">
        <v>4418</v>
      </c>
      <c r="H331" s="509">
        <v>22049</v>
      </c>
      <c r="I331" s="194">
        <v>0</v>
      </c>
      <c r="J331" s="194">
        <v>68897</v>
      </c>
      <c r="K331" s="185">
        <v>1</v>
      </c>
      <c r="L331" s="183" t="s">
        <v>4707</v>
      </c>
      <c r="M331" s="183" t="s">
        <v>3725</v>
      </c>
      <c r="N331" s="183" t="s">
        <v>3725</v>
      </c>
      <c r="O331" s="1060" t="s">
        <v>7063</v>
      </c>
    </row>
    <row r="332" spans="1:15" s="182" customFormat="1" ht="21.75" customHeight="1" x14ac:dyDescent="0.15">
      <c r="A332" s="151"/>
      <c r="B332" s="20"/>
      <c r="C332" s="20"/>
      <c r="D332" s="20"/>
      <c r="E332" s="30"/>
      <c r="F332" s="30"/>
      <c r="G332" s="30"/>
      <c r="H332" s="755"/>
      <c r="I332" s="194"/>
      <c r="J332" s="194"/>
      <c r="K332" s="185"/>
      <c r="L332" s="183"/>
      <c r="M332" s="183"/>
      <c r="N332" s="183"/>
      <c r="O332" s="644"/>
    </row>
    <row r="333" spans="1:15" s="182" customFormat="1" ht="21.75" customHeight="1" x14ac:dyDescent="0.15">
      <c r="A333" s="151"/>
      <c r="B333" s="20"/>
      <c r="C333" s="224"/>
      <c r="D333" s="224"/>
      <c r="E333" s="30"/>
      <c r="F333" s="184"/>
      <c r="G333" s="235"/>
      <c r="H333" s="644"/>
      <c r="I333" s="194"/>
      <c r="J333" s="194"/>
      <c r="K333" s="185"/>
      <c r="L333" s="183"/>
      <c r="M333" s="183"/>
      <c r="N333" s="183"/>
      <c r="O333" s="644"/>
    </row>
    <row r="334" spans="1:15" s="182" customFormat="1" ht="21.75" customHeight="1" x14ac:dyDescent="0.15">
      <c r="A334" s="151"/>
      <c r="B334" s="20"/>
      <c r="C334" s="20"/>
      <c r="D334" s="20"/>
      <c r="E334" s="30"/>
      <c r="F334" s="30"/>
      <c r="G334" s="30"/>
      <c r="H334" s="644"/>
      <c r="I334" s="194"/>
      <c r="J334" s="194"/>
      <c r="K334" s="231"/>
      <c r="L334" s="232"/>
      <c r="M334" s="232"/>
      <c r="N334" s="232"/>
      <c r="O334" s="233"/>
    </row>
    <row r="335" spans="1:15" x14ac:dyDescent="0.15">
      <c r="A335" s="1165" t="s">
        <v>5219</v>
      </c>
      <c r="B335" s="1166"/>
      <c r="C335" s="1166"/>
      <c r="D335" s="1166"/>
      <c r="E335" s="1166"/>
      <c r="F335" s="1166"/>
      <c r="G335" s="1166"/>
      <c r="H335" s="1167"/>
      <c r="I335" s="230">
        <f>SUM(I3:I334)</f>
        <v>6317993.7880000006</v>
      </c>
      <c r="J335" s="230">
        <f>SUM(J3:J334)</f>
        <v>26181891.73</v>
      </c>
    </row>
  </sheetData>
  <autoFilter ref="A2:O332" xr:uid="{942BD51C-DD4D-41F8-8B6A-3CAFDCE8D5C7}"/>
  <mergeCells count="2">
    <mergeCell ref="A1:O1"/>
    <mergeCell ref="A335:H335"/>
  </mergeCells>
  <phoneticPr fontId="6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40A3B-79FF-46FE-B6E1-452C7DD02050}">
  <dimension ref="A1:O373"/>
  <sheetViews>
    <sheetView topLeftCell="A327" zoomScaleNormal="100" workbookViewId="0">
      <selection activeCell="A345" sqref="A345:XFD345"/>
    </sheetView>
  </sheetViews>
  <sheetFormatPr defaultRowHeight="13.5" x14ac:dyDescent="0.15"/>
  <cols>
    <col min="1" max="1" width="10.75" customWidth="1"/>
    <col min="2" max="2" width="24.625" customWidth="1"/>
    <col min="3" max="4" width="10.625" customWidth="1"/>
    <col min="5" max="5" width="17.5" customWidth="1"/>
    <col min="6" max="6" width="15" customWidth="1"/>
    <col min="7" max="7" width="24.875" customWidth="1"/>
    <col min="8" max="11" width="15.375" customWidth="1"/>
    <col min="12" max="12" width="18" customWidth="1"/>
    <col min="13" max="13" width="10.75" customWidth="1"/>
    <col min="14" max="14" width="10.875" customWidth="1"/>
    <col min="15" max="15" width="45.625" customWidth="1"/>
  </cols>
  <sheetData>
    <row r="1" spans="1:15" s="176" customFormat="1" ht="40.5" customHeight="1" x14ac:dyDescent="0.15">
      <c r="A1" s="1164" t="s">
        <v>4460</v>
      </c>
      <c r="B1" s="1164"/>
      <c r="C1" s="1164"/>
      <c r="D1" s="1164"/>
      <c r="E1" s="1164"/>
      <c r="F1" s="1164"/>
      <c r="G1" s="1164"/>
      <c r="H1" s="1164"/>
      <c r="I1" s="1164"/>
      <c r="J1" s="1164"/>
      <c r="K1" s="1164"/>
      <c r="L1" s="1164"/>
      <c r="M1" s="1164"/>
      <c r="N1" s="1164"/>
      <c r="O1" s="1164"/>
    </row>
    <row r="2" spans="1:15" s="176" customFormat="1" ht="21.75" customHeight="1" x14ac:dyDescent="0.15">
      <c r="A2" s="16" t="s">
        <v>1755</v>
      </c>
      <c r="B2" s="16" t="s">
        <v>128</v>
      </c>
      <c r="C2" s="245" t="s">
        <v>3322</v>
      </c>
      <c r="D2" s="245" t="s">
        <v>3321</v>
      </c>
      <c r="E2" s="245" t="s">
        <v>1756</v>
      </c>
      <c r="F2" s="245" t="s">
        <v>3323</v>
      </c>
      <c r="G2" s="245" t="s">
        <v>3324</v>
      </c>
      <c r="H2" s="16" t="s">
        <v>130</v>
      </c>
      <c r="I2" s="193" t="s">
        <v>1757</v>
      </c>
      <c r="J2" s="193" t="s">
        <v>1758</v>
      </c>
      <c r="K2" s="16" t="s">
        <v>1759</v>
      </c>
      <c r="L2" s="16" t="s">
        <v>1760</v>
      </c>
      <c r="M2" s="16" t="s">
        <v>3243</v>
      </c>
      <c r="N2" s="16" t="s">
        <v>3244</v>
      </c>
      <c r="O2" s="16" t="s">
        <v>509</v>
      </c>
    </row>
    <row r="3" spans="1:15" s="176" customFormat="1" ht="21.75" customHeight="1" x14ac:dyDescent="0.15">
      <c r="A3" s="151" t="s">
        <v>4456</v>
      </c>
      <c r="B3" s="11" t="s">
        <v>4457</v>
      </c>
      <c r="C3" s="184" t="s">
        <v>3330</v>
      </c>
      <c r="D3" s="184" t="s">
        <v>3547</v>
      </c>
      <c r="E3" s="184" t="s">
        <v>4445</v>
      </c>
      <c r="F3" s="184" t="s">
        <v>3328</v>
      </c>
      <c r="G3" s="235" t="s">
        <v>3611</v>
      </c>
      <c r="H3" s="541">
        <v>20119</v>
      </c>
      <c r="I3" s="194">
        <v>100000</v>
      </c>
      <c r="J3" s="194">
        <v>0</v>
      </c>
      <c r="K3" s="159" t="s">
        <v>4459</v>
      </c>
      <c r="L3" s="159" t="s">
        <v>4447</v>
      </c>
      <c r="M3" s="541" t="s">
        <v>170</v>
      </c>
      <c r="N3" s="541" t="s">
        <v>170</v>
      </c>
      <c r="O3" s="541" t="s">
        <v>4458</v>
      </c>
    </row>
    <row r="4" spans="1:15" s="176" customFormat="1" ht="21.75" customHeight="1" x14ac:dyDescent="0.15">
      <c r="A4" s="151" t="s">
        <v>4461</v>
      </c>
      <c r="B4" s="20" t="s">
        <v>4112</v>
      </c>
      <c r="C4" s="391" t="s">
        <v>3337</v>
      </c>
      <c r="D4" s="391" t="s">
        <v>3380</v>
      </c>
      <c r="E4" s="391" t="s">
        <v>3874</v>
      </c>
      <c r="F4" s="403" t="s">
        <v>3340</v>
      </c>
      <c r="G4" s="235" t="s">
        <v>4462</v>
      </c>
      <c r="H4" s="541" t="s">
        <v>4464</v>
      </c>
      <c r="I4" s="194">
        <v>0</v>
      </c>
      <c r="J4" s="194">
        <v>52263.6</v>
      </c>
      <c r="K4" s="159">
        <v>0.97</v>
      </c>
      <c r="L4" s="159" t="s">
        <v>1147</v>
      </c>
      <c r="M4" s="541" t="s">
        <v>190</v>
      </c>
      <c r="N4" s="542" t="s">
        <v>190</v>
      </c>
      <c r="O4" s="541"/>
    </row>
    <row r="5" spans="1:15" s="176" customFormat="1" ht="21.75" customHeight="1" x14ac:dyDescent="0.15">
      <c r="A5" s="151" t="s">
        <v>4461</v>
      </c>
      <c r="B5" s="20" t="s">
        <v>4112</v>
      </c>
      <c r="C5" s="391" t="s">
        <v>3337</v>
      </c>
      <c r="D5" s="391" t="s">
        <v>3380</v>
      </c>
      <c r="E5" s="391" t="s">
        <v>3874</v>
      </c>
      <c r="F5" s="224" t="s">
        <v>4361</v>
      </c>
      <c r="G5" s="235" t="s">
        <v>4463</v>
      </c>
      <c r="H5" s="542" t="s">
        <v>4465</v>
      </c>
      <c r="I5" s="194">
        <v>0</v>
      </c>
      <c r="J5" s="194">
        <v>34842.400000000001</v>
      </c>
      <c r="K5" s="159">
        <v>0.97</v>
      </c>
      <c r="L5" s="159" t="s">
        <v>1147</v>
      </c>
      <c r="M5" s="542" t="s">
        <v>190</v>
      </c>
      <c r="N5" s="542" t="s">
        <v>190</v>
      </c>
      <c r="O5" s="542"/>
    </row>
    <row r="6" spans="1:15" s="176" customFormat="1" ht="21.75" customHeight="1" x14ac:dyDescent="0.15">
      <c r="A6" s="151" t="s">
        <v>4466</v>
      </c>
      <c r="B6" s="20" t="s">
        <v>4467</v>
      </c>
      <c r="C6" s="399" t="s">
        <v>3346</v>
      </c>
      <c r="D6" s="399" t="s">
        <v>3457</v>
      </c>
      <c r="E6" s="399" t="s">
        <v>4468</v>
      </c>
      <c r="F6" s="184" t="s">
        <v>3340</v>
      </c>
      <c r="G6" s="235" t="s">
        <v>3341</v>
      </c>
      <c r="H6" s="152">
        <v>19025</v>
      </c>
      <c r="I6" s="194">
        <v>0</v>
      </c>
      <c r="J6" s="195">
        <v>70000</v>
      </c>
      <c r="K6" s="154">
        <v>0.5</v>
      </c>
      <c r="L6" s="154" t="s">
        <v>285</v>
      </c>
      <c r="M6" s="541" t="s">
        <v>1880</v>
      </c>
      <c r="N6" s="541" t="s">
        <v>1880</v>
      </c>
      <c r="O6" s="152"/>
    </row>
    <row r="7" spans="1:15" s="176" customFormat="1" ht="21.75" customHeight="1" x14ac:dyDescent="0.15">
      <c r="A7" s="151" t="s">
        <v>4469</v>
      </c>
      <c r="B7" s="11" t="s">
        <v>1459</v>
      </c>
      <c r="C7" s="184" t="s">
        <v>3351</v>
      </c>
      <c r="D7" s="184" t="s">
        <v>3377</v>
      </c>
      <c r="E7" s="184" t="s">
        <v>3892</v>
      </c>
      <c r="F7" s="184" t="s">
        <v>3328</v>
      </c>
      <c r="G7" s="239" t="s">
        <v>3349</v>
      </c>
      <c r="H7" s="152">
        <v>19189</v>
      </c>
      <c r="I7" s="194">
        <v>0</v>
      </c>
      <c r="J7" s="195">
        <v>100000</v>
      </c>
      <c r="K7" s="154">
        <v>1</v>
      </c>
      <c r="L7" s="154" t="s">
        <v>285</v>
      </c>
      <c r="M7" s="541" t="s">
        <v>158</v>
      </c>
      <c r="N7" s="541" t="s">
        <v>158</v>
      </c>
      <c r="O7" s="152"/>
    </row>
    <row r="8" spans="1:15" s="176" customFormat="1" ht="21.75" customHeight="1" x14ac:dyDescent="0.15">
      <c r="A8" s="151" t="s">
        <v>4470</v>
      </c>
      <c r="B8" s="11" t="s">
        <v>184</v>
      </c>
      <c r="C8" s="399" t="s">
        <v>4471</v>
      </c>
      <c r="D8" s="399" t="s">
        <v>3439</v>
      </c>
      <c r="E8" s="403" t="s">
        <v>4472</v>
      </c>
      <c r="F8" s="224" t="s">
        <v>3328</v>
      </c>
      <c r="G8" s="239" t="s">
        <v>3566</v>
      </c>
      <c r="H8" s="152">
        <v>18086</v>
      </c>
      <c r="I8" s="194">
        <v>0</v>
      </c>
      <c r="J8" s="195">
        <v>100000</v>
      </c>
      <c r="K8" s="154" t="s">
        <v>3105</v>
      </c>
      <c r="L8" s="154" t="s">
        <v>285</v>
      </c>
      <c r="M8" s="541" t="s">
        <v>155</v>
      </c>
      <c r="N8" s="541" t="s">
        <v>2660</v>
      </c>
      <c r="O8" s="152"/>
    </row>
    <row r="9" spans="1:15" s="176" customFormat="1" ht="21.75" customHeight="1" x14ac:dyDescent="0.15">
      <c r="A9" s="151" t="s">
        <v>4470</v>
      </c>
      <c r="B9" s="11" t="s">
        <v>4042</v>
      </c>
      <c r="C9" s="184" t="s">
        <v>3363</v>
      </c>
      <c r="D9" s="184" t="s">
        <v>3354</v>
      </c>
      <c r="E9" s="184" t="s">
        <v>4049</v>
      </c>
      <c r="F9" s="224" t="s">
        <v>3328</v>
      </c>
      <c r="G9" s="235" t="s">
        <v>3529</v>
      </c>
      <c r="H9" s="413">
        <v>19178</v>
      </c>
      <c r="I9" s="194">
        <v>0</v>
      </c>
      <c r="J9" s="195">
        <v>11600</v>
      </c>
      <c r="K9" s="154">
        <v>0.1</v>
      </c>
      <c r="L9" s="154" t="s">
        <v>1143</v>
      </c>
      <c r="M9" s="154" t="s">
        <v>162</v>
      </c>
      <c r="N9" s="152" t="s">
        <v>2660</v>
      </c>
      <c r="O9" s="152"/>
    </row>
    <row r="10" spans="1:15" s="176" customFormat="1" ht="21.75" customHeight="1" x14ac:dyDescent="0.15">
      <c r="A10" s="151" t="s">
        <v>4473</v>
      </c>
      <c r="B10" s="11" t="s">
        <v>4474</v>
      </c>
      <c r="C10" s="399" t="s">
        <v>3351</v>
      </c>
      <c r="D10" s="399" t="s">
        <v>3352</v>
      </c>
      <c r="E10" s="399" t="s">
        <v>4475</v>
      </c>
      <c r="F10" s="184" t="s">
        <v>3328</v>
      </c>
      <c r="G10" s="235" t="s">
        <v>4476</v>
      </c>
      <c r="H10" s="413">
        <v>20141</v>
      </c>
      <c r="I10" s="194">
        <v>0</v>
      </c>
      <c r="J10" s="195">
        <v>155700</v>
      </c>
      <c r="K10" s="154">
        <v>0.9</v>
      </c>
      <c r="L10" s="154" t="s">
        <v>1172</v>
      </c>
      <c r="M10" s="154" t="s">
        <v>158</v>
      </c>
      <c r="N10" s="152" t="s">
        <v>158</v>
      </c>
      <c r="O10" s="152"/>
    </row>
    <row r="11" spans="1:15" s="176" customFormat="1" ht="21.75" customHeight="1" x14ac:dyDescent="0.15">
      <c r="A11" s="151" t="s">
        <v>4477</v>
      </c>
      <c r="B11" s="11" t="s">
        <v>536</v>
      </c>
      <c r="C11" s="399" t="s">
        <v>3365</v>
      </c>
      <c r="D11" s="399" t="s">
        <v>3354</v>
      </c>
      <c r="E11" s="399" t="s">
        <v>4478</v>
      </c>
      <c r="F11" s="184" t="s">
        <v>4479</v>
      </c>
      <c r="G11" s="235" t="s">
        <v>3336</v>
      </c>
      <c r="H11" s="152">
        <v>20162</v>
      </c>
      <c r="I11" s="194">
        <v>0</v>
      </c>
      <c r="J11" s="195">
        <v>24975</v>
      </c>
      <c r="K11" s="154">
        <v>0.9</v>
      </c>
      <c r="L11" s="154" t="s">
        <v>1147</v>
      </c>
      <c r="M11" s="541" t="s">
        <v>3388</v>
      </c>
      <c r="N11" s="543" t="s">
        <v>3388</v>
      </c>
      <c r="O11" s="152"/>
    </row>
    <row r="12" spans="1:15" s="176" customFormat="1" ht="21.75" customHeight="1" x14ac:dyDescent="0.15">
      <c r="A12" s="151" t="s">
        <v>4480</v>
      </c>
      <c r="B12" s="11" t="s">
        <v>3711</v>
      </c>
      <c r="C12" s="184" t="s">
        <v>3346</v>
      </c>
      <c r="D12" s="184" t="s">
        <v>3712</v>
      </c>
      <c r="E12" s="184" t="s">
        <v>3713</v>
      </c>
      <c r="F12" s="184" t="s">
        <v>3355</v>
      </c>
      <c r="G12" s="235" t="s">
        <v>3356</v>
      </c>
      <c r="H12" s="152">
        <v>19079</v>
      </c>
      <c r="I12" s="194">
        <v>0</v>
      </c>
      <c r="J12" s="195">
        <v>30000</v>
      </c>
      <c r="K12" s="154" t="s">
        <v>3105</v>
      </c>
      <c r="L12" s="154" t="s">
        <v>1147</v>
      </c>
      <c r="M12" s="541" t="s">
        <v>1880</v>
      </c>
      <c r="N12" s="541" t="s">
        <v>1880</v>
      </c>
      <c r="O12" s="152"/>
    </row>
    <row r="13" spans="1:15" s="176" customFormat="1" ht="21.75" customHeight="1" x14ac:dyDescent="0.15">
      <c r="A13" s="151" t="s">
        <v>4481</v>
      </c>
      <c r="B13" s="11" t="s">
        <v>3267</v>
      </c>
      <c r="C13" s="224" t="s">
        <v>3364</v>
      </c>
      <c r="D13" s="224" t="s">
        <v>3326</v>
      </c>
      <c r="E13" s="394" t="s">
        <v>3750</v>
      </c>
      <c r="F13" s="224" t="s">
        <v>3328</v>
      </c>
      <c r="G13" s="239" t="s">
        <v>3353</v>
      </c>
      <c r="H13" s="152">
        <v>18176</v>
      </c>
      <c r="I13" s="194">
        <v>0</v>
      </c>
      <c r="J13" s="195">
        <v>8760</v>
      </c>
      <c r="K13" s="154">
        <v>0.1</v>
      </c>
      <c r="L13" s="154" t="s">
        <v>1143</v>
      </c>
      <c r="M13" s="154" t="s">
        <v>190</v>
      </c>
      <c r="N13" s="152" t="s">
        <v>190</v>
      </c>
      <c r="O13" s="152"/>
    </row>
    <row r="14" spans="1:15" s="182" customFormat="1" ht="21.75" customHeight="1" x14ac:dyDescent="0.15">
      <c r="A14" s="151" t="s">
        <v>4481</v>
      </c>
      <c r="B14" s="11" t="s">
        <v>3267</v>
      </c>
      <c r="C14" s="184" t="s">
        <v>4482</v>
      </c>
      <c r="D14" s="399" t="s">
        <v>3326</v>
      </c>
      <c r="E14" s="184" t="s">
        <v>4483</v>
      </c>
      <c r="F14" s="184" t="s">
        <v>3355</v>
      </c>
      <c r="G14" s="235" t="s">
        <v>4484</v>
      </c>
      <c r="H14" s="541">
        <v>17112</v>
      </c>
      <c r="I14" s="194">
        <v>0</v>
      </c>
      <c r="J14" s="194">
        <v>12000</v>
      </c>
      <c r="K14" s="185">
        <v>0.1</v>
      </c>
      <c r="L14" s="183" t="s">
        <v>1143</v>
      </c>
      <c r="M14" s="154" t="s">
        <v>190</v>
      </c>
      <c r="N14" s="152" t="s">
        <v>190</v>
      </c>
      <c r="O14" s="541"/>
    </row>
    <row r="15" spans="1:15" s="182" customFormat="1" ht="21.75" customHeight="1" x14ac:dyDescent="0.15">
      <c r="A15" s="151" t="s">
        <v>4485</v>
      </c>
      <c r="B15" s="11" t="s">
        <v>3657</v>
      </c>
      <c r="C15" s="399" t="s">
        <v>3376</v>
      </c>
      <c r="D15" s="399" t="s">
        <v>3682</v>
      </c>
      <c r="E15" s="399" t="s">
        <v>3660</v>
      </c>
      <c r="F15" s="418" t="s">
        <v>3328</v>
      </c>
      <c r="G15" s="235" t="s">
        <v>4486</v>
      </c>
      <c r="H15" s="541">
        <v>19111</v>
      </c>
      <c r="I15" s="194">
        <v>0</v>
      </c>
      <c r="J15" s="194">
        <v>55000</v>
      </c>
      <c r="K15" s="185">
        <v>1</v>
      </c>
      <c r="L15" s="183" t="s">
        <v>1948</v>
      </c>
      <c r="M15" s="154" t="s">
        <v>170</v>
      </c>
      <c r="N15" s="152" t="s">
        <v>170</v>
      </c>
      <c r="O15" s="541"/>
    </row>
    <row r="16" spans="1:15" s="182" customFormat="1" ht="21.75" customHeight="1" x14ac:dyDescent="0.15">
      <c r="A16" s="151" t="s">
        <v>4485</v>
      </c>
      <c r="B16" s="11" t="s">
        <v>627</v>
      </c>
      <c r="C16" s="399" t="s">
        <v>3376</v>
      </c>
      <c r="D16" s="399" t="s">
        <v>3682</v>
      </c>
      <c r="E16" s="399" t="s">
        <v>3871</v>
      </c>
      <c r="F16" s="418" t="s">
        <v>3328</v>
      </c>
      <c r="G16" s="235" t="s">
        <v>4486</v>
      </c>
      <c r="H16" s="541">
        <v>19112</v>
      </c>
      <c r="I16" s="194">
        <v>0</v>
      </c>
      <c r="J16" s="194">
        <v>55000</v>
      </c>
      <c r="K16" s="185">
        <v>1</v>
      </c>
      <c r="L16" s="183" t="s">
        <v>1948</v>
      </c>
      <c r="M16" s="154" t="s">
        <v>170</v>
      </c>
      <c r="N16" s="152" t="s">
        <v>170</v>
      </c>
      <c r="O16" s="541"/>
    </row>
    <row r="17" spans="1:15" s="182" customFormat="1" ht="21.75" customHeight="1" x14ac:dyDescent="0.15">
      <c r="A17" s="151" t="s">
        <v>4485</v>
      </c>
      <c r="B17" s="11" t="s">
        <v>2690</v>
      </c>
      <c r="C17" s="399" t="s">
        <v>3376</v>
      </c>
      <c r="D17" s="399" t="s">
        <v>3682</v>
      </c>
      <c r="E17" s="399" t="s">
        <v>4245</v>
      </c>
      <c r="F17" s="418" t="s">
        <v>3328</v>
      </c>
      <c r="G17" s="235" t="s">
        <v>4486</v>
      </c>
      <c r="H17" s="541">
        <v>19114</v>
      </c>
      <c r="I17" s="194">
        <v>0</v>
      </c>
      <c r="J17" s="194">
        <v>55000</v>
      </c>
      <c r="K17" s="185">
        <v>1</v>
      </c>
      <c r="L17" s="183" t="s">
        <v>1948</v>
      </c>
      <c r="M17" s="154" t="s">
        <v>170</v>
      </c>
      <c r="N17" s="152" t="s">
        <v>170</v>
      </c>
      <c r="O17" s="541"/>
    </row>
    <row r="18" spans="1:15" s="182" customFormat="1" ht="21.75" customHeight="1" x14ac:dyDescent="0.15">
      <c r="A18" s="151" t="s">
        <v>4485</v>
      </c>
      <c r="B18" s="11" t="s">
        <v>1869</v>
      </c>
      <c r="C18" s="399" t="s">
        <v>3376</v>
      </c>
      <c r="D18" s="399" t="s">
        <v>3682</v>
      </c>
      <c r="E18" s="399" t="s">
        <v>4243</v>
      </c>
      <c r="F18" s="418" t="s">
        <v>3328</v>
      </c>
      <c r="G18" s="235" t="s">
        <v>4486</v>
      </c>
      <c r="H18" s="541">
        <v>19113</v>
      </c>
      <c r="I18" s="194">
        <v>0</v>
      </c>
      <c r="J18" s="194">
        <v>55000</v>
      </c>
      <c r="K18" s="185">
        <v>1</v>
      </c>
      <c r="L18" s="183" t="s">
        <v>1948</v>
      </c>
      <c r="M18" s="154" t="s">
        <v>170</v>
      </c>
      <c r="N18" s="152" t="s">
        <v>170</v>
      </c>
      <c r="O18" s="541"/>
    </row>
    <row r="19" spans="1:15" s="182" customFormat="1" ht="21.75" customHeight="1" x14ac:dyDescent="0.15">
      <c r="A19" s="151" t="s">
        <v>4487</v>
      </c>
      <c r="B19" s="11" t="s">
        <v>2568</v>
      </c>
      <c r="C19" s="234" t="s">
        <v>3346</v>
      </c>
      <c r="D19" s="234" t="s">
        <v>3439</v>
      </c>
      <c r="E19" s="234" t="s">
        <v>3989</v>
      </c>
      <c r="F19" s="224" t="s">
        <v>3328</v>
      </c>
      <c r="G19" s="239" t="s">
        <v>3566</v>
      </c>
      <c r="H19" s="541">
        <v>18157</v>
      </c>
      <c r="I19" s="194">
        <v>0</v>
      </c>
      <c r="J19" s="194">
        <v>100000</v>
      </c>
      <c r="K19" s="154" t="s">
        <v>3105</v>
      </c>
      <c r="L19" s="154" t="s">
        <v>285</v>
      </c>
      <c r="M19" s="545" t="s">
        <v>155</v>
      </c>
      <c r="N19" s="545" t="s">
        <v>1880</v>
      </c>
      <c r="O19" s="541"/>
    </row>
    <row r="20" spans="1:15" s="182" customFormat="1" ht="21.75" customHeight="1" x14ac:dyDescent="0.15">
      <c r="A20" s="151" t="s">
        <v>4487</v>
      </c>
      <c r="B20" s="11" t="s">
        <v>3098</v>
      </c>
      <c r="C20" s="184" t="s">
        <v>3351</v>
      </c>
      <c r="D20" s="184" t="s">
        <v>3439</v>
      </c>
      <c r="E20" s="184" t="s">
        <v>4109</v>
      </c>
      <c r="F20" s="184" t="s">
        <v>3328</v>
      </c>
      <c r="G20" s="235" t="s">
        <v>3349</v>
      </c>
      <c r="H20" s="541">
        <v>20039</v>
      </c>
      <c r="I20" s="194">
        <v>0</v>
      </c>
      <c r="J20" s="194">
        <v>80000</v>
      </c>
      <c r="K20" s="185">
        <v>0.8</v>
      </c>
      <c r="L20" s="183" t="s">
        <v>285</v>
      </c>
      <c r="M20" s="154" t="s">
        <v>158</v>
      </c>
      <c r="N20" s="152" t="s">
        <v>158</v>
      </c>
      <c r="O20" s="541"/>
    </row>
    <row r="21" spans="1:15" s="182" customFormat="1" ht="21.75" customHeight="1" x14ac:dyDescent="0.15">
      <c r="A21" s="151" t="s">
        <v>4488</v>
      </c>
      <c r="B21" s="11" t="s">
        <v>4489</v>
      </c>
      <c r="C21" s="184" t="s">
        <v>4396</v>
      </c>
      <c r="D21" s="184" t="s">
        <v>3326</v>
      </c>
      <c r="E21" s="184" t="s">
        <v>4397</v>
      </c>
      <c r="F21" s="184" t="s">
        <v>3328</v>
      </c>
      <c r="G21" s="235" t="s">
        <v>4065</v>
      </c>
      <c r="H21" s="181" t="s">
        <v>4490</v>
      </c>
      <c r="I21" s="194">
        <v>0</v>
      </c>
      <c r="J21" s="194">
        <v>218250</v>
      </c>
      <c r="K21" s="185">
        <v>0.45</v>
      </c>
      <c r="L21" s="183" t="s">
        <v>4493</v>
      </c>
      <c r="M21" s="154" t="s">
        <v>162</v>
      </c>
      <c r="N21" s="152" t="s">
        <v>3388</v>
      </c>
      <c r="O21" s="541"/>
    </row>
    <row r="22" spans="1:15" s="182" customFormat="1" ht="21.75" customHeight="1" x14ac:dyDescent="0.15">
      <c r="A22" s="151" t="s">
        <v>4488</v>
      </c>
      <c r="B22" s="11" t="s">
        <v>4489</v>
      </c>
      <c r="C22" s="184" t="s">
        <v>4396</v>
      </c>
      <c r="D22" s="184" t="s">
        <v>3326</v>
      </c>
      <c r="E22" s="184" t="s">
        <v>4400</v>
      </c>
      <c r="F22" s="184" t="s">
        <v>3328</v>
      </c>
      <c r="G22" s="235" t="s">
        <v>4065</v>
      </c>
      <c r="H22" s="181" t="s">
        <v>4491</v>
      </c>
      <c r="I22" s="194">
        <v>0</v>
      </c>
      <c r="J22" s="194">
        <v>220500</v>
      </c>
      <c r="K22" s="185">
        <v>0.45</v>
      </c>
      <c r="L22" s="183" t="s">
        <v>4493</v>
      </c>
      <c r="M22" s="154" t="s">
        <v>162</v>
      </c>
      <c r="N22" s="152" t="s">
        <v>3388</v>
      </c>
      <c r="O22" s="544"/>
    </row>
    <row r="23" spans="1:15" s="182" customFormat="1" ht="21.75" customHeight="1" x14ac:dyDescent="0.15">
      <c r="A23" s="151" t="s">
        <v>4488</v>
      </c>
      <c r="B23" s="11" t="s">
        <v>4489</v>
      </c>
      <c r="C23" s="184" t="s">
        <v>4396</v>
      </c>
      <c r="D23" s="184" t="s">
        <v>3326</v>
      </c>
      <c r="E23" s="184" t="s">
        <v>4401</v>
      </c>
      <c r="F23" s="184" t="s">
        <v>3328</v>
      </c>
      <c r="G23" s="235" t="s">
        <v>4065</v>
      </c>
      <c r="H23" s="181" t="s">
        <v>4492</v>
      </c>
      <c r="I23" s="194">
        <v>0</v>
      </c>
      <c r="J23" s="194">
        <v>220500</v>
      </c>
      <c r="K23" s="185">
        <v>0.45</v>
      </c>
      <c r="L23" s="183" t="s">
        <v>4493</v>
      </c>
      <c r="M23" s="154" t="s">
        <v>162</v>
      </c>
      <c r="N23" s="152" t="s">
        <v>3388</v>
      </c>
      <c r="O23" s="544"/>
    </row>
    <row r="24" spans="1:15" s="182" customFormat="1" ht="21.75" customHeight="1" x14ac:dyDescent="0.15">
      <c r="A24" s="151" t="s">
        <v>4488</v>
      </c>
      <c r="B24" s="11" t="s">
        <v>569</v>
      </c>
      <c r="C24" s="545" t="s">
        <v>3363</v>
      </c>
      <c r="D24" s="545" t="s">
        <v>3439</v>
      </c>
      <c r="E24" s="545" t="s">
        <v>3859</v>
      </c>
      <c r="F24" s="292" t="s">
        <v>3328</v>
      </c>
      <c r="G24" s="235" t="s">
        <v>3336</v>
      </c>
      <c r="H24" s="541">
        <v>20175</v>
      </c>
      <c r="I24" s="194">
        <v>0</v>
      </c>
      <c r="J24" s="194">
        <v>38500</v>
      </c>
      <c r="K24" s="185">
        <v>1</v>
      </c>
      <c r="L24" s="183" t="s">
        <v>1948</v>
      </c>
      <c r="M24" s="154" t="s">
        <v>2660</v>
      </c>
      <c r="N24" s="152" t="s">
        <v>2660</v>
      </c>
      <c r="O24" s="541"/>
    </row>
    <row r="25" spans="1:15" s="182" customFormat="1" ht="21.75" customHeight="1" x14ac:dyDescent="0.15">
      <c r="A25" s="151" t="s">
        <v>4488</v>
      </c>
      <c r="B25" s="11" t="s">
        <v>2741</v>
      </c>
      <c r="C25" s="184" t="s">
        <v>3346</v>
      </c>
      <c r="D25" s="184" t="s">
        <v>3481</v>
      </c>
      <c r="E25" s="184" t="s">
        <v>4497</v>
      </c>
      <c r="F25" s="403" t="s">
        <v>3340</v>
      </c>
      <c r="G25" s="411" t="s">
        <v>4498</v>
      </c>
      <c r="H25" s="541">
        <v>18112</v>
      </c>
      <c r="I25" s="194">
        <v>0</v>
      </c>
      <c r="J25" s="194">
        <v>2856</v>
      </c>
      <c r="K25" s="185" t="s">
        <v>4499</v>
      </c>
      <c r="L25" s="183" t="s">
        <v>1143</v>
      </c>
      <c r="M25" s="154" t="s">
        <v>1880</v>
      </c>
      <c r="N25" s="152" t="s">
        <v>1880</v>
      </c>
      <c r="O25" s="541"/>
    </row>
    <row r="26" spans="1:15" s="182" customFormat="1" ht="21.75" customHeight="1" x14ac:dyDescent="0.15">
      <c r="A26" s="151" t="s">
        <v>4494</v>
      </c>
      <c r="B26" s="11" t="s">
        <v>4495</v>
      </c>
      <c r="C26" s="399" t="s">
        <v>3363</v>
      </c>
      <c r="D26" s="399" t="s">
        <v>3354</v>
      </c>
      <c r="E26" s="399" t="s">
        <v>4267</v>
      </c>
      <c r="F26" s="184" t="s">
        <v>3328</v>
      </c>
      <c r="G26" s="235" t="s">
        <v>4375</v>
      </c>
      <c r="H26" s="541">
        <v>20028</v>
      </c>
      <c r="I26" s="194">
        <v>0</v>
      </c>
      <c r="J26" s="194">
        <v>30000</v>
      </c>
      <c r="K26" s="185" t="s">
        <v>4503</v>
      </c>
      <c r="L26" s="183" t="s">
        <v>1948</v>
      </c>
      <c r="M26" s="183" t="s">
        <v>2660</v>
      </c>
      <c r="N26" s="183" t="s">
        <v>2660</v>
      </c>
      <c r="O26" s="541"/>
    </row>
    <row r="27" spans="1:15" s="182" customFormat="1" ht="21.75" customHeight="1" x14ac:dyDescent="0.15">
      <c r="A27" s="151" t="s">
        <v>4494</v>
      </c>
      <c r="B27" s="11" t="s">
        <v>2398</v>
      </c>
      <c r="C27" s="399" t="s">
        <v>3351</v>
      </c>
      <c r="D27" s="399" t="s">
        <v>3352</v>
      </c>
      <c r="E27" s="399" t="s">
        <v>4126</v>
      </c>
      <c r="F27" s="184" t="s">
        <v>3340</v>
      </c>
      <c r="G27" s="235" t="s">
        <v>3529</v>
      </c>
      <c r="H27" s="541">
        <v>20010</v>
      </c>
      <c r="I27" s="194">
        <v>0</v>
      </c>
      <c r="J27" s="194">
        <v>62300</v>
      </c>
      <c r="K27" s="185" t="s">
        <v>4500</v>
      </c>
      <c r="L27" s="183" t="s">
        <v>1948</v>
      </c>
      <c r="M27" s="183" t="s">
        <v>158</v>
      </c>
      <c r="N27" s="183" t="s">
        <v>158</v>
      </c>
      <c r="O27" s="541"/>
    </row>
    <row r="28" spans="1:15" s="182" customFormat="1" ht="21.75" customHeight="1" x14ac:dyDescent="0.15">
      <c r="A28" s="151" t="s">
        <v>4494</v>
      </c>
      <c r="B28" s="11" t="s">
        <v>4045</v>
      </c>
      <c r="C28" s="184" t="s">
        <v>3351</v>
      </c>
      <c r="D28" s="184" t="s">
        <v>3463</v>
      </c>
      <c r="E28" s="545" t="s">
        <v>4064</v>
      </c>
      <c r="F28" s="224" t="s">
        <v>3328</v>
      </c>
      <c r="G28" s="235" t="s">
        <v>3349</v>
      </c>
      <c r="H28" s="541">
        <v>21018</v>
      </c>
      <c r="I28" s="194">
        <v>0</v>
      </c>
      <c r="J28" s="194">
        <v>25000</v>
      </c>
      <c r="K28" s="185">
        <v>0.25</v>
      </c>
      <c r="L28" s="183" t="s">
        <v>285</v>
      </c>
      <c r="M28" s="183" t="s">
        <v>158</v>
      </c>
      <c r="N28" s="183" t="s">
        <v>158</v>
      </c>
      <c r="O28" s="541"/>
    </row>
    <row r="29" spans="1:15" s="182" customFormat="1" ht="21.75" customHeight="1" x14ac:dyDescent="0.15">
      <c r="A29" s="151" t="s">
        <v>4496</v>
      </c>
      <c r="B29" s="11" t="s">
        <v>1964</v>
      </c>
      <c r="C29" s="184" t="s">
        <v>3368</v>
      </c>
      <c r="D29" s="184" t="s">
        <v>3439</v>
      </c>
      <c r="E29" s="184" t="s">
        <v>3730</v>
      </c>
      <c r="F29" s="419" t="s">
        <v>3328</v>
      </c>
      <c r="G29" s="235" t="s">
        <v>3341</v>
      </c>
      <c r="H29" s="541">
        <v>20038</v>
      </c>
      <c r="I29" s="194">
        <v>0</v>
      </c>
      <c r="J29" s="194">
        <v>48000</v>
      </c>
      <c r="K29" s="185">
        <v>0.3</v>
      </c>
      <c r="L29" s="183" t="s">
        <v>285</v>
      </c>
      <c r="M29" s="183" t="s">
        <v>158</v>
      </c>
      <c r="N29" s="183" t="s">
        <v>158</v>
      </c>
      <c r="O29" s="541"/>
    </row>
    <row r="30" spans="1:15" s="182" customFormat="1" ht="21.75" customHeight="1" x14ac:dyDescent="0.15">
      <c r="A30" s="151" t="s">
        <v>4501</v>
      </c>
      <c r="B30" s="11" t="s">
        <v>4043</v>
      </c>
      <c r="C30" s="224" t="s">
        <v>3363</v>
      </c>
      <c r="D30" s="224" t="s">
        <v>3354</v>
      </c>
      <c r="E30" s="224" t="s">
        <v>4057</v>
      </c>
      <c r="F30" s="224" t="s">
        <v>3328</v>
      </c>
      <c r="G30" s="235" t="s">
        <v>3518</v>
      </c>
      <c r="H30" s="541">
        <v>19184</v>
      </c>
      <c r="I30" s="194">
        <v>0</v>
      </c>
      <c r="J30" s="194">
        <v>12800</v>
      </c>
      <c r="K30" s="185">
        <v>0.1</v>
      </c>
      <c r="L30" s="183" t="s">
        <v>1143</v>
      </c>
      <c r="M30" s="183" t="s">
        <v>162</v>
      </c>
      <c r="N30" s="183" t="s">
        <v>2660</v>
      </c>
      <c r="O30" s="541"/>
    </row>
    <row r="31" spans="1:15" s="182" customFormat="1" ht="21.75" customHeight="1" x14ac:dyDescent="0.15">
      <c r="A31" s="151" t="s">
        <v>4502</v>
      </c>
      <c r="B31" s="11" t="s">
        <v>3002</v>
      </c>
      <c r="C31" s="224" t="s">
        <v>3337</v>
      </c>
      <c r="D31" s="224" t="s">
        <v>3338</v>
      </c>
      <c r="E31" s="224" t="s">
        <v>3339</v>
      </c>
      <c r="F31" s="224" t="s">
        <v>3340</v>
      </c>
      <c r="G31" s="239" t="s">
        <v>3349</v>
      </c>
      <c r="H31" s="541">
        <v>20045</v>
      </c>
      <c r="I31" s="194">
        <v>0</v>
      </c>
      <c r="J31" s="194">
        <v>40000</v>
      </c>
      <c r="K31" s="185">
        <v>0.5</v>
      </c>
      <c r="L31" s="183" t="s">
        <v>285</v>
      </c>
      <c r="M31" s="183" t="s">
        <v>190</v>
      </c>
      <c r="N31" s="183" t="s">
        <v>190</v>
      </c>
      <c r="O31" s="541"/>
    </row>
    <row r="32" spans="1:15" s="182" customFormat="1" ht="21.75" customHeight="1" x14ac:dyDescent="0.15">
      <c r="A32" s="151" t="s">
        <v>4502</v>
      </c>
      <c r="B32" s="11" t="s">
        <v>1141</v>
      </c>
      <c r="C32" s="224" t="s">
        <v>3351</v>
      </c>
      <c r="D32" s="224" t="s">
        <v>3352</v>
      </c>
      <c r="E32" s="394" t="s">
        <v>3689</v>
      </c>
      <c r="F32" s="224" t="s">
        <v>3328</v>
      </c>
      <c r="G32" s="239" t="s">
        <v>3349</v>
      </c>
      <c r="H32" s="541">
        <v>20101</v>
      </c>
      <c r="I32" s="194">
        <v>0</v>
      </c>
      <c r="J32" s="194">
        <v>49000</v>
      </c>
      <c r="K32" s="185">
        <v>0.7</v>
      </c>
      <c r="L32" s="183" t="s">
        <v>285</v>
      </c>
      <c r="M32" s="183" t="s">
        <v>158</v>
      </c>
      <c r="N32" s="183" t="s">
        <v>158</v>
      </c>
      <c r="O32" s="541"/>
    </row>
    <row r="33" spans="1:15" s="182" customFormat="1" ht="21.75" customHeight="1" x14ac:dyDescent="0.15">
      <c r="A33" s="151" t="s">
        <v>4502</v>
      </c>
      <c r="B33" s="11" t="s">
        <v>227</v>
      </c>
      <c r="C33" s="391" t="s">
        <v>3351</v>
      </c>
      <c r="D33" s="393" t="s">
        <v>3352</v>
      </c>
      <c r="E33" s="394" t="s">
        <v>2866</v>
      </c>
      <c r="F33" s="184" t="s">
        <v>3328</v>
      </c>
      <c r="G33" s="253" t="s">
        <v>3349</v>
      </c>
      <c r="H33" s="413" t="s">
        <v>4504</v>
      </c>
      <c r="I33" s="194">
        <v>0</v>
      </c>
      <c r="J33" s="194">
        <v>49000</v>
      </c>
      <c r="K33" s="185">
        <v>0.7</v>
      </c>
      <c r="L33" s="183" t="s">
        <v>285</v>
      </c>
      <c r="M33" s="183" t="s">
        <v>158</v>
      </c>
      <c r="N33" s="183" t="s">
        <v>158</v>
      </c>
      <c r="O33" s="541"/>
    </row>
    <row r="34" spans="1:15" s="182" customFormat="1" ht="21.75" customHeight="1" x14ac:dyDescent="0.15">
      <c r="A34" s="151" t="s">
        <v>4502</v>
      </c>
      <c r="B34" s="11" t="s">
        <v>227</v>
      </c>
      <c r="C34" s="391" t="s">
        <v>3351</v>
      </c>
      <c r="D34" s="393" t="s">
        <v>3352</v>
      </c>
      <c r="E34" s="394" t="s">
        <v>2867</v>
      </c>
      <c r="F34" s="184" t="s">
        <v>3332</v>
      </c>
      <c r="G34" s="253" t="s">
        <v>3381</v>
      </c>
      <c r="H34" s="413" t="s">
        <v>4505</v>
      </c>
      <c r="I34" s="194">
        <v>0</v>
      </c>
      <c r="J34" s="194">
        <v>49000</v>
      </c>
      <c r="K34" s="185">
        <v>0.7</v>
      </c>
      <c r="L34" s="183" t="s">
        <v>285</v>
      </c>
      <c r="M34" s="183" t="s">
        <v>158</v>
      </c>
      <c r="N34" s="183" t="s">
        <v>158</v>
      </c>
      <c r="O34" s="546"/>
    </row>
    <row r="35" spans="1:15" s="182" customFormat="1" ht="21.75" customHeight="1" x14ac:dyDescent="0.15">
      <c r="A35" s="151" t="s">
        <v>4502</v>
      </c>
      <c r="B35" s="11" t="s">
        <v>227</v>
      </c>
      <c r="C35" s="391" t="s">
        <v>3351</v>
      </c>
      <c r="D35" s="393" t="s">
        <v>3352</v>
      </c>
      <c r="E35" s="394" t="s">
        <v>2870</v>
      </c>
      <c r="F35" s="184" t="s">
        <v>3332</v>
      </c>
      <c r="G35" s="253" t="s">
        <v>3381</v>
      </c>
      <c r="H35" s="413" t="s">
        <v>4506</v>
      </c>
      <c r="I35" s="194">
        <v>0</v>
      </c>
      <c r="J35" s="194">
        <v>49000</v>
      </c>
      <c r="K35" s="185">
        <v>0.7</v>
      </c>
      <c r="L35" s="183" t="s">
        <v>285</v>
      </c>
      <c r="M35" s="183" t="s">
        <v>158</v>
      </c>
      <c r="N35" s="183" t="s">
        <v>158</v>
      </c>
      <c r="O35" s="546"/>
    </row>
    <row r="36" spans="1:15" s="182" customFormat="1" ht="21.75" customHeight="1" x14ac:dyDescent="0.15">
      <c r="A36" s="151" t="s">
        <v>4502</v>
      </c>
      <c r="B36" s="11" t="s">
        <v>3687</v>
      </c>
      <c r="C36" s="224" t="s">
        <v>3351</v>
      </c>
      <c r="D36" s="224" t="s">
        <v>3352</v>
      </c>
      <c r="E36" s="394" t="s">
        <v>3688</v>
      </c>
      <c r="F36" s="224" t="s">
        <v>3328</v>
      </c>
      <c r="G36" s="239" t="s">
        <v>3349</v>
      </c>
      <c r="H36" s="541">
        <v>20100</v>
      </c>
      <c r="I36" s="194">
        <v>0</v>
      </c>
      <c r="J36" s="194">
        <v>49000</v>
      </c>
      <c r="K36" s="185">
        <v>0.7</v>
      </c>
      <c r="L36" s="183" t="s">
        <v>285</v>
      </c>
      <c r="M36" s="183" t="s">
        <v>158</v>
      </c>
      <c r="N36" s="183" t="s">
        <v>158</v>
      </c>
      <c r="O36" s="541"/>
    </row>
    <row r="37" spans="1:15" s="182" customFormat="1" ht="21.75" customHeight="1" x14ac:dyDescent="0.15">
      <c r="A37" s="151" t="s">
        <v>4507</v>
      </c>
      <c r="B37" s="11" t="s">
        <v>3164</v>
      </c>
      <c r="C37" s="224" t="s">
        <v>3351</v>
      </c>
      <c r="D37" s="224" t="s">
        <v>3352</v>
      </c>
      <c r="E37" s="394" t="s">
        <v>4068</v>
      </c>
      <c r="F37" s="224" t="s">
        <v>3340</v>
      </c>
      <c r="G37" s="239" t="s">
        <v>3349</v>
      </c>
      <c r="H37" s="541">
        <v>20102</v>
      </c>
      <c r="I37" s="194">
        <v>0</v>
      </c>
      <c r="J37" s="194">
        <v>49000</v>
      </c>
      <c r="K37" s="185">
        <v>0.7</v>
      </c>
      <c r="L37" s="183" t="s">
        <v>285</v>
      </c>
      <c r="M37" s="183" t="s">
        <v>158</v>
      </c>
      <c r="N37" s="183" t="s">
        <v>158</v>
      </c>
      <c r="O37" s="541"/>
    </row>
    <row r="38" spans="1:15" s="182" customFormat="1" ht="21.75" customHeight="1" x14ac:dyDescent="0.15">
      <c r="A38" s="151" t="s">
        <v>4508</v>
      </c>
      <c r="B38" s="11" t="s">
        <v>3267</v>
      </c>
      <c r="C38" s="399" t="s">
        <v>3364</v>
      </c>
      <c r="D38" s="399" t="s">
        <v>3326</v>
      </c>
      <c r="E38" s="399" t="s">
        <v>3269</v>
      </c>
      <c r="F38" s="419" t="s">
        <v>3328</v>
      </c>
      <c r="G38" s="235" t="s">
        <v>3349</v>
      </c>
      <c r="H38" s="541">
        <v>20129</v>
      </c>
      <c r="I38" s="194">
        <v>0</v>
      </c>
      <c r="J38" s="194">
        <v>40000</v>
      </c>
      <c r="K38" s="185">
        <v>0.5</v>
      </c>
      <c r="L38" s="183" t="s">
        <v>285</v>
      </c>
      <c r="M38" s="154" t="s">
        <v>190</v>
      </c>
      <c r="N38" s="154" t="s">
        <v>190</v>
      </c>
      <c r="O38" s="541"/>
    </row>
    <row r="39" spans="1:15" s="182" customFormat="1" ht="21.75" customHeight="1" x14ac:dyDescent="0.15">
      <c r="A39" s="151" t="s">
        <v>4508</v>
      </c>
      <c r="B39" s="11" t="s">
        <v>3267</v>
      </c>
      <c r="C39" s="399" t="s">
        <v>3364</v>
      </c>
      <c r="D39" s="399" t="s">
        <v>3326</v>
      </c>
      <c r="E39" s="399" t="s">
        <v>3268</v>
      </c>
      <c r="F39" s="419" t="s">
        <v>3328</v>
      </c>
      <c r="G39" s="235" t="s">
        <v>3349</v>
      </c>
      <c r="H39" s="541">
        <v>20130</v>
      </c>
      <c r="I39" s="194">
        <v>0</v>
      </c>
      <c r="J39" s="194">
        <v>40000</v>
      </c>
      <c r="K39" s="185">
        <v>0.5</v>
      </c>
      <c r="L39" s="183" t="s">
        <v>285</v>
      </c>
      <c r="M39" s="154" t="s">
        <v>190</v>
      </c>
      <c r="N39" s="154" t="s">
        <v>190</v>
      </c>
      <c r="O39" s="541"/>
    </row>
    <row r="40" spans="1:15" s="182" customFormat="1" ht="21.75" customHeight="1" x14ac:dyDescent="0.15">
      <c r="A40" s="151" t="s">
        <v>4511</v>
      </c>
      <c r="B40" s="11" t="s">
        <v>4079</v>
      </c>
      <c r="C40" s="547" t="s">
        <v>3346</v>
      </c>
      <c r="D40" s="547" t="s">
        <v>3457</v>
      </c>
      <c r="E40" s="547" t="s">
        <v>4080</v>
      </c>
      <c r="F40" s="207" t="s">
        <v>3340</v>
      </c>
      <c r="G40" s="235" t="s">
        <v>3381</v>
      </c>
      <c r="H40" s="541">
        <v>21024</v>
      </c>
      <c r="I40" s="194">
        <v>0</v>
      </c>
      <c r="J40" s="194">
        <v>80000</v>
      </c>
      <c r="K40" s="185">
        <v>1</v>
      </c>
      <c r="L40" s="183" t="s">
        <v>285</v>
      </c>
      <c r="M40" s="154" t="s">
        <v>1880</v>
      </c>
      <c r="N40" s="152" t="s">
        <v>1880</v>
      </c>
      <c r="O40" s="226"/>
    </row>
    <row r="41" spans="1:15" s="182" customFormat="1" ht="21.75" customHeight="1" x14ac:dyDescent="0.15">
      <c r="A41" s="151" t="s">
        <v>4512</v>
      </c>
      <c r="B41" s="11" t="s">
        <v>3012</v>
      </c>
      <c r="C41" s="399" t="s">
        <v>3351</v>
      </c>
      <c r="D41" s="399" t="s">
        <v>3352</v>
      </c>
      <c r="E41" s="399" t="s">
        <v>4513</v>
      </c>
      <c r="F41" s="184" t="s">
        <v>3328</v>
      </c>
      <c r="G41" s="235" t="s">
        <v>3378</v>
      </c>
      <c r="H41" s="548">
        <v>20093</v>
      </c>
      <c r="I41" s="194">
        <v>339500</v>
      </c>
      <c r="J41" s="194">
        <v>0</v>
      </c>
      <c r="K41" s="185">
        <v>0.7</v>
      </c>
      <c r="L41" s="183" t="s">
        <v>1172</v>
      </c>
      <c r="M41" s="183" t="s">
        <v>158</v>
      </c>
      <c r="N41" s="183" t="s">
        <v>158</v>
      </c>
      <c r="O41" s="11" t="s">
        <v>4514</v>
      </c>
    </row>
    <row r="42" spans="1:15" s="182" customFormat="1" ht="21.75" customHeight="1" x14ac:dyDescent="0.15">
      <c r="A42" s="151" t="s">
        <v>4512</v>
      </c>
      <c r="B42" s="11" t="s">
        <v>3012</v>
      </c>
      <c r="C42" s="184" t="s">
        <v>3351</v>
      </c>
      <c r="D42" s="184" t="s">
        <v>3352</v>
      </c>
      <c r="E42" s="184" t="s">
        <v>4475</v>
      </c>
      <c r="F42" s="184" t="s">
        <v>3328</v>
      </c>
      <c r="G42" s="235" t="s">
        <v>4515</v>
      </c>
      <c r="H42" s="541">
        <v>20069</v>
      </c>
      <c r="I42" s="194">
        <v>60500</v>
      </c>
      <c r="J42" s="194">
        <v>0</v>
      </c>
      <c r="K42" s="185" t="s">
        <v>4516</v>
      </c>
      <c r="L42" s="183" t="s">
        <v>1172</v>
      </c>
      <c r="M42" s="183" t="s">
        <v>158</v>
      </c>
      <c r="N42" s="183" t="s">
        <v>158</v>
      </c>
      <c r="O42" s="11" t="s">
        <v>4514</v>
      </c>
    </row>
    <row r="43" spans="1:15" s="182" customFormat="1" ht="21.75" customHeight="1" x14ac:dyDescent="0.15">
      <c r="A43" s="151" t="s">
        <v>4512</v>
      </c>
      <c r="B43" s="11" t="s">
        <v>3012</v>
      </c>
      <c r="C43" s="184" t="s">
        <v>3351</v>
      </c>
      <c r="D43" s="184" t="s">
        <v>3352</v>
      </c>
      <c r="E43" s="184" t="s">
        <v>4475</v>
      </c>
      <c r="F43" s="184" t="s">
        <v>3328</v>
      </c>
      <c r="G43" s="235" t="s">
        <v>4515</v>
      </c>
      <c r="H43" s="548">
        <v>20069</v>
      </c>
      <c r="I43" s="194">
        <v>300000</v>
      </c>
      <c r="J43" s="194">
        <v>0</v>
      </c>
      <c r="K43" s="185" t="s">
        <v>4517</v>
      </c>
      <c r="L43" s="183" t="s">
        <v>1172</v>
      </c>
      <c r="M43" s="183" t="s">
        <v>158</v>
      </c>
      <c r="N43" s="183" t="s">
        <v>158</v>
      </c>
      <c r="O43" s="541" t="s">
        <v>4520</v>
      </c>
    </row>
    <row r="44" spans="1:15" s="182" customFormat="1" ht="21.75" customHeight="1" x14ac:dyDescent="0.15">
      <c r="A44" s="151" t="s">
        <v>4512</v>
      </c>
      <c r="B44" s="11" t="s">
        <v>3012</v>
      </c>
      <c r="C44" s="184" t="s">
        <v>3351</v>
      </c>
      <c r="D44" s="184" t="s">
        <v>3352</v>
      </c>
      <c r="E44" s="184" t="s">
        <v>4475</v>
      </c>
      <c r="F44" s="184" t="s">
        <v>3328</v>
      </c>
      <c r="G44" s="235" t="s">
        <v>4515</v>
      </c>
      <c r="H44" s="548">
        <v>20069</v>
      </c>
      <c r="I44" s="194">
        <v>20000</v>
      </c>
      <c r="J44" s="194">
        <v>0</v>
      </c>
      <c r="K44" s="185" t="s">
        <v>4518</v>
      </c>
      <c r="L44" s="183" t="s">
        <v>1172</v>
      </c>
      <c r="M44" s="183" t="s">
        <v>158</v>
      </c>
      <c r="N44" s="183" t="s">
        <v>158</v>
      </c>
      <c r="O44" s="548" t="s">
        <v>4521</v>
      </c>
    </row>
    <row r="45" spans="1:15" s="182" customFormat="1" ht="21.75" customHeight="1" x14ac:dyDescent="0.15">
      <c r="A45" s="151" t="s">
        <v>4512</v>
      </c>
      <c r="B45" s="11" t="s">
        <v>3012</v>
      </c>
      <c r="C45" s="184" t="s">
        <v>3351</v>
      </c>
      <c r="D45" s="184" t="s">
        <v>3352</v>
      </c>
      <c r="E45" s="184" t="s">
        <v>4475</v>
      </c>
      <c r="F45" s="184" t="s">
        <v>3328</v>
      </c>
      <c r="G45" s="235" t="s">
        <v>4515</v>
      </c>
      <c r="H45" s="548">
        <v>20069</v>
      </c>
      <c r="I45" s="194">
        <v>0</v>
      </c>
      <c r="J45" s="194">
        <v>8890</v>
      </c>
      <c r="K45" s="185" t="s">
        <v>4519</v>
      </c>
      <c r="L45" s="183" t="s">
        <v>1172</v>
      </c>
      <c r="M45" s="183" t="s">
        <v>158</v>
      </c>
      <c r="N45" s="183" t="s">
        <v>158</v>
      </c>
      <c r="O45" s="541"/>
    </row>
    <row r="46" spans="1:15" s="182" customFormat="1" ht="21.75" customHeight="1" x14ac:dyDescent="0.15">
      <c r="A46" s="151" t="s">
        <v>4512</v>
      </c>
      <c r="B46" s="11" t="s">
        <v>3012</v>
      </c>
      <c r="C46" s="399" t="s">
        <v>3351</v>
      </c>
      <c r="D46" s="399" t="s">
        <v>3352</v>
      </c>
      <c r="E46" s="399" t="s">
        <v>4513</v>
      </c>
      <c r="F46" s="184" t="s">
        <v>3328</v>
      </c>
      <c r="G46" s="235" t="s">
        <v>3378</v>
      </c>
      <c r="H46" s="549">
        <v>20093</v>
      </c>
      <c r="I46" s="194">
        <v>0</v>
      </c>
      <c r="J46" s="194">
        <v>339500</v>
      </c>
      <c r="K46" s="185">
        <v>0.7</v>
      </c>
      <c r="L46" s="183" t="s">
        <v>1172</v>
      </c>
      <c r="M46" s="183" t="s">
        <v>158</v>
      </c>
      <c r="N46" s="183" t="s">
        <v>158</v>
      </c>
      <c r="O46" s="11" t="s">
        <v>4522</v>
      </c>
    </row>
    <row r="47" spans="1:15" s="182" customFormat="1" ht="21.75" customHeight="1" x14ac:dyDescent="0.15">
      <c r="A47" s="151" t="s">
        <v>4512</v>
      </c>
      <c r="B47" s="11" t="s">
        <v>3012</v>
      </c>
      <c r="C47" s="184" t="s">
        <v>3351</v>
      </c>
      <c r="D47" s="184" t="s">
        <v>3352</v>
      </c>
      <c r="E47" s="184" t="s">
        <v>4475</v>
      </c>
      <c r="F47" s="184" t="s">
        <v>3328</v>
      </c>
      <c r="G47" s="235" t="s">
        <v>4515</v>
      </c>
      <c r="H47" s="549">
        <v>20069</v>
      </c>
      <c r="I47" s="194">
        <v>0</v>
      </c>
      <c r="J47" s="194">
        <v>60500</v>
      </c>
      <c r="K47" s="185" t="s">
        <v>4516</v>
      </c>
      <c r="L47" s="183" t="s">
        <v>1172</v>
      </c>
      <c r="M47" s="183" t="s">
        <v>158</v>
      </c>
      <c r="N47" s="183" t="s">
        <v>158</v>
      </c>
      <c r="O47" s="11" t="s">
        <v>4522</v>
      </c>
    </row>
    <row r="48" spans="1:15" s="182" customFormat="1" ht="21.75" customHeight="1" x14ac:dyDescent="0.15">
      <c r="A48" s="151" t="s">
        <v>4512</v>
      </c>
      <c r="B48" s="11" t="s">
        <v>3012</v>
      </c>
      <c r="C48" s="184" t="s">
        <v>3351</v>
      </c>
      <c r="D48" s="184" t="s">
        <v>3352</v>
      </c>
      <c r="E48" s="184" t="s">
        <v>4475</v>
      </c>
      <c r="F48" s="184" t="s">
        <v>3328</v>
      </c>
      <c r="G48" s="235" t="s">
        <v>4515</v>
      </c>
      <c r="H48" s="549">
        <v>20069</v>
      </c>
      <c r="I48" s="194">
        <v>0</v>
      </c>
      <c r="J48" s="194">
        <v>20000</v>
      </c>
      <c r="K48" s="185" t="s">
        <v>4518</v>
      </c>
      <c r="L48" s="183" t="s">
        <v>1172</v>
      </c>
      <c r="M48" s="183" t="s">
        <v>158</v>
      </c>
      <c r="N48" s="183" t="s">
        <v>158</v>
      </c>
      <c r="O48" s="11" t="s">
        <v>4522</v>
      </c>
    </row>
    <row r="49" spans="1:15" s="182" customFormat="1" ht="21.75" customHeight="1" x14ac:dyDescent="0.15">
      <c r="A49" s="151" t="s">
        <v>4523</v>
      </c>
      <c r="B49" s="11" t="s">
        <v>497</v>
      </c>
      <c r="C49" s="391" t="s">
        <v>3346</v>
      </c>
      <c r="D49" s="393" t="s">
        <v>4052</v>
      </c>
      <c r="E49" s="394" t="s">
        <v>4053</v>
      </c>
      <c r="F49" s="224" t="s">
        <v>3328</v>
      </c>
      <c r="G49" s="235" t="s">
        <v>3349</v>
      </c>
      <c r="H49" s="541">
        <v>20088</v>
      </c>
      <c r="I49" s="194">
        <v>0</v>
      </c>
      <c r="J49" s="194">
        <v>9750</v>
      </c>
      <c r="K49" s="185">
        <v>0.1</v>
      </c>
      <c r="L49" s="183" t="s">
        <v>285</v>
      </c>
      <c r="M49" s="154" t="s">
        <v>1880</v>
      </c>
      <c r="N49" s="152" t="s">
        <v>1880</v>
      </c>
      <c r="O49" s="541"/>
    </row>
    <row r="50" spans="1:15" s="182" customFormat="1" ht="21.75" customHeight="1" x14ac:dyDescent="0.15">
      <c r="A50" s="151" t="s">
        <v>4524</v>
      </c>
      <c r="B50" s="277" t="s">
        <v>4525</v>
      </c>
      <c r="C50" s="550" t="s">
        <v>3346</v>
      </c>
      <c r="D50" s="550" t="s">
        <v>4156</v>
      </c>
      <c r="E50" s="550" t="s">
        <v>952</v>
      </c>
      <c r="F50" s="184" t="s">
        <v>4356</v>
      </c>
      <c r="G50" s="235" t="s">
        <v>4356</v>
      </c>
      <c r="H50" s="413" t="s">
        <v>4509</v>
      </c>
      <c r="I50" s="194">
        <v>0</v>
      </c>
      <c r="J50" s="194">
        <v>74880</v>
      </c>
      <c r="K50" s="185">
        <v>0.6</v>
      </c>
      <c r="L50" s="183" t="s">
        <v>1147</v>
      </c>
      <c r="M50" s="249" t="s">
        <v>155</v>
      </c>
      <c r="N50" s="249" t="s">
        <v>155</v>
      </c>
      <c r="O50" s="541"/>
    </row>
    <row r="51" spans="1:15" s="182" customFormat="1" ht="21.75" customHeight="1" x14ac:dyDescent="0.15">
      <c r="A51" s="151" t="s">
        <v>4524</v>
      </c>
      <c r="B51" s="277" t="s">
        <v>4525</v>
      </c>
      <c r="C51" s="550" t="s">
        <v>3346</v>
      </c>
      <c r="D51" s="550" t="s">
        <v>4156</v>
      </c>
      <c r="E51" s="550" t="s">
        <v>952</v>
      </c>
      <c r="F51" s="184" t="s">
        <v>4356</v>
      </c>
      <c r="G51" s="235" t="s">
        <v>4356</v>
      </c>
      <c r="H51" s="413" t="s">
        <v>4510</v>
      </c>
      <c r="I51" s="194">
        <v>0</v>
      </c>
      <c r="J51" s="194">
        <v>105000</v>
      </c>
      <c r="K51" s="185">
        <v>0.6</v>
      </c>
      <c r="L51" s="183" t="s">
        <v>1147</v>
      </c>
      <c r="M51" s="249" t="s">
        <v>155</v>
      </c>
      <c r="N51" s="249" t="s">
        <v>155</v>
      </c>
      <c r="O51" s="541"/>
    </row>
    <row r="52" spans="1:15" s="182" customFormat="1" ht="21.75" customHeight="1" x14ac:dyDescent="0.15">
      <c r="A52" s="151" t="s">
        <v>4526</v>
      </c>
      <c r="B52" s="277" t="s">
        <v>4527</v>
      </c>
      <c r="C52" s="399" t="s">
        <v>3346</v>
      </c>
      <c r="D52" s="399" t="s">
        <v>3354</v>
      </c>
      <c r="E52" s="399" t="s">
        <v>4528</v>
      </c>
      <c r="F52" s="184" t="s">
        <v>4416</v>
      </c>
      <c r="G52" s="235" t="s">
        <v>4529</v>
      </c>
      <c r="H52" s="413">
        <v>20122</v>
      </c>
      <c r="I52" s="194">
        <v>0</v>
      </c>
      <c r="J52" s="194">
        <v>256500</v>
      </c>
      <c r="K52" s="185">
        <v>0.9</v>
      </c>
      <c r="L52" s="183" t="s">
        <v>1147</v>
      </c>
      <c r="M52" s="249" t="s">
        <v>1784</v>
      </c>
      <c r="N52" s="249" t="s">
        <v>1784</v>
      </c>
      <c r="O52" s="541"/>
    </row>
    <row r="53" spans="1:15" s="182" customFormat="1" ht="21.75" customHeight="1" x14ac:dyDescent="0.15">
      <c r="A53" s="151" t="s">
        <v>4530</v>
      </c>
      <c r="B53" s="20" t="s">
        <v>4043</v>
      </c>
      <c r="C53" s="399" t="s">
        <v>3363</v>
      </c>
      <c r="D53" s="399" t="s">
        <v>3354</v>
      </c>
      <c r="E53" s="399" t="s">
        <v>4057</v>
      </c>
      <c r="F53" s="184" t="s">
        <v>3328</v>
      </c>
      <c r="G53" s="235" t="s">
        <v>4375</v>
      </c>
      <c r="H53" s="541">
        <v>20026</v>
      </c>
      <c r="I53" s="194">
        <v>100000</v>
      </c>
      <c r="J53" s="194">
        <v>0</v>
      </c>
      <c r="K53" s="185" t="s">
        <v>4534</v>
      </c>
      <c r="L53" s="183" t="s">
        <v>1948</v>
      </c>
      <c r="M53" s="224" t="s">
        <v>2660</v>
      </c>
      <c r="N53" s="183" t="s">
        <v>2660</v>
      </c>
      <c r="O53" s="541" t="s">
        <v>4535</v>
      </c>
    </row>
    <row r="54" spans="1:15" s="182" customFormat="1" ht="21.75" customHeight="1" x14ac:dyDescent="0.15">
      <c r="A54" s="151" t="s">
        <v>4531</v>
      </c>
      <c r="B54" s="20" t="s">
        <v>4394</v>
      </c>
      <c r="C54" s="184" t="s">
        <v>4396</v>
      </c>
      <c r="D54" s="184" t="s">
        <v>3326</v>
      </c>
      <c r="E54" s="184" t="s">
        <v>4397</v>
      </c>
      <c r="F54" s="184" t="s">
        <v>3328</v>
      </c>
      <c r="G54" s="235" t="s">
        <v>3336</v>
      </c>
      <c r="H54" s="181" t="s">
        <v>4536</v>
      </c>
      <c r="I54" s="194">
        <v>0</v>
      </c>
      <c r="J54" s="194">
        <v>143169</v>
      </c>
      <c r="K54" s="185">
        <v>0.65</v>
      </c>
      <c r="L54" s="183" t="s">
        <v>1147</v>
      </c>
      <c r="M54" s="184" t="s">
        <v>4398</v>
      </c>
      <c r="N54" s="184" t="s">
        <v>4399</v>
      </c>
      <c r="O54" s="541"/>
    </row>
    <row r="55" spans="1:15" s="182" customFormat="1" ht="21.75" customHeight="1" x14ac:dyDescent="0.15">
      <c r="A55" s="151" t="s">
        <v>4531</v>
      </c>
      <c r="B55" s="20" t="s">
        <v>4394</v>
      </c>
      <c r="C55" s="184" t="s">
        <v>4396</v>
      </c>
      <c r="D55" s="184" t="s">
        <v>3326</v>
      </c>
      <c r="E55" s="184" t="s">
        <v>4400</v>
      </c>
      <c r="F55" s="184" t="s">
        <v>3328</v>
      </c>
      <c r="G55" s="235" t="s">
        <v>3336</v>
      </c>
      <c r="H55" s="181" t="s">
        <v>4537</v>
      </c>
      <c r="I55" s="194">
        <v>0</v>
      </c>
      <c r="J55" s="194">
        <v>143169</v>
      </c>
      <c r="K55" s="185">
        <v>0.65</v>
      </c>
      <c r="L55" s="183" t="s">
        <v>1147</v>
      </c>
      <c r="M55" s="184" t="s">
        <v>4398</v>
      </c>
      <c r="N55" s="184" t="s">
        <v>4399</v>
      </c>
      <c r="O55" s="551"/>
    </row>
    <row r="56" spans="1:15" s="182" customFormat="1" ht="21.75" customHeight="1" x14ac:dyDescent="0.15">
      <c r="A56" s="151" t="s">
        <v>4531</v>
      </c>
      <c r="B56" s="20" t="s">
        <v>4394</v>
      </c>
      <c r="C56" s="184" t="s">
        <v>4396</v>
      </c>
      <c r="D56" s="184" t="s">
        <v>3326</v>
      </c>
      <c r="E56" s="184" t="s">
        <v>4401</v>
      </c>
      <c r="F56" s="184" t="s">
        <v>3328</v>
      </c>
      <c r="G56" s="235" t="s">
        <v>3336</v>
      </c>
      <c r="H56" s="181" t="s">
        <v>4538</v>
      </c>
      <c r="I56" s="194">
        <v>0</v>
      </c>
      <c r="J56" s="194">
        <v>143169</v>
      </c>
      <c r="K56" s="185">
        <v>0.65</v>
      </c>
      <c r="L56" s="183" t="s">
        <v>1147</v>
      </c>
      <c r="M56" s="184" t="s">
        <v>4398</v>
      </c>
      <c r="N56" s="184" t="s">
        <v>4399</v>
      </c>
      <c r="O56" s="551"/>
    </row>
    <row r="57" spans="1:15" s="182" customFormat="1" ht="21.75" customHeight="1" x14ac:dyDescent="0.15">
      <c r="A57" s="151" t="s">
        <v>4532</v>
      </c>
      <c r="B57" s="20" t="s">
        <v>4533</v>
      </c>
      <c r="C57" s="399" t="s">
        <v>3363</v>
      </c>
      <c r="D57" s="399" t="s">
        <v>3354</v>
      </c>
      <c r="E57" s="399" t="s">
        <v>4454</v>
      </c>
      <c r="F57" s="184" t="s">
        <v>3328</v>
      </c>
      <c r="G57" s="235" t="s">
        <v>4375</v>
      </c>
      <c r="H57" s="541">
        <v>20025</v>
      </c>
      <c r="I57" s="194">
        <v>0</v>
      </c>
      <c r="J57" s="194">
        <v>17000</v>
      </c>
      <c r="K57" s="185" t="s">
        <v>4539</v>
      </c>
      <c r="L57" s="183" t="s">
        <v>1948</v>
      </c>
      <c r="M57" s="224" t="s">
        <v>2660</v>
      </c>
      <c r="N57" s="183" t="s">
        <v>2660</v>
      </c>
      <c r="O57" s="541"/>
    </row>
    <row r="58" spans="1:15" s="182" customFormat="1" ht="21.75" customHeight="1" x14ac:dyDescent="0.15">
      <c r="A58" s="151" t="s">
        <v>4532</v>
      </c>
      <c r="B58" s="20" t="s">
        <v>4533</v>
      </c>
      <c r="C58" s="399" t="s">
        <v>3363</v>
      </c>
      <c r="D58" s="399" t="s">
        <v>3354</v>
      </c>
      <c r="E58" s="399" t="s">
        <v>4454</v>
      </c>
      <c r="F58" s="184" t="s">
        <v>3328</v>
      </c>
      <c r="G58" s="235" t="s">
        <v>4375</v>
      </c>
      <c r="H58" s="541">
        <v>20025</v>
      </c>
      <c r="I58" s="194">
        <v>0</v>
      </c>
      <c r="J58" s="194">
        <v>17000</v>
      </c>
      <c r="K58" s="185" t="s">
        <v>4539</v>
      </c>
      <c r="L58" s="183" t="s">
        <v>1948</v>
      </c>
      <c r="M58" s="224" t="s">
        <v>2660</v>
      </c>
      <c r="N58" s="183" t="s">
        <v>2660</v>
      </c>
      <c r="O58" s="541"/>
    </row>
    <row r="59" spans="1:15" s="182" customFormat="1" ht="21.75" customHeight="1" x14ac:dyDescent="0.15">
      <c r="A59" s="151" t="s">
        <v>4532</v>
      </c>
      <c r="B59" s="20" t="s">
        <v>4043</v>
      </c>
      <c r="C59" s="399" t="s">
        <v>3363</v>
      </c>
      <c r="D59" s="399" t="s">
        <v>3354</v>
      </c>
      <c r="E59" s="399" t="s">
        <v>4057</v>
      </c>
      <c r="F59" s="184" t="s">
        <v>3328</v>
      </c>
      <c r="G59" s="235" t="s">
        <v>4375</v>
      </c>
      <c r="H59" s="541">
        <v>20026</v>
      </c>
      <c r="I59" s="194">
        <v>0</v>
      </c>
      <c r="J59" s="194">
        <v>9000</v>
      </c>
      <c r="K59" s="185" t="s">
        <v>4540</v>
      </c>
      <c r="L59" s="183" t="s">
        <v>1948</v>
      </c>
      <c r="M59" s="224" t="s">
        <v>2660</v>
      </c>
      <c r="N59" s="183" t="s">
        <v>2660</v>
      </c>
      <c r="O59" s="541"/>
    </row>
    <row r="60" spans="1:15" s="182" customFormat="1" ht="21.75" customHeight="1" x14ac:dyDescent="0.15">
      <c r="A60" s="151" t="s">
        <v>4541</v>
      </c>
      <c r="B60" s="226" t="s">
        <v>4542</v>
      </c>
      <c r="C60" s="552" t="s">
        <v>3368</v>
      </c>
      <c r="D60" s="552" t="s">
        <v>3457</v>
      </c>
      <c r="E60" s="552" t="s">
        <v>4543</v>
      </c>
      <c r="F60" s="184" t="s">
        <v>3328</v>
      </c>
      <c r="G60" s="235" t="s">
        <v>4544</v>
      </c>
      <c r="H60" s="541">
        <v>21030</v>
      </c>
      <c r="I60" s="194">
        <v>0</v>
      </c>
      <c r="J60" s="194">
        <v>48900</v>
      </c>
      <c r="K60" s="185">
        <v>0.3</v>
      </c>
      <c r="L60" s="183" t="s">
        <v>1162</v>
      </c>
      <c r="M60" s="183" t="s">
        <v>170</v>
      </c>
      <c r="N60" s="183" t="s">
        <v>170</v>
      </c>
      <c r="O60" s="541"/>
    </row>
    <row r="61" spans="1:15" s="182" customFormat="1" ht="21.75" customHeight="1" x14ac:dyDescent="0.15">
      <c r="A61" s="151" t="s">
        <v>4545</v>
      </c>
      <c r="B61" s="20" t="s">
        <v>4042</v>
      </c>
      <c r="C61" s="399" t="s">
        <v>3363</v>
      </c>
      <c r="D61" s="399" t="s">
        <v>3354</v>
      </c>
      <c r="E61" s="399" t="s">
        <v>4049</v>
      </c>
      <c r="F61" s="184" t="s">
        <v>3328</v>
      </c>
      <c r="G61" s="235" t="s">
        <v>4375</v>
      </c>
      <c r="H61" s="541">
        <v>20027</v>
      </c>
      <c r="I61" s="194">
        <v>0</v>
      </c>
      <c r="J61" s="194">
        <v>22000</v>
      </c>
      <c r="K61" s="185" t="s">
        <v>4546</v>
      </c>
      <c r="L61" s="183" t="s">
        <v>1948</v>
      </c>
      <c r="M61" s="183" t="s">
        <v>2660</v>
      </c>
      <c r="N61" s="183" t="s">
        <v>2660</v>
      </c>
      <c r="O61" s="541"/>
    </row>
    <row r="62" spans="1:15" s="182" customFormat="1" ht="21.75" customHeight="1" x14ac:dyDescent="0.15">
      <c r="A62" s="151" t="s">
        <v>4547</v>
      </c>
      <c r="B62" s="20" t="s">
        <v>284</v>
      </c>
      <c r="C62" s="392" t="s">
        <v>3351</v>
      </c>
      <c r="D62" s="393" t="s">
        <v>3347</v>
      </c>
      <c r="E62" s="394" t="s">
        <v>4550</v>
      </c>
      <c r="F62" s="184" t="s">
        <v>3332</v>
      </c>
      <c r="G62" s="239" t="s">
        <v>3349</v>
      </c>
      <c r="H62" s="541" t="s">
        <v>4549</v>
      </c>
      <c r="I62" s="194">
        <v>0</v>
      </c>
      <c r="J62" s="194">
        <v>120000</v>
      </c>
      <c r="K62" s="185">
        <v>1</v>
      </c>
      <c r="L62" s="183" t="s">
        <v>285</v>
      </c>
      <c r="M62" s="183" t="s">
        <v>158</v>
      </c>
      <c r="N62" s="183" t="s">
        <v>158</v>
      </c>
      <c r="O62" s="541"/>
    </row>
    <row r="63" spans="1:15" s="182" customFormat="1" ht="21.75" customHeight="1" x14ac:dyDescent="0.15">
      <c r="A63" s="151" t="s">
        <v>4547</v>
      </c>
      <c r="B63" s="20" t="s">
        <v>3711</v>
      </c>
      <c r="C63" s="553" t="s">
        <v>3346</v>
      </c>
      <c r="D63" s="553" t="s">
        <v>3712</v>
      </c>
      <c r="E63" s="553" t="s">
        <v>3713</v>
      </c>
      <c r="F63" s="184" t="s">
        <v>3328</v>
      </c>
      <c r="G63" s="235" t="s">
        <v>3349</v>
      </c>
      <c r="H63" s="541">
        <v>20183</v>
      </c>
      <c r="I63" s="194">
        <v>0</v>
      </c>
      <c r="J63" s="194">
        <v>45000</v>
      </c>
      <c r="K63" s="185">
        <v>0.5</v>
      </c>
      <c r="L63" s="183" t="s">
        <v>285</v>
      </c>
      <c r="M63" s="183" t="s">
        <v>1880</v>
      </c>
      <c r="N63" s="183" t="s">
        <v>1880</v>
      </c>
      <c r="O63" s="541"/>
    </row>
    <row r="64" spans="1:15" s="182" customFormat="1" ht="21.75" customHeight="1" x14ac:dyDescent="0.15">
      <c r="A64" s="151" t="s">
        <v>4548</v>
      </c>
      <c r="B64" s="20" t="s">
        <v>4495</v>
      </c>
      <c r="C64" s="399" t="s">
        <v>3363</v>
      </c>
      <c r="D64" s="399" t="s">
        <v>3354</v>
      </c>
      <c r="E64" s="399" t="s">
        <v>4267</v>
      </c>
      <c r="F64" s="184" t="s">
        <v>3328</v>
      </c>
      <c r="G64" s="235" t="s">
        <v>4375</v>
      </c>
      <c r="H64" s="541">
        <v>20028</v>
      </c>
      <c r="I64" s="194">
        <v>0</v>
      </c>
      <c r="J64" s="194">
        <v>35000</v>
      </c>
      <c r="K64" s="185" t="s">
        <v>4551</v>
      </c>
      <c r="L64" s="183" t="s">
        <v>1948</v>
      </c>
      <c r="M64" s="183" t="s">
        <v>2660</v>
      </c>
      <c r="N64" s="183" t="s">
        <v>2660</v>
      </c>
      <c r="O64" s="541"/>
    </row>
    <row r="65" spans="1:15" s="182" customFormat="1" ht="21.75" customHeight="1" x14ac:dyDescent="0.15">
      <c r="A65" s="151" t="s">
        <v>4548</v>
      </c>
      <c r="B65" s="20" t="s">
        <v>2547</v>
      </c>
      <c r="C65" s="184" t="s">
        <v>3325</v>
      </c>
      <c r="D65" s="399" t="s">
        <v>3360</v>
      </c>
      <c r="E65" s="184" t="s">
        <v>4552</v>
      </c>
      <c r="F65" s="394" t="s">
        <v>3328</v>
      </c>
      <c r="G65" s="423" t="s">
        <v>4553</v>
      </c>
      <c r="H65" s="541">
        <v>17095</v>
      </c>
      <c r="I65" s="194">
        <v>0</v>
      </c>
      <c r="J65" s="194">
        <v>49833</v>
      </c>
      <c r="K65" s="185">
        <v>0.1</v>
      </c>
      <c r="L65" s="183" t="s">
        <v>1143</v>
      </c>
      <c r="M65" s="183" t="s">
        <v>155</v>
      </c>
      <c r="N65" s="187" t="s">
        <v>2660</v>
      </c>
      <c r="O65" s="541"/>
    </row>
    <row r="66" spans="1:15" s="182" customFormat="1" ht="21.75" customHeight="1" x14ac:dyDescent="0.15">
      <c r="A66" s="151" t="s">
        <v>4554</v>
      </c>
      <c r="B66" s="20" t="s">
        <v>4105</v>
      </c>
      <c r="C66" s="184" t="s">
        <v>3351</v>
      </c>
      <c r="D66" s="184" t="s">
        <v>3326</v>
      </c>
      <c r="E66" s="184" t="s">
        <v>4106</v>
      </c>
      <c r="F66" s="419" t="s">
        <v>3328</v>
      </c>
      <c r="G66" s="235" t="s">
        <v>3349</v>
      </c>
      <c r="H66" s="541">
        <v>19052</v>
      </c>
      <c r="I66" s="194">
        <v>0</v>
      </c>
      <c r="J66" s="194">
        <v>50000</v>
      </c>
      <c r="K66" s="185">
        <v>0.5</v>
      </c>
      <c r="L66" s="183" t="s">
        <v>285</v>
      </c>
      <c r="M66" s="183" t="s">
        <v>2712</v>
      </c>
      <c r="N66" s="183" t="s">
        <v>2712</v>
      </c>
      <c r="O66" s="541"/>
    </row>
    <row r="67" spans="1:15" s="182" customFormat="1" ht="21.75" customHeight="1" x14ac:dyDescent="0.15">
      <c r="A67" s="151" t="s">
        <v>4554</v>
      </c>
      <c r="B67" s="20" t="s">
        <v>4555</v>
      </c>
      <c r="C67" s="566"/>
      <c r="D67" s="567"/>
      <c r="E67" s="568"/>
      <c r="F67" s="554"/>
      <c r="G67" s="555"/>
      <c r="H67" s="541">
        <v>21023</v>
      </c>
      <c r="I67" s="194">
        <v>0</v>
      </c>
      <c r="J67" s="194">
        <v>84000</v>
      </c>
      <c r="K67" s="185">
        <v>1</v>
      </c>
      <c r="L67" s="183" t="s">
        <v>1948</v>
      </c>
      <c r="M67" s="183" t="s">
        <v>155</v>
      </c>
      <c r="N67" s="183" t="s">
        <v>155</v>
      </c>
      <c r="O67" s="541"/>
    </row>
    <row r="68" spans="1:15" s="182" customFormat="1" ht="21.75" customHeight="1" x14ac:dyDescent="0.15">
      <c r="A68" s="151" t="s">
        <v>4556</v>
      </c>
      <c r="B68" s="20" t="s">
        <v>3267</v>
      </c>
      <c r="C68" s="184" t="s">
        <v>3364</v>
      </c>
      <c r="D68" s="184" t="s">
        <v>3326</v>
      </c>
      <c r="E68" s="184" t="s">
        <v>3269</v>
      </c>
      <c r="F68" s="184" t="s">
        <v>3328</v>
      </c>
      <c r="G68" s="235" t="s">
        <v>4462</v>
      </c>
      <c r="H68" s="556">
        <v>19186</v>
      </c>
      <c r="I68" s="194">
        <v>0</v>
      </c>
      <c r="J68" s="194">
        <v>90000</v>
      </c>
      <c r="K68" s="185">
        <v>1</v>
      </c>
      <c r="L68" s="183" t="s">
        <v>1948</v>
      </c>
      <c r="M68" s="183" t="s">
        <v>190</v>
      </c>
      <c r="N68" s="183" t="s">
        <v>190</v>
      </c>
      <c r="O68" s="541"/>
    </row>
    <row r="69" spans="1:15" s="182" customFormat="1" ht="21.75" customHeight="1" x14ac:dyDescent="0.15">
      <c r="A69" s="151" t="s">
        <v>4556</v>
      </c>
      <c r="B69" s="20" t="s">
        <v>3267</v>
      </c>
      <c r="C69" s="184" t="s">
        <v>3364</v>
      </c>
      <c r="D69" s="184" t="s">
        <v>3326</v>
      </c>
      <c r="E69" s="184" t="s">
        <v>3268</v>
      </c>
      <c r="F69" s="184" t="s">
        <v>3328</v>
      </c>
      <c r="G69" s="235" t="s">
        <v>4462</v>
      </c>
      <c r="H69" s="541">
        <v>19187</v>
      </c>
      <c r="I69" s="194">
        <v>0</v>
      </c>
      <c r="J69" s="194">
        <v>90000</v>
      </c>
      <c r="K69" s="185">
        <v>1</v>
      </c>
      <c r="L69" s="183" t="s">
        <v>1948</v>
      </c>
      <c r="M69" s="183" t="s">
        <v>190</v>
      </c>
      <c r="N69" s="183" t="s">
        <v>190</v>
      </c>
      <c r="O69" s="541"/>
    </row>
    <row r="70" spans="1:15" s="182" customFormat="1" ht="21.75" customHeight="1" x14ac:dyDescent="0.15">
      <c r="A70" s="151" t="s">
        <v>4556</v>
      </c>
      <c r="B70" s="20" t="s">
        <v>1394</v>
      </c>
      <c r="C70" s="399" t="s">
        <v>3346</v>
      </c>
      <c r="D70" s="399" t="s">
        <v>3354</v>
      </c>
      <c r="E70" s="399" t="s">
        <v>4557</v>
      </c>
      <c r="F70" s="184" t="s">
        <v>3328</v>
      </c>
      <c r="G70" s="235" t="s">
        <v>4558</v>
      </c>
      <c r="H70" s="541" t="s">
        <v>4560</v>
      </c>
      <c r="I70" s="194">
        <v>0</v>
      </c>
      <c r="J70" s="194">
        <v>339817.5</v>
      </c>
      <c r="K70" s="185" t="s">
        <v>4562</v>
      </c>
      <c r="L70" s="183" t="s">
        <v>1172</v>
      </c>
      <c r="M70" s="184" t="s">
        <v>3726</v>
      </c>
      <c r="N70" s="184" t="s">
        <v>4563</v>
      </c>
      <c r="O70" s="541"/>
    </row>
    <row r="71" spans="1:15" s="182" customFormat="1" ht="21.75" customHeight="1" x14ac:dyDescent="0.15">
      <c r="A71" s="151" t="s">
        <v>4556</v>
      </c>
      <c r="B71" s="20" t="s">
        <v>1394</v>
      </c>
      <c r="C71" s="399" t="s">
        <v>3346</v>
      </c>
      <c r="D71" s="399" t="s">
        <v>3354</v>
      </c>
      <c r="E71" s="399" t="s">
        <v>4559</v>
      </c>
      <c r="F71" s="184" t="s">
        <v>3328</v>
      </c>
      <c r="G71" s="235" t="s">
        <v>4558</v>
      </c>
      <c r="H71" s="541" t="s">
        <v>4561</v>
      </c>
      <c r="I71" s="194">
        <v>0</v>
      </c>
      <c r="J71" s="194">
        <v>339817.5</v>
      </c>
      <c r="K71" s="185" t="s">
        <v>4562</v>
      </c>
      <c r="L71" s="183" t="s">
        <v>1172</v>
      </c>
      <c r="M71" s="184" t="s">
        <v>3725</v>
      </c>
      <c r="N71" s="184" t="s">
        <v>4563</v>
      </c>
      <c r="O71" s="541"/>
    </row>
    <row r="72" spans="1:15" s="182" customFormat="1" ht="21.75" customHeight="1" x14ac:dyDescent="0.15">
      <c r="A72" s="151" t="s">
        <v>4556</v>
      </c>
      <c r="B72" s="20" t="s">
        <v>1394</v>
      </c>
      <c r="C72" s="399" t="s">
        <v>3346</v>
      </c>
      <c r="D72" s="399" t="s">
        <v>3354</v>
      </c>
      <c r="E72" s="399" t="s">
        <v>4557</v>
      </c>
      <c r="F72" s="184" t="s">
        <v>3328</v>
      </c>
      <c r="G72" s="235" t="s">
        <v>4558</v>
      </c>
      <c r="H72" s="557" t="s">
        <v>4560</v>
      </c>
      <c r="I72" s="194">
        <v>0</v>
      </c>
      <c r="J72" s="194">
        <v>171450</v>
      </c>
      <c r="K72" s="185" t="s">
        <v>4564</v>
      </c>
      <c r="L72" s="183" t="s">
        <v>1172</v>
      </c>
      <c r="M72" s="184" t="s">
        <v>3726</v>
      </c>
      <c r="N72" s="184" t="s">
        <v>4563</v>
      </c>
      <c r="O72" s="11" t="s">
        <v>4565</v>
      </c>
    </row>
    <row r="73" spans="1:15" s="182" customFormat="1" ht="21.75" customHeight="1" x14ac:dyDescent="0.15">
      <c r="A73" s="151" t="s">
        <v>4556</v>
      </c>
      <c r="B73" s="20" t="s">
        <v>1394</v>
      </c>
      <c r="C73" s="399" t="s">
        <v>3346</v>
      </c>
      <c r="D73" s="399" t="s">
        <v>3354</v>
      </c>
      <c r="E73" s="399" t="s">
        <v>4559</v>
      </c>
      <c r="F73" s="184" t="s">
        <v>3328</v>
      </c>
      <c r="G73" s="235" t="s">
        <v>4558</v>
      </c>
      <c r="H73" s="557" t="s">
        <v>4561</v>
      </c>
      <c r="I73" s="194">
        <v>0</v>
      </c>
      <c r="J73" s="194">
        <v>171450</v>
      </c>
      <c r="K73" s="185" t="s">
        <v>4564</v>
      </c>
      <c r="L73" s="183" t="s">
        <v>1172</v>
      </c>
      <c r="M73" s="184" t="s">
        <v>3725</v>
      </c>
      <c r="N73" s="184" t="s">
        <v>4563</v>
      </c>
      <c r="O73" s="11" t="s">
        <v>4565</v>
      </c>
    </row>
    <row r="74" spans="1:15" s="182" customFormat="1" ht="21.75" customHeight="1" x14ac:dyDescent="0.15">
      <c r="A74" s="151" t="s">
        <v>4566</v>
      </c>
      <c r="B74" s="20" t="s">
        <v>4467</v>
      </c>
      <c r="C74" s="399" t="s">
        <v>3346</v>
      </c>
      <c r="D74" s="399" t="s">
        <v>3457</v>
      </c>
      <c r="E74" s="399" t="s">
        <v>4468</v>
      </c>
      <c r="F74" s="184" t="s">
        <v>3340</v>
      </c>
      <c r="G74" s="235" t="s">
        <v>3341</v>
      </c>
      <c r="H74" s="541">
        <v>19025</v>
      </c>
      <c r="I74" s="194">
        <v>0</v>
      </c>
      <c r="J74" s="194">
        <v>70000</v>
      </c>
      <c r="K74" s="185">
        <v>0.5</v>
      </c>
      <c r="L74" s="183" t="s">
        <v>285</v>
      </c>
      <c r="M74" s="183" t="s">
        <v>1880</v>
      </c>
      <c r="N74" s="183" t="s">
        <v>1880</v>
      </c>
      <c r="O74" s="541"/>
    </row>
    <row r="75" spans="1:15" s="182" customFormat="1" ht="21.75" customHeight="1" x14ac:dyDescent="0.15">
      <c r="A75" s="151" t="s">
        <v>4567</v>
      </c>
      <c r="B75" s="20" t="s">
        <v>2547</v>
      </c>
      <c r="C75" s="184" t="s">
        <v>3325</v>
      </c>
      <c r="D75" s="184" t="s">
        <v>3360</v>
      </c>
      <c r="E75" s="184" t="s">
        <v>3615</v>
      </c>
      <c r="F75" s="419" t="s">
        <v>3328</v>
      </c>
      <c r="G75" s="235" t="s">
        <v>3574</v>
      </c>
      <c r="H75" s="541">
        <v>19041</v>
      </c>
      <c r="I75" s="194">
        <v>0</v>
      </c>
      <c r="J75" s="194">
        <v>6000</v>
      </c>
      <c r="K75" s="185">
        <v>0.1</v>
      </c>
      <c r="L75" s="183" t="s">
        <v>1143</v>
      </c>
      <c r="M75" s="183" t="s">
        <v>2660</v>
      </c>
      <c r="N75" s="183" t="s">
        <v>2660</v>
      </c>
      <c r="O75" s="541"/>
    </row>
    <row r="76" spans="1:15" s="182" customFormat="1" ht="21.75" customHeight="1" x14ac:dyDescent="0.15">
      <c r="A76" s="151" t="s">
        <v>4568</v>
      </c>
      <c r="B76" s="20" t="s">
        <v>4042</v>
      </c>
      <c r="C76" s="224" t="s">
        <v>3363</v>
      </c>
      <c r="D76" s="224" t="s">
        <v>3354</v>
      </c>
      <c r="E76" s="30" t="s">
        <v>4049</v>
      </c>
      <c r="F76" s="184" t="s">
        <v>3328</v>
      </c>
      <c r="G76" s="235" t="s">
        <v>3336</v>
      </c>
      <c r="H76" s="541">
        <v>20187</v>
      </c>
      <c r="I76" s="194">
        <v>0</v>
      </c>
      <c r="J76" s="194">
        <v>16000</v>
      </c>
      <c r="K76" s="185" t="s">
        <v>4569</v>
      </c>
      <c r="L76" s="183" t="s">
        <v>1948</v>
      </c>
      <c r="M76" s="183" t="s">
        <v>2660</v>
      </c>
      <c r="N76" s="183" t="s">
        <v>2660</v>
      </c>
      <c r="O76" s="541"/>
    </row>
    <row r="77" spans="1:15" s="182" customFormat="1" ht="21.75" customHeight="1" x14ac:dyDescent="0.15">
      <c r="A77" s="151" t="s">
        <v>4568</v>
      </c>
      <c r="B77" s="20" t="s">
        <v>4042</v>
      </c>
      <c r="C77" s="224" t="s">
        <v>3363</v>
      </c>
      <c r="D77" s="224" t="s">
        <v>3354</v>
      </c>
      <c r="E77" s="30" t="s">
        <v>4049</v>
      </c>
      <c r="F77" s="184" t="s">
        <v>3328</v>
      </c>
      <c r="G77" s="235" t="s">
        <v>3336</v>
      </c>
      <c r="H77" s="541">
        <v>20187</v>
      </c>
      <c r="I77" s="194">
        <v>0</v>
      </c>
      <c r="J77" s="194">
        <v>22000</v>
      </c>
      <c r="K77" s="185" t="s">
        <v>4570</v>
      </c>
      <c r="L77" s="183" t="s">
        <v>1948</v>
      </c>
      <c r="M77" s="183" t="s">
        <v>2660</v>
      </c>
      <c r="N77" s="183" t="s">
        <v>2660</v>
      </c>
      <c r="O77" s="541"/>
    </row>
    <row r="78" spans="1:15" s="182" customFormat="1" ht="21.75" customHeight="1" x14ac:dyDescent="0.15">
      <c r="A78" s="151" t="s">
        <v>4571</v>
      </c>
      <c r="B78" s="20" t="s">
        <v>4572</v>
      </c>
      <c r="C78" s="453" t="s">
        <v>3337</v>
      </c>
      <c r="D78" s="453" t="s">
        <v>3380</v>
      </c>
      <c r="E78" s="428" t="s">
        <v>3874</v>
      </c>
      <c r="F78" s="184" t="s">
        <v>3340</v>
      </c>
      <c r="G78" s="235" t="s">
        <v>3566</v>
      </c>
      <c r="H78" s="541">
        <v>18037</v>
      </c>
      <c r="I78" s="194">
        <v>0</v>
      </c>
      <c r="J78" s="194">
        <v>126000</v>
      </c>
      <c r="K78" s="185" t="s">
        <v>3105</v>
      </c>
      <c r="L78" s="183" t="s">
        <v>285</v>
      </c>
      <c r="M78" s="183" t="s">
        <v>190</v>
      </c>
      <c r="N78" s="183" t="s">
        <v>190</v>
      </c>
      <c r="O78" s="541"/>
    </row>
    <row r="79" spans="1:15" s="182" customFormat="1" ht="21.75" customHeight="1" x14ac:dyDescent="0.15">
      <c r="A79" s="151" t="s">
        <v>4573</v>
      </c>
      <c r="B79" s="20" t="s">
        <v>195</v>
      </c>
      <c r="C79" s="224" t="s">
        <v>3363</v>
      </c>
      <c r="D79" s="224" t="s">
        <v>3702</v>
      </c>
      <c r="E79" s="30" t="s">
        <v>3986</v>
      </c>
      <c r="F79" s="184" t="s">
        <v>3332</v>
      </c>
      <c r="G79" s="235" t="s">
        <v>4574</v>
      </c>
      <c r="H79" s="541">
        <v>20194</v>
      </c>
      <c r="I79" s="194">
        <v>0</v>
      </c>
      <c r="J79" s="194">
        <v>237500</v>
      </c>
      <c r="K79" s="185">
        <v>0.95</v>
      </c>
      <c r="L79" s="183" t="s">
        <v>1147</v>
      </c>
      <c r="M79" s="183" t="s">
        <v>1880</v>
      </c>
      <c r="N79" s="183" t="s">
        <v>1880</v>
      </c>
      <c r="O79" s="541"/>
    </row>
    <row r="80" spans="1:15" s="182" customFormat="1" ht="21.75" customHeight="1" x14ac:dyDescent="0.15">
      <c r="A80" s="151" t="s">
        <v>4575</v>
      </c>
      <c r="B80" s="20" t="s">
        <v>1457</v>
      </c>
      <c r="C80" s="399" t="s">
        <v>3368</v>
      </c>
      <c r="D80" s="399" t="s">
        <v>3369</v>
      </c>
      <c r="E80" s="399" t="s">
        <v>3466</v>
      </c>
      <c r="F80" s="224" t="s">
        <v>3328</v>
      </c>
      <c r="G80" s="239" t="s">
        <v>3349</v>
      </c>
      <c r="H80" s="541">
        <v>20059</v>
      </c>
      <c r="I80" s="194">
        <v>0</v>
      </c>
      <c r="J80" s="194">
        <v>78356.5</v>
      </c>
      <c r="K80" s="185" t="s">
        <v>4580</v>
      </c>
      <c r="L80" s="183" t="s">
        <v>285</v>
      </c>
      <c r="M80" s="183" t="s">
        <v>158</v>
      </c>
      <c r="N80" s="183" t="s">
        <v>158</v>
      </c>
      <c r="O80" s="541"/>
    </row>
    <row r="81" spans="1:15" s="182" customFormat="1" ht="21.75" customHeight="1" x14ac:dyDescent="0.15">
      <c r="A81" s="151" t="s">
        <v>4575</v>
      </c>
      <c r="B81" s="20" t="s">
        <v>4578</v>
      </c>
      <c r="C81" s="409" t="s">
        <v>3337</v>
      </c>
      <c r="D81" s="399" t="s">
        <v>3702</v>
      </c>
      <c r="E81" s="409" t="s">
        <v>4581</v>
      </c>
      <c r="F81" s="429" t="s">
        <v>3328</v>
      </c>
      <c r="G81" s="430" t="s">
        <v>3378</v>
      </c>
      <c r="H81" s="541">
        <v>15037</v>
      </c>
      <c r="I81" s="194">
        <v>0</v>
      </c>
      <c r="J81" s="194">
        <v>118750</v>
      </c>
      <c r="K81" s="185">
        <v>0.25</v>
      </c>
      <c r="L81" s="183" t="s">
        <v>4582</v>
      </c>
      <c r="M81" s="183" t="s">
        <v>190</v>
      </c>
      <c r="N81" s="183" t="s">
        <v>190</v>
      </c>
      <c r="O81" s="541"/>
    </row>
    <row r="82" spans="1:15" s="182" customFormat="1" ht="21.75" customHeight="1" x14ac:dyDescent="0.15">
      <c r="A82" s="151" t="s">
        <v>4575</v>
      </c>
      <c r="B82" s="20" t="s">
        <v>2811</v>
      </c>
      <c r="C82" s="224" t="s">
        <v>3337</v>
      </c>
      <c r="D82" s="224" t="s">
        <v>3702</v>
      </c>
      <c r="E82" s="184" t="s">
        <v>4583</v>
      </c>
      <c r="F82" s="224" t="s">
        <v>3328</v>
      </c>
      <c r="G82" s="235" t="s">
        <v>4584</v>
      </c>
      <c r="H82" s="541">
        <v>18117</v>
      </c>
      <c r="I82" s="194">
        <v>0</v>
      </c>
      <c r="J82" s="194">
        <v>53220</v>
      </c>
      <c r="K82" s="185">
        <v>0.15</v>
      </c>
      <c r="L82" s="183" t="s">
        <v>1147</v>
      </c>
      <c r="M82" s="183" t="s">
        <v>190</v>
      </c>
      <c r="N82" s="183" t="s">
        <v>190</v>
      </c>
      <c r="O82" s="541"/>
    </row>
    <row r="83" spans="1:15" s="182" customFormat="1" ht="21.75" customHeight="1" x14ac:dyDescent="0.15">
      <c r="A83" s="151" t="s">
        <v>4576</v>
      </c>
      <c r="B83" s="20" t="s">
        <v>4579</v>
      </c>
      <c r="C83" s="224" t="s">
        <v>3346</v>
      </c>
      <c r="D83" s="224" t="s">
        <v>3481</v>
      </c>
      <c r="E83" s="224" t="s">
        <v>4497</v>
      </c>
      <c r="F83" s="207" t="s">
        <v>3483</v>
      </c>
      <c r="G83" s="235" t="s">
        <v>3483</v>
      </c>
      <c r="H83" s="541">
        <v>21044</v>
      </c>
      <c r="I83" s="194">
        <v>0</v>
      </c>
      <c r="J83" s="194">
        <v>18000</v>
      </c>
      <c r="K83" s="185">
        <v>1</v>
      </c>
      <c r="L83" s="183" t="s">
        <v>1948</v>
      </c>
      <c r="M83" s="183" t="s">
        <v>1880</v>
      </c>
      <c r="N83" s="183" t="s">
        <v>1880</v>
      </c>
      <c r="O83" s="541"/>
    </row>
    <row r="84" spans="1:15" s="182" customFormat="1" ht="21.75" customHeight="1" x14ac:dyDescent="0.15">
      <c r="A84" s="151" t="s">
        <v>4577</v>
      </c>
      <c r="B84" s="20" t="s">
        <v>2060</v>
      </c>
      <c r="C84" s="399" t="s">
        <v>3334</v>
      </c>
      <c r="D84" s="399" t="s">
        <v>3326</v>
      </c>
      <c r="E84" s="399" t="s">
        <v>3335</v>
      </c>
      <c r="F84" s="184" t="s">
        <v>3328</v>
      </c>
      <c r="G84" s="235" t="s">
        <v>3341</v>
      </c>
      <c r="H84" s="178">
        <v>20009</v>
      </c>
      <c r="I84" s="194">
        <v>0</v>
      </c>
      <c r="J84" s="194">
        <v>112500</v>
      </c>
      <c r="K84" s="185">
        <v>0.25</v>
      </c>
      <c r="L84" s="183" t="s">
        <v>285</v>
      </c>
      <c r="M84" s="183" t="s">
        <v>170</v>
      </c>
      <c r="N84" s="183" t="s">
        <v>170</v>
      </c>
      <c r="O84" s="541"/>
    </row>
    <row r="85" spans="1:15" s="182" customFormat="1" ht="21.75" customHeight="1" x14ac:dyDescent="0.15">
      <c r="A85" s="151" t="s">
        <v>4585</v>
      </c>
      <c r="B85" s="20" t="s">
        <v>1558</v>
      </c>
      <c r="C85" s="399" t="s">
        <v>3346</v>
      </c>
      <c r="D85" s="399" t="s">
        <v>3354</v>
      </c>
      <c r="E85" s="399" t="s">
        <v>4600</v>
      </c>
      <c r="F85" s="418" t="s">
        <v>3328</v>
      </c>
      <c r="G85" s="235" t="s">
        <v>3378</v>
      </c>
      <c r="H85" s="178" t="s">
        <v>4599</v>
      </c>
      <c r="I85" s="194">
        <v>0</v>
      </c>
      <c r="J85" s="194">
        <v>171924.53</v>
      </c>
      <c r="K85" s="185" t="s">
        <v>4601</v>
      </c>
      <c r="L85" s="183" t="s">
        <v>1172</v>
      </c>
      <c r="M85" s="184" t="s">
        <v>3725</v>
      </c>
      <c r="N85" s="184" t="s">
        <v>4563</v>
      </c>
      <c r="O85" s="541"/>
    </row>
    <row r="86" spans="1:15" s="182" customFormat="1" ht="21.75" customHeight="1" x14ac:dyDescent="0.15">
      <c r="A86" s="151" t="s">
        <v>4586</v>
      </c>
      <c r="B86" s="20" t="s">
        <v>4578</v>
      </c>
      <c r="C86" s="391" t="s">
        <v>3337</v>
      </c>
      <c r="D86" s="393" t="s">
        <v>3702</v>
      </c>
      <c r="E86" s="391" t="s">
        <v>4587</v>
      </c>
      <c r="F86" s="184" t="s">
        <v>3328</v>
      </c>
      <c r="G86" s="235" t="s">
        <v>4462</v>
      </c>
      <c r="H86" s="541">
        <v>20061</v>
      </c>
      <c r="I86" s="194">
        <v>0</v>
      </c>
      <c r="J86" s="194">
        <v>44550</v>
      </c>
      <c r="K86" s="185">
        <v>0.9</v>
      </c>
      <c r="L86" s="183" t="s">
        <v>1147</v>
      </c>
      <c r="M86" s="183" t="s">
        <v>190</v>
      </c>
      <c r="N86" s="183" t="s">
        <v>190</v>
      </c>
      <c r="O86" s="541"/>
    </row>
    <row r="87" spans="1:15" s="182" customFormat="1" ht="21.75" customHeight="1" x14ac:dyDescent="0.15">
      <c r="A87" s="151" t="s">
        <v>4586</v>
      </c>
      <c r="B87" s="20" t="s">
        <v>4578</v>
      </c>
      <c r="C87" s="391" t="s">
        <v>3337</v>
      </c>
      <c r="D87" s="393" t="s">
        <v>3702</v>
      </c>
      <c r="E87" s="391" t="s">
        <v>4587</v>
      </c>
      <c r="F87" s="184" t="s">
        <v>3328</v>
      </c>
      <c r="G87" s="235" t="s">
        <v>3349</v>
      </c>
      <c r="H87" s="541">
        <v>20062</v>
      </c>
      <c r="I87" s="194">
        <v>0</v>
      </c>
      <c r="J87" s="194">
        <v>70000</v>
      </c>
      <c r="K87" s="185">
        <v>1</v>
      </c>
      <c r="L87" s="183" t="s">
        <v>285</v>
      </c>
      <c r="M87" s="183" t="s">
        <v>190</v>
      </c>
      <c r="N87" s="183" t="s">
        <v>190</v>
      </c>
      <c r="O87" s="541"/>
    </row>
    <row r="88" spans="1:15" s="182" customFormat="1" ht="21.75" customHeight="1" x14ac:dyDescent="0.15">
      <c r="A88" s="151" t="s">
        <v>4588</v>
      </c>
      <c r="B88" s="20" t="s">
        <v>1618</v>
      </c>
      <c r="C88" s="391" t="s">
        <v>3337</v>
      </c>
      <c r="D88" s="393" t="s">
        <v>3702</v>
      </c>
      <c r="E88" s="391" t="s">
        <v>4589</v>
      </c>
      <c r="F88" s="184" t="s">
        <v>3340</v>
      </c>
      <c r="G88" s="235" t="s">
        <v>4590</v>
      </c>
      <c r="H88" s="541">
        <v>20065</v>
      </c>
      <c r="I88" s="194">
        <v>0</v>
      </c>
      <c r="J88" s="194">
        <v>43650</v>
      </c>
      <c r="K88" s="185">
        <v>0.9</v>
      </c>
      <c r="L88" s="183" t="s">
        <v>1147</v>
      </c>
      <c r="M88" s="183" t="s">
        <v>190</v>
      </c>
      <c r="N88" s="183" t="s">
        <v>190</v>
      </c>
      <c r="O88" s="541"/>
    </row>
    <row r="89" spans="1:15" s="182" customFormat="1" ht="21.75" customHeight="1" x14ac:dyDescent="0.15">
      <c r="A89" s="151" t="s">
        <v>4588</v>
      </c>
      <c r="B89" s="20" t="s">
        <v>1618</v>
      </c>
      <c r="C89" s="391" t="s">
        <v>3337</v>
      </c>
      <c r="D89" s="393" t="s">
        <v>3702</v>
      </c>
      <c r="E89" s="391" t="s">
        <v>4589</v>
      </c>
      <c r="F89" s="184" t="s">
        <v>3340</v>
      </c>
      <c r="G89" s="235" t="s">
        <v>3349</v>
      </c>
      <c r="H89" s="541">
        <v>20066</v>
      </c>
      <c r="I89" s="194">
        <v>0</v>
      </c>
      <c r="J89" s="194">
        <v>70000</v>
      </c>
      <c r="K89" s="185">
        <v>1</v>
      </c>
      <c r="L89" s="183" t="s">
        <v>285</v>
      </c>
      <c r="M89" s="183" t="s">
        <v>190</v>
      </c>
      <c r="N89" s="183" t="s">
        <v>190</v>
      </c>
      <c r="O89" s="541"/>
    </row>
    <row r="90" spans="1:15" s="182" customFormat="1" ht="21.75" customHeight="1" x14ac:dyDescent="0.15">
      <c r="A90" s="151" t="s">
        <v>4588</v>
      </c>
      <c r="B90" s="20" t="s">
        <v>4533</v>
      </c>
      <c r="C90" s="559" t="s">
        <v>4591</v>
      </c>
      <c r="D90" s="559" t="s">
        <v>4592</v>
      </c>
      <c r="E90" s="559" t="s">
        <v>4593</v>
      </c>
      <c r="F90" s="560" t="s">
        <v>4594</v>
      </c>
      <c r="G90" s="561" t="s">
        <v>4595</v>
      </c>
      <c r="H90" s="541">
        <v>20025</v>
      </c>
      <c r="I90" s="194">
        <v>0</v>
      </c>
      <c r="J90" s="194">
        <v>31000</v>
      </c>
      <c r="K90" s="185" t="s">
        <v>4596</v>
      </c>
      <c r="L90" s="183" t="s">
        <v>1948</v>
      </c>
      <c r="M90" s="183" t="s">
        <v>2660</v>
      </c>
      <c r="N90" s="183" t="s">
        <v>2660</v>
      </c>
      <c r="O90" s="541"/>
    </row>
    <row r="91" spans="1:15" s="182" customFormat="1" ht="43.5" customHeight="1" x14ac:dyDescent="0.15">
      <c r="A91" s="151" t="s">
        <v>4597</v>
      </c>
      <c r="B91" s="20" t="s">
        <v>1558</v>
      </c>
      <c r="C91" s="399" t="s">
        <v>3346</v>
      </c>
      <c r="D91" s="399" t="s">
        <v>3354</v>
      </c>
      <c r="E91" s="399" t="s">
        <v>4600</v>
      </c>
      <c r="F91" s="418" t="s">
        <v>3328</v>
      </c>
      <c r="G91" s="235" t="s">
        <v>3378</v>
      </c>
      <c r="H91" s="178" t="s">
        <v>4599</v>
      </c>
      <c r="I91" s="194">
        <v>309215.46999999997</v>
      </c>
      <c r="J91" s="194">
        <v>0</v>
      </c>
      <c r="K91" s="185" t="s">
        <v>4602</v>
      </c>
      <c r="L91" s="183" t="s">
        <v>2963</v>
      </c>
      <c r="M91" s="184" t="s">
        <v>3725</v>
      </c>
      <c r="N91" s="184" t="s">
        <v>4563</v>
      </c>
      <c r="O91" s="558" t="s">
        <v>4608</v>
      </c>
    </row>
    <row r="92" spans="1:15" s="182" customFormat="1" ht="42.75" customHeight="1" x14ac:dyDescent="0.15">
      <c r="A92" s="151" t="s">
        <v>4597</v>
      </c>
      <c r="B92" s="20" t="s">
        <v>1558</v>
      </c>
      <c r="C92" s="399" t="s">
        <v>3346</v>
      </c>
      <c r="D92" s="399" t="s">
        <v>3354</v>
      </c>
      <c r="E92" s="399" t="s">
        <v>4604</v>
      </c>
      <c r="F92" s="184" t="s">
        <v>4137</v>
      </c>
      <c r="G92" s="235" t="s">
        <v>4605</v>
      </c>
      <c r="H92" s="178" t="s">
        <v>4603</v>
      </c>
      <c r="I92" s="194">
        <v>23789.54</v>
      </c>
      <c r="J92" s="194">
        <v>0</v>
      </c>
      <c r="K92" s="185" t="s">
        <v>4606</v>
      </c>
      <c r="L92" s="183" t="s">
        <v>249</v>
      </c>
      <c r="M92" s="183" t="s">
        <v>1784</v>
      </c>
      <c r="N92" s="184" t="s">
        <v>4563</v>
      </c>
      <c r="O92" s="558" t="s">
        <v>4608</v>
      </c>
    </row>
    <row r="93" spans="1:15" s="182" customFormat="1" ht="38.25" customHeight="1" x14ac:dyDescent="0.15">
      <c r="A93" s="151" t="s">
        <v>4597</v>
      </c>
      <c r="B93" s="20" t="s">
        <v>1558</v>
      </c>
      <c r="C93" s="399" t="s">
        <v>3346</v>
      </c>
      <c r="D93" s="399" t="s">
        <v>3354</v>
      </c>
      <c r="E93" s="399" t="s">
        <v>4600</v>
      </c>
      <c r="F93" s="184" t="s">
        <v>3355</v>
      </c>
      <c r="G93" s="235" t="s">
        <v>3356</v>
      </c>
      <c r="H93" s="562" t="s">
        <v>4607</v>
      </c>
      <c r="I93" s="194">
        <v>166994.99</v>
      </c>
      <c r="J93" s="194">
        <v>0</v>
      </c>
      <c r="K93" s="222">
        <v>0.9</v>
      </c>
      <c r="L93" s="183" t="s">
        <v>2618</v>
      </c>
      <c r="M93" s="184" t="s">
        <v>3725</v>
      </c>
      <c r="N93" s="184" t="s">
        <v>4563</v>
      </c>
      <c r="O93" s="558" t="s">
        <v>4608</v>
      </c>
    </row>
    <row r="94" spans="1:15" s="182" customFormat="1" ht="21.75" customHeight="1" x14ac:dyDescent="0.15">
      <c r="A94" s="163" t="s">
        <v>4597</v>
      </c>
      <c r="B94" s="20" t="s">
        <v>1828</v>
      </c>
      <c r="C94" s="399" t="s">
        <v>3357</v>
      </c>
      <c r="D94" s="399" t="s">
        <v>3347</v>
      </c>
      <c r="E94" s="399" t="s">
        <v>3998</v>
      </c>
      <c r="F94" s="418" t="s">
        <v>3328</v>
      </c>
      <c r="G94" s="239" t="s">
        <v>3566</v>
      </c>
      <c r="H94" s="541">
        <v>20042</v>
      </c>
      <c r="I94" s="194">
        <v>0</v>
      </c>
      <c r="J94" s="194">
        <v>74200</v>
      </c>
      <c r="K94" s="185" t="s">
        <v>3105</v>
      </c>
      <c r="L94" s="183" t="s">
        <v>285</v>
      </c>
      <c r="M94" s="183" t="s">
        <v>3388</v>
      </c>
      <c r="N94" s="183" t="s">
        <v>3388</v>
      </c>
      <c r="O94" s="541"/>
    </row>
    <row r="95" spans="1:15" s="182" customFormat="1" ht="21.75" customHeight="1" x14ac:dyDescent="0.15">
      <c r="A95" s="163" t="s">
        <v>4597</v>
      </c>
      <c r="B95" s="20" t="s">
        <v>1828</v>
      </c>
      <c r="C95" s="184" t="s">
        <v>3357</v>
      </c>
      <c r="D95" s="184" t="s">
        <v>3347</v>
      </c>
      <c r="E95" s="399" t="s">
        <v>3998</v>
      </c>
      <c r="F95" s="184" t="s">
        <v>3328</v>
      </c>
      <c r="G95" s="235" t="s">
        <v>4598</v>
      </c>
      <c r="H95" s="541">
        <v>21019</v>
      </c>
      <c r="I95" s="194">
        <v>0</v>
      </c>
      <c r="J95" s="194">
        <v>57250</v>
      </c>
      <c r="K95" s="185">
        <v>1</v>
      </c>
      <c r="L95" s="183" t="s">
        <v>1948</v>
      </c>
      <c r="M95" s="183" t="s">
        <v>3388</v>
      </c>
      <c r="N95" s="183" t="s">
        <v>3388</v>
      </c>
      <c r="O95" s="541"/>
    </row>
    <row r="96" spans="1:15" s="182" customFormat="1" ht="21.75" customHeight="1" x14ac:dyDescent="0.15">
      <c r="A96" s="151" t="s">
        <v>4597</v>
      </c>
      <c r="B96" s="20" t="s">
        <v>1558</v>
      </c>
      <c r="C96" s="399" t="s">
        <v>3346</v>
      </c>
      <c r="D96" s="399" t="s">
        <v>3354</v>
      </c>
      <c r="E96" s="399" t="s">
        <v>4600</v>
      </c>
      <c r="F96" s="418" t="s">
        <v>3328</v>
      </c>
      <c r="G96" s="235" t="s">
        <v>3378</v>
      </c>
      <c r="H96" s="178" t="s">
        <v>4599</v>
      </c>
      <c r="I96" s="194">
        <v>0</v>
      </c>
      <c r="J96" s="194">
        <v>309215.46999999997</v>
      </c>
      <c r="K96" s="185" t="s">
        <v>4602</v>
      </c>
      <c r="L96" s="183" t="s">
        <v>2963</v>
      </c>
      <c r="M96" s="184" t="s">
        <v>3725</v>
      </c>
      <c r="N96" s="184" t="s">
        <v>4563</v>
      </c>
      <c r="O96" s="226" t="s">
        <v>4522</v>
      </c>
    </row>
    <row r="97" spans="1:15" s="182" customFormat="1" ht="21.75" customHeight="1" x14ac:dyDescent="0.15">
      <c r="A97" s="151" t="s">
        <v>4597</v>
      </c>
      <c r="B97" s="20" t="s">
        <v>1558</v>
      </c>
      <c r="C97" s="399" t="s">
        <v>3346</v>
      </c>
      <c r="D97" s="399" t="s">
        <v>3354</v>
      </c>
      <c r="E97" s="399" t="s">
        <v>4604</v>
      </c>
      <c r="F97" s="184" t="s">
        <v>4137</v>
      </c>
      <c r="G97" s="235" t="s">
        <v>4605</v>
      </c>
      <c r="H97" s="178" t="s">
        <v>4603</v>
      </c>
      <c r="I97" s="194">
        <v>0</v>
      </c>
      <c r="J97" s="194">
        <v>23789.54</v>
      </c>
      <c r="K97" s="185" t="s">
        <v>4606</v>
      </c>
      <c r="L97" s="183" t="s">
        <v>249</v>
      </c>
      <c r="M97" s="183" t="s">
        <v>1784</v>
      </c>
      <c r="N97" s="184" t="s">
        <v>4563</v>
      </c>
      <c r="O97" s="226" t="s">
        <v>4522</v>
      </c>
    </row>
    <row r="98" spans="1:15" s="182" customFormat="1" ht="21.75" customHeight="1" x14ac:dyDescent="0.15">
      <c r="A98" s="151" t="s">
        <v>4597</v>
      </c>
      <c r="B98" s="20" t="s">
        <v>1558</v>
      </c>
      <c r="C98" s="399" t="s">
        <v>3346</v>
      </c>
      <c r="D98" s="399" t="s">
        <v>3354</v>
      </c>
      <c r="E98" s="399" t="s">
        <v>4600</v>
      </c>
      <c r="F98" s="184" t="s">
        <v>3355</v>
      </c>
      <c r="G98" s="235" t="s">
        <v>3356</v>
      </c>
      <c r="H98" s="562" t="s">
        <v>4607</v>
      </c>
      <c r="I98" s="194">
        <v>0</v>
      </c>
      <c r="J98" s="194">
        <v>166994.99</v>
      </c>
      <c r="K98" s="222">
        <v>0.9</v>
      </c>
      <c r="L98" s="183" t="s">
        <v>2618</v>
      </c>
      <c r="M98" s="184" t="s">
        <v>3725</v>
      </c>
      <c r="N98" s="184" t="s">
        <v>4563</v>
      </c>
      <c r="O98" s="226" t="s">
        <v>4522</v>
      </c>
    </row>
    <row r="99" spans="1:15" s="182" customFormat="1" ht="21.75" customHeight="1" x14ac:dyDescent="0.15">
      <c r="A99" s="151" t="s">
        <v>4597</v>
      </c>
      <c r="B99" s="20" t="s">
        <v>3480</v>
      </c>
      <c r="C99" s="453" t="s">
        <v>3346</v>
      </c>
      <c r="D99" s="453" t="s">
        <v>3481</v>
      </c>
      <c r="E99" s="428" t="s">
        <v>3482</v>
      </c>
      <c r="F99" s="206" t="s">
        <v>3483</v>
      </c>
      <c r="G99" s="243" t="s">
        <v>3483</v>
      </c>
      <c r="H99" s="541">
        <v>18031</v>
      </c>
      <c r="I99" s="194">
        <v>0</v>
      </c>
      <c r="J99" s="194">
        <v>24756</v>
      </c>
      <c r="K99" s="185" t="s">
        <v>4609</v>
      </c>
      <c r="L99" s="183" t="s">
        <v>4610</v>
      </c>
      <c r="M99" s="183" t="s">
        <v>1880</v>
      </c>
      <c r="N99" s="183" t="s">
        <v>1880</v>
      </c>
      <c r="O99" s="541"/>
    </row>
    <row r="100" spans="1:15" s="182" customFormat="1" ht="21.75" customHeight="1" x14ac:dyDescent="0.15">
      <c r="A100" s="151" t="s">
        <v>4597</v>
      </c>
      <c r="B100" s="20" t="s">
        <v>4611</v>
      </c>
      <c r="C100" s="399" t="s">
        <v>3363</v>
      </c>
      <c r="D100" s="399" t="s">
        <v>3354</v>
      </c>
      <c r="E100" s="399" t="s">
        <v>4057</v>
      </c>
      <c r="F100" s="184" t="s">
        <v>3328</v>
      </c>
      <c r="G100" s="235" t="s">
        <v>4375</v>
      </c>
      <c r="H100" s="563">
        <v>20026</v>
      </c>
      <c r="I100" s="194">
        <v>0</v>
      </c>
      <c r="J100" s="194">
        <v>100000</v>
      </c>
      <c r="K100" s="185" t="s">
        <v>4534</v>
      </c>
      <c r="L100" s="183" t="s">
        <v>1948</v>
      </c>
      <c r="M100" s="224" t="s">
        <v>2660</v>
      </c>
      <c r="N100" s="183" t="s">
        <v>2660</v>
      </c>
      <c r="O100" s="226" t="s">
        <v>4613</v>
      </c>
    </row>
    <row r="101" spans="1:15" s="182" customFormat="1" ht="21.75" customHeight="1" x14ac:dyDescent="0.15">
      <c r="A101" s="151" t="s">
        <v>4597</v>
      </c>
      <c r="B101" s="20" t="s">
        <v>4533</v>
      </c>
      <c r="C101" s="559" t="s">
        <v>4591</v>
      </c>
      <c r="D101" s="559" t="s">
        <v>4592</v>
      </c>
      <c r="E101" s="559" t="s">
        <v>4593</v>
      </c>
      <c r="F101" s="560" t="s">
        <v>4594</v>
      </c>
      <c r="G101" s="561" t="s">
        <v>4595</v>
      </c>
      <c r="H101" s="541">
        <v>20025</v>
      </c>
      <c r="I101" s="194">
        <v>0</v>
      </c>
      <c r="J101" s="194">
        <v>31000</v>
      </c>
      <c r="K101" s="185" t="s">
        <v>4596</v>
      </c>
      <c r="L101" s="183" t="s">
        <v>1948</v>
      </c>
      <c r="M101" s="224" t="s">
        <v>2660</v>
      </c>
      <c r="N101" s="183" t="s">
        <v>2660</v>
      </c>
      <c r="O101" s="541"/>
    </row>
    <row r="102" spans="1:15" s="182" customFormat="1" ht="21.75" customHeight="1" x14ac:dyDescent="0.15">
      <c r="A102" s="151" t="s">
        <v>4612</v>
      </c>
      <c r="B102" s="20" t="s">
        <v>226</v>
      </c>
      <c r="C102" s="564"/>
      <c r="D102" s="564"/>
      <c r="E102" s="564"/>
      <c r="F102" s="564"/>
      <c r="G102" s="565"/>
      <c r="H102" s="541">
        <v>21022</v>
      </c>
      <c r="I102" s="194">
        <v>0</v>
      </c>
      <c r="J102" s="194">
        <v>91180</v>
      </c>
      <c r="K102" s="185">
        <v>0.97</v>
      </c>
      <c r="L102" s="183" t="s">
        <v>1948</v>
      </c>
      <c r="M102" s="183" t="s">
        <v>155</v>
      </c>
      <c r="N102" s="183" t="s">
        <v>155</v>
      </c>
      <c r="O102" s="541"/>
    </row>
    <row r="103" spans="1:15" s="182" customFormat="1" ht="21.75" customHeight="1" x14ac:dyDescent="0.15">
      <c r="A103" s="151" t="s">
        <v>4614</v>
      </c>
      <c r="B103" s="20" t="s">
        <v>1341</v>
      </c>
      <c r="C103" s="184" t="s">
        <v>3351</v>
      </c>
      <c r="D103" s="184" t="s">
        <v>3457</v>
      </c>
      <c r="E103" s="184" t="s">
        <v>4445</v>
      </c>
      <c r="F103" s="184" t="s">
        <v>3328</v>
      </c>
      <c r="G103" s="235" t="s">
        <v>3749</v>
      </c>
      <c r="H103" s="541">
        <v>20119</v>
      </c>
      <c r="I103" s="194">
        <v>0</v>
      </c>
      <c r="J103" s="194">
        <v>153000</v>
      </c>
      <c r="K103" s="185">
        <v>0.3</v>
      </c>
      <c r="L103" s="183" t="s">
        <v>1147</v>
      </c>
      <c r="M103" s="183" t="s">
        <v>170</v>
      </c>
      <c r="N103" s="183" t="s">
        <v>170</v>
      </c>
      <c r="O103" s="541"/>
    </row>
    <row r="104" spans="1:15" s="182" customFormat="1" ht="21.75" customHeight="1" x14ac:dyDescent="0.15">
      <c r="A104" s="151" t="s">
        <v>4615</v>
      </c>
      <c r="B104" s="20" t="s">
        <v>4616</v>
      </c>
      <c r="C104" s="569" t="s">
        <v>3371</v>
      </c>
      <c r="D104" s="394" t="s">
        <v>4089</v>
      </c>
      <c r="E104" s="409" t="s">
        <v>4617</v>
      </c>
      <c r="F104" s="410" t="s">
        <v>4098</v>
      </c>
      <c r="G104" s="411" t="s">
        <v>4618</v>
      </c>
      <c r="H104" s="541">
        <v>13024</v>
      </c>
      <c r="I104" s="194">
        <v>0</v>
      </c>
      <c r="J104" s="194">
        <v>140000</v>
      </c>
      <c r="K104" s="185" t="s">
        <v>4619</v>
      </c>
      <c r="L104" s="183" t="s">
        <v>3469</v>
      </c>
      <c r="M104" s="183" t="s">
        <v>155</v>
      </c>
      <c r="N104" s="183" t="s">
        <v>1880</v>
      </c>
      <c r="O104" s="541"/>
    </row>
    <row r="105" spans="1:15" s="182" customFormat="1" ht="21.75" customHeight="1" x14ac:dyDescent="0.15">
      <c r="A105" s="151" t="s">
        <v>4620</v>
      </c>
      <c r="B105" s="20" t="s">
        <v>1457</v>
      </c>
      <c r="C105" s="453" t="s">
        <v>3368</v>
      </c>
      <c r="D105" s="453" t="s">
        <v>3369</v>
      </c>
      <c r="E105" s="428" t="s">
        <v>3466</v>
      </c>
      <c r="F105" s="184" t="s">
        <v>3355</v>
      </c>
      <c r="G105" s="235" t="s">
        <v>3467</v>
      </c>
      <c r="H105" s="541">
        <v>18036</v>
      </c>
      <c r="I105" s="194">
        <v>0</v>
      </c>
      <c r="J105" s="194">
        <v>8605.82</v>
      </c>
      <c r="K105" s="185">
        <v>0.1</v>
      </c>
      <c r="L105" s="183" t="s">
        <v>1143</v>
      </c>
      <c r="M105" s="183" t="s">
        <v>158</v>
      </c>
      <c r="N105" s="183" t="s">
        <v>3388</v>
      </c>
      <c r="O105" s="541"/>
    </row>
    <row r="106" spans="1:15" s="182" customFormat="1" ht="21.75" customHeight="1" x14ac:dyDescent="0.15">
      <c r="A106" s="151" t="s">
        <v>4620</v>
      </c>
      <c r="B106" s="20" t="s">
        <v>1461</v>
      </c>
      <c r="C106" s="391" t="s">
        <v>3363</v>
      </c>
      <c r="D106" s="393" t="s">
        <v>3967</v>
      </c>
      <c r="E106" s="394" t="s">
        <v>3975</v>
      </c>
      <c r="F106" s="224" t="s">
        <v>3328</v>
      </c>
      <c r="G106" s="239" t="s">
        <v>3349</v>
      </c>
      <c r="H106" s="541">
        <v>20082</v>
      </c>
      <c r="I106" s="194">
        <v>0</v>
      </c>
      <c r="J106" s="194">
        <v>30000</v>
      </c>
      <c r="K106" s="185">
        <v>1</v>
      </c>
      <c r="L106" s="183" t="s">
        <v>285</v>
      </c>
      <c r="M106" s="183" t="s">
        <v>2660</v>
      </c>
      <c r="N106" s="183" t="s">
        <v>2660</v>
      </c>
      <c r="O106" s="541"/>
    </row>
    <row r="107" spans="1:15" s="182" customFormat="1" ht="21.75" customHeight="1" x14ac:dyDescent="0.15">
      <c r="A107" s="151" t="s">
        <v>4620</v>
      </c>
      <c r="B107" s="20" t="s">
        <v>1452</v>
      </c>
      <c r="C107" s="391" t="s">
        <v>3363</v>
      </c>
      <c r="D107" s="393" t="s">
        <v>3967</v>
      </c>
      <c r="E107" s="394" t="s">
        <v>3968</v>
      </c>
      <c r="F107" s="224" t="s">
        <v>3328</v>
      </c>
      <c r="G107" s="239" t="s">
        <v>3349</v>
      </c>
      <c r="H107" s="541">
        <v>20083</v>
      </c>
      <c r="I107" s="194">
        <v>0</v>
      </c>
      <c r="J107" s="194">
        <v>30000</v>
      </c>
      <c r="K107" s="185">
        <v>1</v>
      </c>
      <c r="L107" s="183" t="s">
        <v>285</v>
      </c>
      <c r="M107" s="183" t="s">
        <v>2660</v>
      </c>
      <c r="N107" s="183" t="s">
        <v>2660</v>
      </c>
      <c r="O107" s="541"/>
    </row>
    <row r="108" spans="1:15" s="182" customFormat="1" ht="21.75" customHeight="1" x14ac:dyDescent="0.15">
      <c r="A108" s="151" t="s">
        <v>4620</v>
      </c>
      <c r="B108" s="20" t="s">
        <v>1447</v>
      </c>
      <c r="C108" s="391" t="s">
        <v>3363</v>
      </c>
      <c r="D108" s="393" t="s">
        <v>3967</v>
      </c>
      <c r="E108" s="394" t="s">
        <v>3969</v>
      </c>
      <c r="F108" s="224" t="s">
        <v>3328</v>
      </c>
      <c r="G108" s="239" t="s">
        <v>3349</v>
      </c>
      <c r="H108" s="541">
        <v>20084</v>
      </c>
      <c r="I108" s="194">
        <v>0</v>
      </c>
      <c r="J108" s="194">
        <v>30000</v>
      </c>
      <c r="K108" s="185">
        <v>1</v>
      </c>
      <c r="L108" s="183" t="s">
        <v>285</v>
      </c>
      <c r="M108" s="183" t="s">
        <v>2660</v>
      </c>
      <c r="N108" s="183" t="s">
        <v>2660</v>
      </c>
      <c r="O108" s="541"/>
    </row>
    <row r="109" spans="1:15" s="182" customFormat="1" ht="21.75" customHeight="1" x14ac:dyDescent="0.15">
      <c r="A109" s="151" t="s">
        <v>4620</v>
      </c>
      <c r="B109" s="20" t="s">
        <v>201</v>
      </c>
      <c r="C109" s="224" t="s">
        <v>3346</v>
      </c>
      <c r="D109" s="224" t="s">
        <v>3463</v>
      </c>
      <c r="E109" s="394" t="s">
        <v>934</v>
      </c>
      <c r="F109" s="224" t="s">
        <v>3328</v>
      </c>
      <c r="G109" s="235" t="s">
        <v>4622</v>
      </c>
      <c r="H109" s="570" t="s">
        <v>4623</v>
      </c>
      <c r="I109" s="194">
        <v>0</v>
      </c>
      <c r="J109" s="194">
        <v>30000</v>
      </c>
      <c r="K109" s="185">
        <v>1</v>
      </c>
      <c r="L109" s="183" t="s">
        <v>1948</v>
      </c>
      <c r="M109" s="183" t="s">
        <v>1784</v>
      </c>
      <c r="N109" s="183" t="s">
        <v>1784</v>
      </c>
      <c r="O109" s="570"/>
    </row>
    <row r="110" spans="1:15" s="182" customFormat="1" ht="21.75" customHeight="1" x14ac:dyDescent="0.15">
      <c r="A110" s="151" t="s">
        <v>4620</v>
      </c>
      <c r="B110" s="20" t="s">
        <v>201</v>
      </c>
      <c r="C110" s="224" t="s">
        <v>3346</v>
      </c>
      <c r="D110" s="224" t="s">
        <v>3463</v>
      </c>
      <c r="E110" s="428" t="s">
        <v>2953</v>
      </c>
      <c r="F110" s="224" t="s">
        <v>3328</v>
      </c>
      <c r="G110" s="235" t="s">
        <v>4622</v>
      </c>
      <c r="H110" s="570" t="s">
        <v>4624</v>
      </c>
      <c r="I110" s="194">
        <v>0</v>
      </c>
      <c r="J110" s="194">
        <v>30000</v>
      </c>
      <c r="K110" s="185">
        <v>1</v>
      </c>
      <c r="L110" s="183" t="s">
        <v>1948</v>
      </c>
      <c r="M110" s="183" t="s">
        <v>1784</v>
      </c>
      <c r="N110" s="183" t="s">
        <v>1784</v>
      </c>
      <c r="O110" s="570"/>
    </row>
    <row r="111" spans="1:15" s="182" customFormat="1" ht="21.75" customHeight="1" x14ac:dyDescent="0.15">
      <c r="A111" s="151" t="s">
        <v>4620</v>
      </c>
      <c r="B111" s="20" t="s">
        <v>201</v>
      </c>
      <c r="C111" s="224" t="s">
        <v>3346</v>
      </c>
      <c r="D111" s="224" t="s">
        <v>3463</v>
      </c>
      <c r="E111" s="428" t="s">
        <v>2954</v>
      </c>
      <c r="F111" s="224" t="s">
        <v>3328</v>
      </c>
      <c r="G111" s="235" t="s">
        <v>4622</v>
      </c>
      <c r="H111" s="570" t="s">
        <v>4625</v>
      </c>
      <c r="I111" s="194">
        <v>0</v>
      </c>
      <c r="J111" s="194">
        <v>30000</v>
      </c>
      <c r="K111" s="185">
        <v>1</v>
      </c>
      <c r="L111" s="183" t="s">
        <v>1948</v>
      </c>
      <c r="M111" s="183" t="s">
        <v>1784</v>
      </c>
      <c r="N111" s="183" t="s">
        <v>1784</v>
      </c>
      <c r="O111" s="570"/>
    </row>
    <row r="112" spans="1:15" s="182" customFormat="1" ht="21.75" customHeight="1" x14ac:dyDescent="0.15">
      <c r="A112" s="151" t="s">
        <v>4620</v>
      </c>
      <c r="B112" s="20" t="s">
        <v>201</v>
      </c>
      <c r="C112" s="224" t="s">
        <v>3346</v>
      </c>
      <c r="D112" s="224" t="s">
        <v>3463</v>
      </c>
      <c r="E112" s="428" t="s">
        <v>2955</v>
      </c>
      <c r="F112" s="224" t="s">
        <v>3328</v>
      </c>
      <c r="G112" s="235" t="s">
        <v>4622</v>
      </c>
      <c r="H112" s="570" t="s">
        <v>4626</v>
      </c>
      <c r="I112" s="194">
        <v>0</v>
      </c>
      <c r="J112" s="194">
        <v>30000</v>
      </c>
      <c r="K112" s="185">
        <v>1</v>
      </c>
      <c r="L112" s="183" t="s">
        <v>1948</v>
      </c>
      <c r="M112" s="183" t="s">
        <v>1784</v>
      </c>
      <c r="N112" s="183" t="s">
        <v>1784</v>
      </c>
      <c r="O112" s="570"/>
    </row>
    <row r="113" spans="1:15" s="182" customFormat="1" ht="21.75" customHeight="1" x14ac:dyDescent="0.15">
      <c r="A113" s="151" t="s">
        <v>4620</v>
      </c>
      <c r="B113" s="20" t="s">
        <v>201</v>
      </c>
      <c r="C113" s="224" t="s">
        <v>3346</v>
      </c>
      <c r="D113" s="224" t="s">
        <v>3463</v>
      </c>
      <c r="E113" s="428" t="s">
        <v>2956</v>
      </c>
      <c r="F113" s="224" t="s">
        <v>3328</v>
      </c>
      <c r="G113" s="235" t="s">
        <v>4622</v>
      </c>
      <c r="H113" s="570" t="s">
        <v>4627</v>
      </c>
      <c r="I113" s="194">
        <v>0</v>
      </c>
      <c r="J113" s="194">
        <v>30000</v>
      </c>
      <c r="K113" s="185">
        <v>1</v>
      </c>
      <c r="L113" s="183" t="s">
        <v>1948</v>
      </c>
      <c r="M113" s="183" t="s">
        <v>1784</v>
      </c>
      <c r="N113" s="183" t="s">
        <v>1784</v>
      </c>
      <c r="O113" s="570"/>
    </row>
    <row r="114" spans="1:15" s="182" customFormat="1" ht="21.75" customHeight="1" x14ac:dyDescent="0.15">
      <c r="A114" s="151" t="s">
        <v>4620</v>
      </c>
      <c r="B114" s="20" t="s">
        <v>201</v>
      </c>
      <c r="C114" s="224" t="s">
        <v>3346</v>
      </c>
      <c r="D114" s="224" t="s">
        <v>3463</v>
      </c>
      <c r="E114" s="394" t="s">
        <v>3792</v>
      </c>
      <c r="F114" s="224" t="s">
        <v>3328</v>
      </c>
      <c r="G114" s="235" t="s">
        <v>4622</v>
      </c>
      <c r="H114" s="570" t="s">
        <v>4628</v>
      </c>
      <c r="I114" s="194">
        <v>0</v>
      </c>
      <c r="J114" s="194">
        <v>30000</v>
      </c>
      <c r="K114" s="185">
        <v>1</v>
      </c>
      <c r="L114" s="183" t="s">
        <v>1948</v>
      </c>
      <c r="M114" s="183" t="s">
        <v>1784</v>
      </c>
      <c r="N114" s="183" t="s">
        <v>1784</v>
      </c>
      <c r="O114" s="570"/>
    </row>
    <row r="115" spans="1:15" s="182" customFormat="1" ht="21.75" customHeight="1" x14ac:dyDescent="0.15">
      <c r="A115" s="151" t="s">
        <v>4620</v>
      </c>
      <c r="B115" s="20" t="s">
        <v>201</v>
      </c>
      <c r="C115" s="224" t="s">
        <v>3346</v>
      </c>
      <c r="D115" s="224" t="s">
        <v>3463</v>
      </c>
      <c r="E115" s="394" t="s">
        <v>3807</v>
      </c>
      <c r="F115" s="224" t="s">
        <v>3328</v>
      </c>
      <c r="G115" s="235" t="s">
        <v>4622</v>
      </c>
      <c r="H115" s="570" t="s">
        <v>4629</v>
      </c>
      <c r="I115" s="194">
        <v>0</v>
      </c>
      <c r="J115" s="194">
        <v>30000</v>
      </c>
      <c r="K115" s="185">
        <v>1</v>
      </c>
      <c r="L115" s="183" t="s">
        <v>1948</v>
      </c>
      <c r="M115" s="183" t="s">
        <v>1784</v>
      </c>
      <c r="N115" s="183" t="s">
        <v>1784</v>
      </c>
      <c r="O115" s="570"/>
    </row>
    <row r="116" spans="1:15" s="182" customFormat="1" ht="21.75" customHeight="1" x14ac:dyDescent="0.15">
      <c r="A116" s="151" t="s">
        <v>4620</v>
      </c>
      <c r="B116" s="20" t="s">
        <v>201</v>
      </c>
      <c r="C116" s="224" t="s">
        <v>3346</v>
      </c>
      <c r="D116" s="224" t="s">
        <v>3463</v>
      </c>
      <c r="E116" s="394" t="s">
        <v>3806</v>
      </c>
      <c r="F116" s="224" t="s">
        <v>3328</v>
      </c>
      <c r="G116" s="235" t="s">
        <v>4622</v>
      </c>
      <c r="H116" s="570" t="s">
        <v>4630</v>
      </c>
      <c r="I116" s="194">
        <v>0</v>
      </c>
      <c r="J116" s="194">
        <v>30000</v>
      </c>
      <c r="K116" s="185">
        <v>1</v>
      </c>
      <c r="L116" s="183" t="s">
        <v>1948</v>
      </c>
      <c r="M116" s="183" t="s">
        <v>1784</v>
      </c>
      <c r="N116" s="183" t="s">
        <v>1784</v>
      </c>
      <c r="O116" s="570"/>
    </row>
    <row r="117" spans="1:15" s="182" customFormat="1" ht="21.75" customHeight="1" x14ac:dyDescent="0.15">
      <c r="A117" s="151" t="s">
        <v>4620</v>
      </c>
      <c r="B117" s="20" t="s">
        <v>201</v>
      </c>
      <c r="C117" s="224" t="s">
        <v>3346</v>
      </c>
      <c r="D117" s="224" t="s">
        <v>3463</v>
      </c>
      <c r="E117" s="394" t="s">
        <v>3809</v>
      </c>
      <c r="F117" s="224" t="s">
        <v>3328</v>
      </c>
      <c r="G117" s="235" t="s">
        <v>4622</v>
      </c>
      <c r="H117" s="570" t="s">
        <v>4631</v>
      </c>
      <c r="I117" s="194">
        <v>0</v>
      </c>
      <c r="J117" s="194">
        <v>30000</v>
      </c>
      <c r="K117" s="185">
        <v>1</v>
      </c>
      <c r="L117" s="183" t="s">
        <v>1948</v>
      </c>
      <c r="M117" s="183" t="s">
        <v>1784</v>
      </c>
      <c r="N117" s="183" t="s">
        <v>1784</v>
      </c>
      <c r="O117" s="570"/>
    </row>
    <row r="118" spans="1:15" s="182" customFormat="1" ht="21.75" customHeight="1" x14ac:dyDescent="0.15">
      <c r="A118" s="151" t="s">
        <v>4620</v>
      </c>
      <c r="B118" s="20" t="s">
        <v>201</v>
      </c>
      <c r="C118" s="224" t="s">
        <v>3346</v>
      </c>
      <c r="D118" s="224" t="s">
        <v>3463</v>
      </c>
      <c r="E118" s="394" t="s">
        <v>3464</v>
      </c>
      <c r="F118" s="224" t="s">
        <v>3328</v>
      </c>
      <c r="G118" s="235" t="s">
        <v>4622</v>
      </c>
      <c r="H118" s="570" t="s">
        <v>4632</v>
      </c>
      <c r="I118" s="194">
        <v>0</v>
      </c>
      <c r="J118" s="194">
        <v>30000</v>
      </c>
      <c r="K118" s="185">
        <v>1</v>
      </c>
      <c r="L118" s="183" t="s">
        <v>1948</v>
      </c>
      <c r="M118" s="183" t="s">
        <v>1784</v>
      </c>
      <c r="N118" s="183" t="s">
        <v>1784</v>
      </c>
      <c r="O118" s="570"/>
    </row>
    <row r="119" spans="1:15" s="182" customFormat="1" ht="21.75" customHeight="1" x14ac:dyDescent="0.15">
      <c r="A119" s="151" t="s">
        <v>4620</v>
      </c>
      <c r="B119" s="20" t="s">
        <v>201</v>
      </c>
      <c r="C119" s="224" t="s">
        <v>3346</v>
      </c>
      <c r="D119" s="224" t="s">
        <v>3463</v>
      </c>
      <c r="E119" s="394" t="s">
        <v>964</v>
      </c>
      <c r="F119" s="224" t="s">
        <v>3328</v>
      </c>
      <c r="G119" s="235" t="s">
        <v>4622</v>
      </c>
      <c r="H119" s="570" t="s">
        <v>4633</v>
      </c>
      <c r="I119" s="194">
        <v>0</v>
      </c>
      <c r="J119" s="194">
        <v>30000</v>
      </c>
      <c r="K119" s="185">
        <v>1</v>
      </c>
      <c r="L119" s="183" t="s">
        <v>1948</v>
      </c>
      <c r="M119" s="183" t="s">
        <v>1784</v>
      </c>
      <c r="N119" s="183" t="s">
        <v>1784</v>
      </c>
      <c r="O119" s="570"/>
    </row>
    <row r="120" spans="1:15" s="182" customFormat="1" ht="21.75" customHeight="1" x14ac:dyDescent="0.15">
      <c r="A120" s="151" t="s">
        <v>4620</v>
      </c>
      <c r="B120" s="20" t="s">
        <v>201</v>
      </c>
      <c r="C120" s="224" t="s">
        <v>3346</v>
      </c>
      <c r="D120" s="224" t="s">
        <v>3463</v>
      </c>
      <c r="E120" s="394" t="s">
        <v>3791</v>
      </c>
      <c r="F120" s="224" t="s">
        <v>3328</v>
      </c>
      <c r="G120" s="235" t="s">
        <v>4622</v>
      </c>
      <c r="H120" s="570" t="s">
        <v>4634</v>
      </c>
      <c r="I120" s="194">
        <v>0</v>
      </c>
      <c r="J120" s="194">
        <v>30000</v>
      </c>
      <c r="K120" s="185">
        <v>1</v>
      </c>
      <c r="L120" s="183" t="s">
        <v>1948</v>
      </c>
      <c r="M120" s="183" t="s">
        <v>1784</v>
      </c>
      <c r="N120" s="183" t="s">
        <v>1784</v>
      </c>
      <c r="O120" s="570"/>
    </row>
    <row r="121" spans="1:15" s="182" customFormat="1" ht="21.75" customHeight="1" x14ac:dyDescent="0.15">
      <c r="A121" s="151" t="s">
        <v>4620</v>
      </c>
      <c r="B121" s="20" t="s">
        <v>201</v>
      </c>
      <c r="C121" s="224" t="s">
        <v>3346</v>
      </c>
      <c r="D121" s="224" t="s">
        <v>3463</v>
      </c>
      <c r="E121" s="394" t="s">
        <v>3808</v>
      </c>
      <c r="F121" s="224" t="s">
        <v>3328</v>
      </c>
      <c r="G121" s="235" t="s">
        <v>4622</v>
      </c>
      <c r="H121" s="570" t="s">
        <v>4635</v>
      </c>
      <c r="I121" s="194">
        <v>0</v>
      </c>
      <c r="J121" s="194">
        <v>30000</v>
      </c>
      <c r="K121" s="185">
        <v>1</v>
      </c>
      <c r="L121" s="183" t="s">
        <v>1948</v>
      </c>
      <c r="M121" s="183" t="s">
        <v>1784</v>
      </c>
      <c r="N121" s="183" t="s">
        <v>1784</v>
      </c>
      <c r="O121" s="570"/>
    </row>
    <row r="122" spans="1:15" s="182" customFormat="1" ht="21.75" customHeight="1" x14ac:dyDescent="0.15">
      <c r="A122" s="151" t="s">
        <v>4620</v>
      </c>
      <c r="B122" s="20" t="s">
        <v>201</v>
      </c>
      <c r="C122" s="224" t="s">
        <v>3346</v>
      </c>
      <c r="D122" s="224" t="s">
        <v>3463</v>
      </c>
      <c r="E122" s="394" t="s">
        <v>3789</v>
      </c>
      <c r="F122" s="224" t="s">
        <v>3328</v>
      </c>
      <c r="G122" s="235" t="s">
        <v>4622</v>
      </c>
      <c r="H122" s="570" t="s">
        <v>4636</v>
      </c>
      <c r="I122" s="194">
        <v>0</v>
      </c>
      <c r="J122" s="194">
        <v>30000</v>
      </c>
      <c r="K122" s="185">
        <v>1</v>
      </c>
      <c r="L122" s="183" t="s">
        <v>1948</v>
      </c>
      <c r="M122" s="183" t="s">
        <v>1784</v>
      </c>
      <c r="N122" s="183" t="s">
        <v>1784</v>
      </c>
      <c r="O122" s="570"/>
    </row>
    <row r="123" spans="1:15" s="182" customFormat="1" ht="21.75" customHeight="1" x14ac:dyDescent="0.15">
      <c r="A123" s="151" t="s">
        <v>4620</v>
      </c>
      <c r="B123" s="20" t="s">
        <v>201</v>
      </c>
      <c r="C123" s="224" t="s">
        <v>3346</v>
      </c>
      <c r="D123" s="224" t="s">
        <v>3463</v>
      </c>
      <c r="E123" s="394" t="s">
        <v>967</v>
      </c>
      <c r="F123" s="224" t="s">
        <v>3328</v>
      </c>
      <c r="G123" s="235" t="s">
        <v>4622</v>
      </c>
      <c r="H123" s="570" t="s">
        <v>4637</v>
      </c>
      <c r="I123" s="194">
        <v>0</v>
      </c>
      <c r="J123" s="194">
        <v>30000</v>
      </c>
      <c r="K123" s="185">
        <v>1</v>
      </c>
      <c r="L123" s="183" t="s">
        <v>1948</v>
      </c>
      <c r="M123" s="183" t="s">
        <v>1784</v>
      </c>
      <c r="N123" s="183" t="s">
        <v>1784</v>
      </c>
      <c r="O123" s="570"/>
    </row>
    <row r="124" spans="1:15" s="182" customFormat="1" ht="21.75" customHeight="1" x14ac:dyDescent="0.15">
      <c r="A124" s="151" t="s">
        <v>4620</v>
      </c>
      <c r="B124" s="20" t="s">
        <v>201</v>
      </c>
      <c r="C124" s="224" t="s">
        <v>3346</v>
      </c>
      <c r="D124" s="224" t="s">
        <v>3463</v>
      </c>
      <c r="E124" s="394" t="s">
        <v>3798</v>
      </c>
      <c r="F124" s="224" t="s">
        <v>3328</v>
      </c>
      <c r="G124" s="235" t="s">
        <v>4622</v>
      </c>
      <c r="H124" s="570" t="s">
        <v>4638</v>
      </c>
      <c r="I124" s="194">
        <v>0</v>
      </c>
      <c r="J124" s="194">
        <v>30000</v>
      </c>
      <c r="K124" s="185">
        <v>1</v>
      </c>
      <c r="L124" s="183" t="s">
        <v>1948</v>
      </c>
      <c r="M124" s="183" t="s">
        <v>1784</v>
      </c>
      <c r="N124" s="183" t="s">
        <v>1784</v>
      </c>
      <c r="O124" s="570"/>
    </row>
    <row r="125" spans="1:15" s="182" customFormat="1" ht="21.75" customHeight="1" x14ac:dyDescent="0.15">
      <c r="A125" s="151" t="s">
        <v>4620</v>
      </c>
      <c r="B125" s="20" t="s">
        <v>201</v>
      </c>
      <c r="C125" s="224" t="s">
        <v>3346</v>
      </c>
      <c r="D125" s="224" t="s">
        <v>3463</v>
      </c>
      <c r="E125" s="394" t="s">
        <v>3799</v>
      </c>
      <c r="F125" s="224" t="s">
        <v>3328</v>
      </c>
      <c r="G125" s="235" t="s">
        <v>4622</v>
      </c>
      <c r="H125" s="570" t="s">
        <v>4639</v>
      </c>
      <c r="I125" s="194">
        <v>0</v>
      </c>
      <c r="J125" s="194">
        <v>30000</v>
      </c>
      <c r="K125" s="185">
        <v>1</v>
      </c>
      <c r="L125" s="183" t="s">
        <v>1948</v>
      </c>
      <c r="M125" s="183" t="s">
        <v>1784</v>
      </c>
      <c r="N125" s="183" t="s">
        <v>1784</v>
      </c>
      <c r="O125" s="570"/>
    </row>
    <row r="126" spans="1:15" s="182" customFormat="1" ht="21.75" customHeight="1" x14ac:dyDescent="0.15">
      <c r="A126" s="151" t="s">
        <v>4620</v>
      </c>
      <c r="B126" s="20" t="s">
        <v>201</v>
      </c>
      <c r="C126" s="224" t="s">
        <v>3346</v>
      </c>
      <c r="D126" s="224" t="s">
        <v>3463</v>
      </c>
      <c r="E126" s="394" t="s">
        <v>3800</v>
      </c>
      <c r="F126" s="224" t="s">
        <v>3328</v>
      </c>
      <c r="G126" s="235" t="s">
        <v>4622</v>
      </c>
      <c r="H126" s="570" t="s">
        <v>4640</v>
      </c>
      <c r="I126" s="194">
        <v>0</v>
      </c>
      <c r="J126" s="194">
        <v>30000</v>
      </c>
      <c r="K126" s="185">
        <v>1</v>
      </c>
      <c r="L126" s="183" t="s">
        <v>1948</v>
      </c>
      <c r="M126" s="183" t="s">
        <v>1784</v>
      </c>
      <c r="N126" s="183" t="s">
        <v>1784</v>
      </c>
      <c r="O126" s="570"/>
    </row>
    <row r="127" spans="1:15" s="182" customFormat="1" ht="21.75" customHeight="1" x14ac:dyDescent="0.15">
      <c r="A127" s="151" t="s">
        <v>4620</v>
      </c>
      <c r="B127" s="20" t="s">
        <v>201</v>
      </c>
      <c r="C127" s="224" t="s">
        <v>3346</v>
      </c>
      <c r="D127" s="224" t="s">
        <v>3463</v>
      </c>
      <c r="E127" s="405" t="s">
        <v>3793</v>
      </c>
      <c r="F127" s="224" t="s">
        <v>3328</v>
      </c>
      <c r="G127" s="235" t="s">
        <v>4622</v>
      </c>
      <c r="H127" s="570" t="s">
        <v>4641</v>
      </c>
      <c r="I127" s="194">
        <v>0</v>
      </c>
      <c r="J127" s="194">
        <v>30000</v>
      </c>
      <c r="K127" s="185">
        <v>1</v>
      </c>
      <c r="L127" s="183" t="s">
        <v>1948</v>
      </c>
      <c r="M127" s="183" t="s">
        <v>1784</v>
      </c>
      <c r="N127" s="183" t="s">
        <v>1784</v>
      </c>
      <c r="O127" s="570"/>
    </row>
    <row r="128" spans="1:15" s="182" customFormat="1" ht="21.75" customHeight="1" x14ac:dyDescent="0.15">
      <c r="A128" s="151" t="s">
        <v>4620</v>
      </c>
      <c r="B128" s="20" t="s">
        <v>201</v>
      </c>
      <c r="C128" s="184" t="s">
        <v>3363</v>
      </c>
      <c r="D128" s="184" t="s">
        <v>3463</v>
      </c>
      <c r="E128" s="184" t="s">
        <v>3954</v>
      </c>
      <c r="F128" s="419" t="s">
        <v>3328</v>
      </c>
      <c r="G128" s="235" t="s">
        <v>4622</v>
      </c>
      <c r="H128" s="570" t="s">
        <v>4642</v>
      </c>
      <c r="I128" s="194">
        <v>0</v>
      </c>
      <c r="J128" s="194">
        <v>30000</v>
      </c>
      <c r="K128" s="185">
        <v>1</v>
      </c>
      <c r="L128" s="183" t="s">
        <v>1948</v>
      </c>
      <c r="M128" s="183" t="s">
        <v>1784</v>
      </c>
      <c r="N128" s="183" t="s">
        <v>1784</v>
      </c>
      <c r="O128" s="570"/>
    </row>
    <row r="129" spans="1:15" s="182" customFormat="1" ht="21.75" customHeight="1" x14ac:dyDescent="0.15">
      <c r="A129" s="151" t="s">
        <v>4620</v>
      </c>
      <c r="B129" s="20" t="s">
        <v>201</v>
      </c>
      <c r="C129" s="184" t="s">
        <v>3363</v>
      </c>
      <c r="D129" s="184" t="s">
        <v>3463</v>
      </c>
      <c r="E129" s="184" t="s">
        <v>4062</v>
      </c>
      <c r="F129" s="419" t="s">
        <v>3328</v>
      </c>
      <c r="G129" s="235" t="s">
        <v>4622</v>
      </c>
      <c r="H129" s="570" t="s">
        <v>4643</v>
      </c>
      <c r="I129" s="194">
        <v>0</v>
      </c>
      <c r="J129" s="194">
        <v>30000</v>
      </c>
      <c r="K129" s="185">
        <v>1</v>
      </c>
      <c r="L129" s="183" t="s">
        <v>1948</v>
      </c>
      <c r="M129" s="183" t="s">
        <v>1784</v>
      </c>
      <c r="N129" s="183" t="s">
        <v>1784</v>
      </c>
      <c r="O129" s="570"/>
    </row>
    <row r="130" spans="1:15" s="182" customFormat="1" ht="21.75" customHeight="1" x14ac:dyDescent="0.15">
      <c r="A130" s="151" t="s">
        <v>4620</v>
      </c>
      <c r="B130" s="20" t="s">
        <v>201</v>
      </c>
      <c r="C130" s="399" t="s">
        <v>3351</v>
      </c>
      <c r="D130" s="399" t="s">
        <v>3463</v>
      </c>
      <c r="E130" s="399" t="s">
        <v>4064</v>
      </c>
      <c r="F130" s="419" t="s">
        <v>3328</v>
      </c>
      <c r="G130" s="235" t="s">
        <v>4622</v>
      </c>
      <c r="H130" s="570" t="s">
        <v>4644</v>
      </c>
      <c r="I130" s="194">
        <v>0</v>
      </c>
      <c r="J130" s="194">
        <v>30000</v>
      </c>
      <c r="K130" s="185">
        <v>1</v>
      </c>
      <c r="L130" s="183" t="s">
        <v>1948</v>
      </c>
      <c r="M130" s="183" t="s">
        <v>1784</v>
      </c>
      <c r="N130" s="183" t="s">
        <v>1784</v>
      </c>
      <c r="O130" s="570"/>
    </row>
    <row r="131" spans="1:15" s="182" customFormat="1" ht="21.75" customHeight="1" x14ac:dyDescent="0.15">
      <c r="A131" s="151" t="s">
        <v>4621</v>
      </c>
      <c r="B131" s="20" t="s">
        <v>4273</v>
      </c>
      <c r="C131" s="399" t="s">
        <v>3364</v>
      </c>
      <c r="D131" s="391" t="s">
        <v>3717</v>
      </c>
      <c r="E131" s="405" t="s">
        <v>3718</v>
      </c>
      <c r="F131" s="224" t="s">
        <v>3328</v>
      </c>
      <c r="G131" s="235" t="s">
        <v>3353</v>
      </c>
      <c r="H131" s="541" t="s">
        <v>4645</v>
      </c>
      <c r="I131" s="194">
        <v>0</v>
      </c>
      <c r="J131" s="194">
        <v>55000</v>
      </c>
      <c r="K131" s="185">
        <v>1</v>
      </c>
      <c r="L131" s="183" t="s">
        <v>1948</v>
      </c>
      <c r="M131" s="183" t="s">
        <v>1784</v>
      </c>
      <c r="N131" s="183" t="s">
        <v>1784</v>
      </c>
      <c r="O131" s="541"/>
    </row>
    <row r="132" spans="1:15" s="182" customFormat="1" ht="21.75" customHeight="1" x14ac:dyDescent="0.15">
      <c r="A132" s="151" t="s">
        <v>4646</v>
      </c>
      <c r="B132" s="20" t="s">
        <v>167</v>
      </c>
      <c r="C132" s="184" t="s">
        <v>3346</v>
      </c>
      <c r="D132" s="184" t="s">
        <v>3637</v>
      </c>
      <c r="E132" s="184" t="s">
        <v>596</v>
      </c>
      <c r="F132" s="419" t="s">
        <v>3328</v>
      </c>
      <c r="G132" s="235" t="s">
        <v>3381</v>
      </c>
      <c r="H132" s="541">
        <v>20043</v>
      </c>
      <c r="I132" s="194">
        <v>0</v>
      </c>
      <c r="J132" s="194">
        <v>20000</v>
      </c>
      <c r="K132" s="185">
        <v>0.25</v>
      </c>
      <c r="L132" s="183" t="s">
        <v>285</v>
      </c>
      <c r="M132" s="183" t="s">
        <v>1880</v>
      </c>
      <c r="N132" s="183" t="s">
        <v>1880</v>
      </c>
      <c r="O132" s="541"/>
    </row>
    <row r="133" spans="1:15" s="182" customFormat="1" ht="21.75" customHeight="1" x14ac:dyDescent="0.15">
      <c r="A133" s="151" t="s">
        <v>4646</v>
      </c>
      <c r="B133" s="20" t="s">
        <v>360</v>
      </c>
      <c r="C133" s="184" t="s">
        <v>3346</v>
      </c>
      <c r="D133" s="184" t="s">
        <v>3637</v>
      </c>
      <c r="E133" s="184" t="s">
        <v>596</v>
      </c>
      <c r="F133" s="419" t="s">
        <v>3328</v>
      </c>
      <c r="G133" s="235" t="s">
        <v>3381</v>
      </c>
      <c r="H133" s="541">
        <v>20043</v>
      </c>
      <c r="I133" s="194">
        <v>0</v>
      </c>
      <c r="J133" s="194">
        <v>20000</v>
      </c>
      <c r="K133" s="185">
        <v>0.25</v>
      </c>
      <c r="L133" s="183" t="s">
        <v>285</v>
      </c>
      <c r="M133" s="183" t="s">
        <v>1880</v>
      </c>
      <c r="N133" s="183" t="s">
        <v>1880</v>
      </c>
      <c r="O133" s="541"/>
    </row>
    <row r="134" spans="1:15" s="182" customFormat="1" ht="21.75" customHeight="1" x14ac:dyDescent="0.15">
      <c r="A134" s="151" t="s">
        <v>4646</v>
      </c>
      <c r="B134" s="20" t="s">
        <v>4042</v>
      </c>
      <c r="C134" s="399" t="s">
        <v>3363</v>
      </c>
      <c r="D134" s="399" t="s">
        <v>3354</v>
      </c>
      <c r="E134" s="399" t="s">
        <v>4049</v>
      </c>
      <c r="F134" s="184" t="s">
        <v>3328</v>
      </c>
      <c r="G134" s="235" t="s">
        <v>4375</v>
      </c>
      <c r="H134" s="541">
        <v>20027</v>
      </c>
      <c r="I134" s="194">
        <v>0</v>
      </c>
      <c r="J134" s="194">
        <v>22000</v>
      </c>
      <c r="K134" s="185" t="s">
        <v>4546</v>
      </c>
      <c r="L134" s="183" t="s">
        <v>1948</v>
      </c>
      <c r="M134" s="183" t="s">
        <v>2660</v>
      </c>
      <c r="N134" s="183" t="s">
        <v>2660</v>
      </c>
      <c r="O134" s="541"/>
    </row>
    <row r="135" spans="1:15" s="182" customFormat="1" ht="21.75" customHeight="1" x14ac:dyDescent="0.15">
      <c r="A135" s="151" t="s">
        <v>4647</v>
      </c>
      <c r="B135" s="20" t="s">
        <v>331</v>
      </c>
      <c r="C135" s="571" t="s">
        <v>4648</v>
      </c>
      <c r="D135" s="571" t="s">
        <v>4649</v>
      </c>
      <c r="E135" s="184" t="s">
        <v>4650</v>
      </c>
      <c r="F135" s="394" t="s">
        <v>3355</v>
      </c>
      <c r="G135" s="423" t="s">
        <v>3580</v>
      </c>
      <c r="H135" s="541">
        <v>17089</v>
      </c>
      <c r="I135" s="194">
        <v>0</v>
      </c>
      <c r="J135" s="194">
        <v>6890</v>
      </c>
      <c r="K135" s="185">
        <v>0.1</v>
      </c>
      <c r="L135" s="183" t="s">
        <v>1143</v>
      </c>
      <c r="M135" s="183" t="s">
        <v>162</v>
      </c>
      <c r="N135" s="183" t="s">
        <v>1784</v>
      </c>
      <c r="O135" s="541"/>
    </row>
    <row r="136" spans="1:15" s="182" customFormat="1" ht="21.75" customHeight="1" x14ac:dyDescent="0.15">
      <c r="A136" s="151" t="s">
        <v>4647</v>
      </c>
      <c r="B136" s="20" t="s">
        <v>3555</v>
      </c>
      <c r="C136" s="399" t="s">
        <v>3346</v>
      </c>
      <c r="D136" s="399" t="s">
        <v>3354</v>
      </c>
      <c r="E136" s="399" t="s">
        <v>844</v>
      </c>
      <c r="F136" s="184" t="s">
        <v>3355</v>
      </c>
      <c r="G136" s="235" t="s">
        <v>3775</v>
      </c>
      <c r="H136" s="541">
        <v>19034</v>
      </c>
      <c r="I136" s="194">
        <v>0</v>
      </c>
      <c r="J136" s="194">
        <v>23345.8</v>
      </c>
      <c r="K136" s="185">
        <v>0.1</v>
      </c>
      <c r="L136" s="183" t="s">
        <v>1143</v>
      </c>
      <c r="M136" s="183" t="s">
        <v>162</v>
      </c>
      <c r="N136" s="183" t="s">
        <v>1784</v>
      </c>
      <c r="O136" s="541"/>
    </row>
    <row r="137" spans="1:15" s="182" customFormat="1" ht="21.75" customHeight="1" x14ac:dyDescent="0.15">
      <c r="A137" s="151" t="s">
        <v>4647</v>
      </c>
      <c r="B137" s="20" t="s">
        <v>3555</v>
      </c>
      <c r="C137" s="391" t="s">
        <v>3371</v>
      </c>
      <c r="D137" s="399" t="s">
        <v>3374</v>
      </c>
      <c r="E137" s="391" t="s">
        <v>1</v>
      </c>
      <c r="F137" s="442" t="s">
        <v>3355</v>
      </c>
      <c r="G137" s="235" t="s">
        <v>3356</v>
      </c>
      <c r="H137" s="413">
        <v>17133</v>
      </c>
      <c r="I137" s="194">
        <v>0</v>
      </c>
      <c r="J137" s="194">
        <v>2895.04</v>
      </c>
      <c r="K137" s="185">
        <v>0.1</v>
      </c>
      <c r="L137" s="183" t="s">
        <v>1143</v>
      </c>
      <c r="M137" s="183" t="s">
        <v>162</v>
      </c>
      <c r="N137" s="183" t="s">
        <v>1784</v>
      </c>
      <c r="O137" s="541"/>
    </row>
    <row r="138" spans="1:15" s="182" customFormat="1" ht="21.75" customHeight="1" x14ac:dyDescent="0.15">
      <c r="A138" s="151" t="s">
        <v>4647</v>
      </c>
      <c r="B138" s="20" t="s">
        <v>3556</v>
      </c>
      <c r="C138" s="571" t="s">
        <v>4648</v>
      </c>
      <c r="D138" s="571" t="s">
        <v>4649</v>
      </c>
      <c r="E138" s="184" t="s">
        <v>4651</v>
      </c>
      <c r="F138" s="394" t="s">
        <v>3355</v>
      </c>
      <c r="G138" s="423" t="s">
        <v>3580</v>
      </c>
      <c r="H138" s="178">
        <v>17090</v>
      </c>
      <c r="I138" s="194">
        <v>0</v>
      </c>
      <c r="J138" s="194">
        <v>8895</v>
      </c>
      <c r="K138" s="185">
        <v>0.1</v>
      </c>
      <c r="L138" s="183" t="s">
        <v>1143</v>
      </c>
      <c r="M138" s="183" t="s">
        <v>162</v>
      </c>
      <c r="N138" s="183" t="s">
        <v>1784</v>
      </c>
      <c r="O138" s="541"/>
    </row>
    <row r="139" spans="1:15" s="182" customFormat="1" ht="21.75" customHeight="1" x14ac:dyDescent="0.15">
      <c r="A139" s="151" t="s">
        <v>4647</v>
      </c>
      <c r="B139" s="20" t="s">
        <v>3555</v>
      </c>
      <c r="C139" s="571" t="s">
        <v>4648</v>
      </c>
      <c r="D139" s="571" t="s">
        <v>4649</v>
      </c>
      <c r="E139" s="184" t="s">
        <v>4652</v>
      </c>
      <c r="F139" s="394" t="s">
        <v>3355</v>
      </c>
      <c r="G139" s="423" t="s">
        <v>3580</v>
      </c>
      <c r="H139" s="541">
        <v>17091</v>
      </c>
      <c r="I139" s="194">
        <v>0</v>
      </c>
      <c r="J139" s="194">
        <v>8895</v>
      </c>
      <c r="K139" s="185">
        <v>0.1</v>
      </c>
      <c r="L139" s="183" t="s">
        <v>1143</v>
      </c>
      <c r="M139" s="183" t="s">
        <v>162</v>
      </c>
      <c r="N139" s="183" t="s">
        <v>1784</v>
      </c>
      <c r="O139" s="541"/>
    </row>
    <row r="140" spans="1:15" s="182" customFormat="1" ht="21.75" customHeight="1" x14ac:dyDescent="0.15">
      <c r="A140" s="151" t="s">
        <v>4647</v>
      </c>
      <c r="B140" s="20" t="s">
        <v>4533</v>
      </c>
      <c r="C140" s="399" t="s">
        <v>3363</v>
      </c>
      <c r="D140" s="399" t="s">
        <v>3354</v>
      </c>
      <c r="E140" s="399" t="s">
        <v>4454</v>
      </c>
      <c r="F140" s="184" t="s">
        <v>3328</v>
      </c>
      <c r="G140" s="235" t="s">
        <v>4375</v>
      </c>
      <c r="H140" s="541">
        <v>20025</v>
      </c>
      <c r="I140" s="194">
        <v>0</v>
      </c>
      <c r="J140" s="194">
        <v>32000</v>
      </c>
      <c r="K140" s="185" t="s">
        <v>4653</v>
      </c>
      <c r="L140" s="183" t="s">
        <v>1948</v>
      </c>
      <c r="M140" s="183" t="s">
        <v>2660</v>
      </c>
      <c r="N140" s="183" t="s">
        <v>2660</v>
      </c>
      <c r="O140" s="541"/>
    </row>
    <row r="141" spans="1:15" s="182" customFormat="1" ht="21.75" customHeight="1" x14ac:dyDescent="0.15">
      <c r="A141" s="151" t="s">
        <v>4654</v>
      </c>
      <c r="B141" s="20" t="s">
        <v>2074</v>
      </c>
      <c r="C141" s="571" t="s">
        <v>4655</v>
      </c>
      <c r="D141" s="571" t="s">
        <v>4656</v>
      </c>
      <c r="E141" s="184" t="s">
        <v>4657</v>
      </c>
      <c r="F141" s="394" t="s">
        <v>3355</v>
      </c>
      <c r="G141" s="423" t="s">
        <v>3580</v>
      </c>
      <c r="H141" s="541">
        <v>17086</v>
      </c>
      <c r="I141" s="194">
        <v>0</v>
      </c>
      <c r="J141" s="194">
        <v>5650</v>
      </c>
      <c r="K141" s="185">
        <v>0.1</v>
      </c>
      <c r="L141" s="183" t="s">
        <v>1143</v>
      </c>
      <c r="M141" s="183" t="s">
        <v>162</v>
      </c>
      <c r="N141" s="183" t="s">
        <v>1784</v>
      </c>
      <c r="O141" s="541"/>
    </row>
    <row r="142" spans="1:15" s="182" customFormat="1" ht="21.75" customHeight="1" x14ac:dyDescent="0.15">
      <c r="A142" s="151" t="s">
        <v>4658</v>
      </c>
      <c r="B142" s="20" t="s">
        <v>4136</v>
      </c>
      <c r="C142" s="391" t="s">
        <v>3346</v>
      </c>
      <c r="D142" s="391" t="s">
        <v>3354</v>
      </c>
      <c r="E142" s="391" t="s">
        <v>3565</v>
      </c>
      <c r="F142" s="442" t="s">
        <v>4137</v>
      </c>
      <c r="G142" s="460" t="s">
        <v>4138</v>
      </c>
      <c r="H142" s="541" t="s">
        <v>4659</v>
      </c>
      <c r="I142" s="194">
        <v>0</v>
      </c>
      <c r="J142" s="194">
        <v>42369.42</v>
      </c>
      <c r="K142" s="185" t="s">
        <v>4660</v>
      </c>
      <c r="L142" s="183" t="s">
        <v>3469</v>
      </c>
      <c r="M142" s="183" t="s">
        <v>1784</v>
      </c>
      <c r="N142" s="183" t="s">
        <v>1784</v>
      </c>
      <c r="O142" s="541"/>
    </row>
    <row r="143" spans="1:15" s="182" customFormat="1" ht="21.75" customHeight="1" x14ac:dyDescent="0.15">
      <c r="A143" s="151" t="s">
        <v>4658</v>
      </c>
      <c r="B143" s="20" t="s">
        <v>4136</v>
      </c>
      <c r="C143" s="391" t="s">
        <v>3346</v>
      </c>
      <c r="D143" s="391" t="s">
        <v>3354</v>
      </c>
      <c r="E143" s="392" t="s">
        <v>3675</v>
      </c>
      <c r="F143" s="442" t="s">
        <v>4137</v>
      </c>
      <c r="G143" s="460" t="s">
        <v>4138</v>
      </c>
      <c r="H143" s="572" t="s">
        <v>4135</v>
      </c>
      <c r="I143" s="194">
        <v>0</v>
      </c>
      <c r="J143" s="194">
        <v>26285</v>
      </c>
      <c r="K143" s="185">
        <v>0.1</v>
      </c>
      <c r="L143" s="183" t="s">
        <v>1143</v>
      </c>
      <c r="M143" s="183" t="s">
        <v>1784</v>
      </c>
      <c r="N143" s="183" t="s">
        <v>1784</v>
      </c>
      <c r="O143" s="572"/>
    </row>
    <row r="144" spans="1:15" s="182" customFormat="1" ht="21.75" customHeight="1" x14ac:dyDescent="0.15">
      <c r="A144" s="151" t="s">
        <v>4661</v>
      </c>
      <c r="B144" s="20" t="s">
        <v>4495</v>
      </c>
      <c r="C144" s="574" t="s">
        <v>4663</v>
      </c>
      <c r="D144" s="574" t="s">
        <v>4664</v>
      </c>
      <c r="E144" s="574" t="s">
        <v>4665</v>
      </c>
      <c r="F144" s="575" t="s">
        <v>4666</v>
      </c>
      <c r="G144" s="576" t="s">
        <v>4667</v>
      </c>
      <c r="H144" s="541">
        <v>20028</v>
      </c>
      <c r="I144" s="194">
        <v>0</v>
      </c>
      <c r="J144" s="194">
        <v>14000</v>
      </c>
      <c r="K144" s="185" t="s">
        <v>4668</v>
      </c>
      <c r="L144" s="183" t="s">
        <v>1948</v>
      </c>
      <c r="M144" s="183" t="s">
        <v>2660</v>
      </c>
      <c r="N144" s="183" t="s">
        <v>2660</v>
      </c>
      <c r="O144" s="541"/>
    </row>
    <row r="145" spans="1:15" s="182" customFormat="1" ht="21.75" customHeight="1" x14ac:dyDescent="0.15">
      <c r="A145" s="151" t="s">
        <v>4662</v>
      </c>
      <c r="B145" s="20" t="s">
        <v>3751</v>
      </c>
      <c r="C145" s="573" t="s">
        <v>3346</v>
      </c>
      <c r="D145" s="573" t="s">
        <v>3851</v>
      </c>
      <c r="E145" s="573" t="s">
        <v>3852</v>
      </c>
      <c r="F145" s="577" t="s">
        <v>3355</v>
      </c>
      <c r="G145" s="578" t="s">
        <v>3356</v>
      </c>
      <c r="H145" s="541">
        <v>19124</v>
      </c>
      <c r="I145" s="194">
        <v>0</v>
      </c>
      <c r="J145" s="194">
        <v>70500</v>
      </c>
      <c r="K145" s="185">
        <v>0.3</v>
      </c>
      <c r="L145" s="183" t="s">
        <v>1147</v>
      </c>
      <c r="M145" s="183" t="s">
        <v>1880</v>
      </c>
      <c r="N145" s="183" t="s">
        <v>1880</v>
      </c>
      <c r="O145" s="541"/>
    </row>
    <row r="146" spans="1:15" s="182" customFormat="1" ht="21.75" customHeight="1" x14ac:dyDescent="0.15">
      <c r="A146" s="151" t="s">
        <v>4669</v>
      </c>
      <c r="B146" s="20" t="s">
        <v>359</v>
      </c>
      <c r="C146" s="579" t="s">
        <v>3346</v>
      </c>
      <c r="D146" s="579" t="s">
        <v>3354</v>
      </c>
      <c r="E146" s="579" t="s">
        <v>3675</v>
      </c>
      <c r="F146" s="579" t="s">
        <v>3355</v>
      </c>
      <c r="G146" s="578" t="s">
        <v>3775</v>
      </c>
      <c r="H146" s="541" t="s">
        <v>3939</v>
      </c>
      <c r="I146" s="194">
        <v>0</v>
      </c>
      <c r="J146" s="194">
        <v>7643.07</v>
      </c>
      <c r="K146" s="185">
        <v>0.03</v>
      </c>
      <c r="L146" s="183" t="s">
        <v>1143</v>
      </c>
      <c r="M146" s="183" t="s">
        <v>1784</v>
      </c>
      <c r="N146" s="183" t="s">
        <v>1784</v>
      </c>
      <c r="O146" s="226"/>
    </row>
    <row r="147" spans="1:15" s="182" customFormat="1" ht="21.75" customHeight="1" x14ac:dyDescent="0.15">
      <c r="A147" s="151" t="s">
        <v>4669</v>
      </c>
      <c r="B147" s="20" t="s">
        <v>359</v>
      </c>
      <c r="C147" s="579" t="s">
        <v>3346</v>
      </c>
      <c r="D147" s="579" t="s">
        <v>3354</v>
      </c>
      <c r="E147" s="579" t="s">
        <v>3675</v>
      </c>
      <c r="F147" s="579" t="s">
        <v>3355</v>
      </c>
      <c r="G147" s="578" t="s">
        <v>3941</v>
      </c>
      <c r="H147" s="580" t="s">
        <v>3940</v>
      </c>
      <c r="I147" s="194">
        <v>0</v>
      </c>
      <c r="J147" s="194">
        <v>828.93</v>
      </c>
      <c r="K147" s="185">
        <v>0.03</v>
      </c>
      <c r="L147" s="183" t="s">
        <v>1143</v>
      </c>
      <c r="M147" s="183" t="s">
        <v>1784</v>
      </c>
      <c r="N147" s="183" t="s">
        <v>1784</v>
      </c>
      <c r="O147" s="226"/>
    </row>
    <row r="148" spans="1:15" s="182" customFormat="1" ht="21.75" customHeight="1" x14ac:dyDescent="0.15">
      <c r="A148" s="151" t="s">
        <v>4670</v>
      </c>
      <c r="B148" s="20" t="s">
        <v>4105</v>
      </c>
      <c r="C148" s="579" t="s">
        <v>3351</v>
      </c>
      <c r="D148" s="579" t="s">
        <v>3326</v>
      </c>
      <c r="E148" s="579" t="s">
        <v>4106</v>
      </c>
      <c r="F148" s="292" t="s">
        <v>3328</v>
      </c>
      <c r="G148" s="578" t="s">
        <v>3349</v>
      </c>
      <c r="H148" s="541">
        <v>20036</v>
      </c>
      <c r="I148" s="194">
        <v>0</v>
      </c>
      <c r="J148" s="194">
        <v>100000</v>
      </c>
      <c r="K148" s="185">
        <v>1</v>
      </c>
      <c r="L148" s="183" t="s">
        <v>285</v>
      </c>
      <c r="M148" s="183" t="s">
        <v>2712</v>
      </c>
      <c r="N148" s="183" t="s">
        <v>158</v>
      </c>
      <c r="O148" s="541"/>
    </row>
    <row r="149" spans="1:15" s="182" customFormat="1" ht="21.75" customHeight="1" x14ac:dyDescent="0.15">
      <c r="A149" s="151" t="s">
        <v>4670</v>
      </c>
      <c r="B149" s="20" t="s">
        <v>4450</v>
      </c>
      <c r="C149" s="579" t="s">
        <v>3346</v>
      </c>
      <c r="D149" s="579" t="s">
        <v>3326</v>
      </c>
      <c r="E149" s="579" t="s">
        <v>4452</v>
      </c>
      <c r="F149" s="579" t="s">
        <v>3579</v>
      </c>
      <c r="G149" s="578" t="s">
        <v>3623</v>
      </c>
      <c r="H149" s="541">
        <v>20131</v>
      </c>
      <c r="I149" s="194">
        <v>0</v>
      </c>
      <c r="J149" s="194">
        <v>48000</v>
      </c>
      <c r="K149" s="185">
        <v>0.6</v>
      </c>
      <c r="L149" s="183" t="s">
        <v>1147</v>
      </c>
      <c r="M149" s="183" t="s">
        <v>1880</v>
      </c>
      <c r="N149" s="183" t="s">
        <v>1880</v>
      </c>
      <c r="O149" s="226"/>
    </row>
    <row r="150" spans="1:15" s="182" customFormat="1" ht="21.75" customHeight="1" x14ac:dyDescent="0.15">
      <c r="A150" s="151" t="s">
        <v>4671</v>
      </c>
      <c r="B150" s="20" t="s">
        <v>254</v>
      </c>
      <c r="C150" s="581" t="s">
        <v>4672</v>
      </c>
      <c r="D150" s="581" t="s">
        <v>4673</v>
      </c>
      <c r="E150" s="579" t="s">
        <v>4674</v>
      </c>
      <c r="F150" s="180" t="s">
        <v>3355</v>
      </c>
      <c r="G150" s="26" t="s">
        <v>3580</v>
      </c>
      <c r="H150" s="541">
        <v>17087</v>
      </c>
      <c r="I150" s="194">
        <v>0</v>
      </c>
      <c r="J150" s="194">
        <v>465</v>
      </c>
      <c r="K150" s="185" t="s">
        <v>4675</v>
      </c>
      <c r="L150" s="183" t="s">
        <v>3734</v>
      </c>
      <c r="M150" s="183" t="s">
        <v>162</v>
      </c>
      <c r="N150" s="183" t="s">
        <v>1784</v>
      </c>
      <c r="O150" s="541"/>
    </row>
    <row r="151" spans="1:15" s="182" customFormat="1" ht="21.75" customHeight="1" x14ac:dyDescent="0.15">
      <c r="A151" s="151" t="s">
        <v>4676</v>
      </c>
      <c r="B151" s="226" t="s">
        <v>4677</v>
      </c>
      <c r="C151" s="577" t="s">
        <v>3363</v>
      </c>
      <c r="D151" s="577" t="s">
        <v>3457</v>
      </c>
      <c r="E151" s="577" t="s">
        <v>3458</v>
      </c>
      <c r="F151" s="207" t="s">
        <v>3328</v>
      </c>
      <c r="G151" s="578" t="s">
        <v>3349</v>
      </c>
      <c r="H151" s="541">
        <v>21043</v>
      </c>
      <c r="I151" s="194">
        <v>0</v>
      </c>
      <c r="J151" s="194">
        <v>50000</v>
      </c>
      <c r="K151" s="185">
        <v>0.5</v>
      </c>
      <c r="L151" s="183" t="s">
        <v>285</v>
      </c>
      <c r="M151" s="183" t="s">
        <v>2660</v>
      </c>
      <c r="N151" s="183" t="s">
        <v>2660</v>
      </c>
      <c r="O151" s="541"/>
    </row>
    <row r="152" spans="1:15" s="182" customFormat="1" ht="21.75" customHeight="1" x14ac:dyDescent="0.15">
      <c r="A152" s="151" t="s">
        <v>4676</v>
      </c>
      <c r="B152" s="226" t="s">
        <v>4678</v>
      </c>
      <c r="C152" s="236" t="s">
        <v>3337</v>
      </c>
      <c r="D152" s="582" t="s">
        <v>3702</v>
      </c>
      <c r="E152" s="236" t="s">
        <v>4679</v>
      </c>
      <c r="F152" s="579" t="s">
        <v>3328</v>
      </c>
      <c r="G152" s="578" t="s">
        <v>4462</v>
      </c>
      <c r="H152" s="541">
        <v>20063</v>
      </c>
      <c r="I152" s="194">
        <v>0</v>
      </c>
      <c r="J152" s="194">
        <v>44550</v>
      </c>
      <c r="K152" s="185">
        <v>0.9</v>
      </c>
      <c r="L152" s="183" t="s">
        <v>1147</v>
      </c>
      <c r="M152" s="183" t="s">
        <v>190</v>
      </c>
      <c r="N152" s="183" t="s">
        <v>190</v>
      </c>
      <c r="O152" s="541"/>
    </row>
    <row r="153" spans="1:15" s="182" customFormat="1" ht="21.75" customHeight="1" x14ac:dyDescent="0.15">
      <c r="A153" s="151" t="s">
        <v>4676</v>
      </c>
      <c r="B153" s="226" t="s">
        <v>4678</v>
      </c>
      <c r="C153" s="236" t="s">
        <v>3337</v>
      </c>
      <c r="D153" s="582" t="s">
        <v>3702</v>
      </c>
      <c r="E153" s="236" t="s">
        <v>4679</v>
      </c>
      <c r="F153" s="579" t="s">
        <v>3328</v>
      </c>
      <c r="G153" s="578" t="s">
        <v>3349</v>
      </c>
      <c r="H153" s="541">
        <v>20064</v>
      </c>
      <c r="I153" s="194">
        <v>0</v>
      </c>
      <c r="J153" s="194">
        <v>70000</v>
      </c>
      <c r="K153" s="185">
        <v>1</v>
      </c>
      <c r="L153" s="183" t="s">
        <v>285</v>
      </c>
      <c r="M153" s="183" t="s">
        <v>190</v>
      </c>
      <c r="N153" s="183" t="s">
        <v>190</v>
      </c>
      <c r="O153" s="541"/>
    </row>
    <row r="154" spans="1:15" s="182" customFormat="1" ht="21.75" customHeight="1" x14ac:dyDescent="0.15">
      <c r="A154" s="151" t="s">
        <v>4680</v>
      </c>
      <c r="B154" s="226" t="s">
        <v>4681</v>
      </c>
      <c r="C154" s="579" t="s">
        <v>3376</v>
      </c>
      <c r="D154" s="579" t="s">
        <v>3457</v>
      </c>
      <c r="E154" s="579" t="s">
        <v>4682</v>
      </c>
      <c r="F154" s="292" t="s">
        <v>3328</v>
      </c>
      <c r="G154" s="578" t="s">
        <v>4683</v>
      </c>
      <c r="H154" s="541">
        <v>21038</v>
      </c>
      <c r="I154" s="194">
        <v>0</v>
      </c>
      <c r="J154" s="194">
        <v>30000</v>
      </c>
      <c r="K154" s="185">
        <v>1</v>
      </c>
      <c r="L154" s="183" t="s">
        <v>1948</v>
      </c>
      <c r="M154" s="183" t="s">
        <v>170</v>
      </c>
      <c r="N154" s="183" t="s">
        <v>170</v>
      </c>
      <c r="O154" s="541"/>
    </row>
    <row r="155" spans="1:15" s="182" customFormat="1" ht="21.75" customHeight="1" x14ac:dyDescent="0.15">
      <c r="A155" s="151" t="s">
        <v>4684</v>
      </c>
      <c r="B155" s="226" t="s">
        <v>4685</v>
      </c>
      <c r="C155" s="577" t="s">
        <v>3371</v>
      </c>
      <c r="D155" s="577" t="s">
        <v>3374</v>
      </c>
      <c r="E155" s="30" t="s">
        <v>62</v>
      </c>
      <c r="F155" s="579" t="s">
        <v>3328</v>
      </c>
      <c r="G155" s="578" t="s">
        <v>3386</v>
      </c>
      <c r="H155" s="541">
        <v>20172</v>
      </c>
      <c r="I155" s="194">
        <v>0</v>
      </c>
      <c r="J155" s="194">
        <v>20000</v>
      </c>
      <c r="K155" s="185">
        <v>1</v>
      </c>
      <c r="L155" s="183" t="s">
        <v>1948</v>
      </c>
      <c r="M155" s="183" t="s">
        <v>1784</v>
      </c>
      <c r="N155" s="183" t="s">
        <v>1784</v>
      </c>
      <c r="O155" s="541"/>
    </row>
    <row r="156" spans="1:15" s="182" customFormat="1" ht="21.75" customHeight="1" x14ac:dyDescent="0.15">
      <c r="A156" s="151" t="s">
        <v>4684</v>
      </c>
      <c r="B156" s="226" t="s">
        <v>4685</v>
      </c>
      <c r="C156" s="583" t="s">
        <v>3346</v>
      </c>
      <c r="D156" s="236" t="s">
        <v>3354</v>
      </c>
      <c r="E156" s="30" t="s">
        <v>3565</v>
      </c>
      <c r="F156" s="579" t="s">
        <v>3355</v>
      </c>
      <c r="G156" s="578" t="s">
        <v>3775</v>
      </c>
      <c r="H156" s="178" t="s">
        <v>4686</v>
      </c>
      <c r="I156" s="194">
        <v>0</v>
      </c>
      <c r="J156" s="194">
        <v>8093.07</v>
      </c>
      <c r="K156" s="185">
        <v>0.03</v>
      </c>
      <c r="L156" s="183" t="s">
        <v>1143</v>
      </c>
      <c r="M156" s="183" t="s">
        <v>1784</v>
      </c>
      <c r="N156" s="183" t="s">
        <v>1784</v>
      </c>
      <c r="O156" s="541"/>
    </row>
    <row r="157" spans="1:15" s="182" customFormat="1" ht="21.75" customHeight="1" x14ac:dyDescent="0.15">
      <c r="A157" s="151" t="s">
        <v>4684</v>
      </c>
      <c r="B157" s="226" t="s">
        <v>4685</v>
      </c>
      <c r="C157" s="583" t="s">
        <v>3346</v>
      </c>
      <c r="D157" s="236" t="s">
        <v>3354</v>
      </c>
      <c r="E157" s="30" t="s">
        <v>3565</v>
      </c>
      <c r="F157" s="579" t="s">
        <v>3355</v>
      </c>
      <c r="G157" s="578" t="s">
        <v>3909</v>
      </c>
      <c r="H157" s="178" t="s">
        <v>4687</v>
      </c>
      <c r="I157" s="194">
        <v>0</v>
      </c>
      <c r="J157" s="194">
        <v>384.43</v>
      </c>
      <c r="K157" s="185">
        <v>0.03</v>
      </c>
      <c r="L157" s="183" t="s">
        <v>1143</v>
      </c>
      <c r="M157" s="183" t="s">
        <v>1784</v>
      </c>
      <c r="N157" s="183" t="s">
        <v>1784</v>
      </c>
      <c r="O157" s="583"/>
    </row>
    <row r="158" spans="1:15" s="182" customFormat="1" ht="21.75" customHeight="1" x14ac:dyDescent="0.15">
      <c r="A158" s="151" t="s">
        <v>4684</v>
      </c>
      <c r="B158" s="226" t="s">
        <v>545</v>
      </c>
      <c r="C158" s="581" t="s">
        <v>3346</v>
      </c>
      <c r="D158" s="581" t="s">
        <v>3354</v>
      </c>
      <c r="E158" s="579" t="s">
        <v>4674</v>
      </c>
      <c r="F158" s="180" t="s">
        <v>3355</v>
      </c>
      <c r="G158" s="26" t="s">
        <v>3580</v>
      </c>
      <c r="H158" s="583">
        <v>17087</v>
      </c>
      <c r="I158" s="194">
        <v>0</v>
      </c>
      <c r="J158" s="194">
        <v>15320</v>
      </c>
      <c r="K158" s="185" t="s">
        <v>4688</v>
      </c>
      <c r="L158" s="183" t="s">
        <v>1143</v>
      </c>
      <c r="M158" s="183" t="s">
        <v>162</v>
      </c>
      <c r="N158" s="183" t="s">
        <v>1784</v>
      </c>
      <c r="O158" s="541"/>
    </row>
    <row r="159" spans="1:15" s="182" customFormat="1" ht="21.75" customHeight="1" x14ac:dyDescent="0.15">
      <c r="A159" s="151" t="s">
        <v>4689</v>
      </c>
      <c r="B159" s="226" t="s">
        <v>4690</v>
      </c>
      <c r="C159" s="236" t="s">
        <v>3346</v>
      </c>
      <c r="D159" s="236" t="s">
        <v>3481</v>
      </c>
      <c r="E159" s="236" t="s">
        <v>4692</v>
      </c>
      <c r="F159" s="577" t="s">
        <v>3937</v>
      </c>
      <c r="G159" s="578" t="s">
        <v>4693</v>
      </c>
      <c r="H159" s="541">
        <v>19169</v>
      </c>
      <c r="I159" s="194">
        <v>0</v>
      </c>
      <c r="J159" s="194">
        <v>494117.1</v>
      </c>
      <c r="K159" s="185">
        <v>0.9</v>
      </c>
      <c r="L159" s="183" t="s">
        <v>4694</v>
      </c>
      <c r="M159" s="183" t="s">
        <v>3434</v>
      </c>
      <c r="N159" s="183" t="s">
        <v>3434</v>
      </c>
      <c r="O159" s="541"/>
    </row>
    <row r="160" spans="1:15" s="182" customFormat="1" ht="21.75" customHeight="1" x14ac:dyDescent="0.15">
      <c r="A160" s="151" t="s">
        <v>4689</v>
      </c>
      <c r="B160" s="226" t="s">
        <v>4691</v>
      </c>
      <c r="C160" s="584" t="s">
        <v>3351</v>
      </c>
      <c r="D160" s="584" t="s">
        <v>3326</v>
      </c>
      <c r="E160" s="584" t="s">
        <v>4695</v>
      </c>
      <c r="F160" s="579" t="s">
        <v>3328</v>
      </c>
      <c r="G160" s="578" t="s">
        <v>4696</v>
      </c>
      <c r="H160" s="541">
        <v>20106</v>
      </c>
      <c r="I160" s="194">
        <v>0</v>
      </c>
      <c r="J160" s="194">
        <v>155340</v>
      </c>
      <c r="K160" s="185">
        <v>0.6</v>
      </c>
      <c r="L160" s="183" t="s">
        <v>4697</v>
      </c>
      <c r="M160" s="183" t="s">
        <v>4698</v>
      </c>
      <c r="N160" s="183" t="s">
        <v>4699</v>
      </c>
      <c r="O160" s="541"/>
    </row>
    <row r="161" spans="1:15" s="182" customFormat="1" ht="21.75" customHeight="1" x14ac:dyDescent="0.15">
      <c r="A161" s="151" t="s">
        <v>4700</v>
      </c>
      <c r="B161" s="226" t="s">
        <v>4685</v>
      </c>
      <c r="C161" s="585" t="s">
        <v>3346</v>
      </c>
      <c r="D161" s="585" t="s">
        <v>3354</v>
      </c>
      <c r="E161" s="585" t="s">
        <v>3565</v>
      </c>
      <c r="F161" s="579" t="s">
        <v>3328</v>
      </c>
      <c r="G161" s="578" t="s">
        <v>3566</v>
      </c>
      <c r="H161" s="541">
        <v>19009</v>
      </c>
      <c r="I161" s="194">
        <v>0</v>
      </c>
      <c r="J161" s="194">
        <v>30000</v>
      </c>
      <c r="K161" s="185" t="s">
        <v>4705</v>
      </c>
      <c r="L161" s="183" t="s">
        <v>4706</v>
      </c>
      <c r="M161" s="183" t="s">
        <v>3726</v>
      </c>
      <c r="N161" s="183" t="s">
        <v>3726</v>
      </c>
      <c r="O161" s="541"/>
    </row>
    <row r="162" spans="1:15" s="182" customFormat="1" ht="21.75" customHeight="1" x14ac:dyDescent="0.15">
      <c r="A162" s="151" t="s">
        <v>4700</v>
      </c>
      <c r="B162" s="226" t="s">
        <v>4701</v>
      </c>
      <c r="C162" s="585" t="s">
        <v>3376</v>
      </c>
      <c r="D162" s="585" t="s">
        <v>3682</v>
      </c>
      <c r="E162" s="579" t="s">
        <v>4243</v>
      </c>
      <c r="F162" s="292" t="s">
        <v>3328</v>
      </c>
      <c r="G162" s="578" t="s">
        <v>4683</v>
      </c>
      <c r="H162" s="541">
        <v>21052</v>
      </c>
      <c r="I162" s="194">
        <v>0</v>
      </c>
      <c r="J162" s="194">
        <v>30000</v>
      </c>
      <c r="K162" s="185">
        <v>1</v>
      </c>
      <c r="L162" s="183" t="s">
        <v>4707</v>
      </c>
      <c r="M162" s="183" t="s">
        <v>4708</v>
      </c>
      <c r="N162" s="183" t="s">
        <v>4708</v>
      </c>
      <c r="O162" s="541"/>
    </row>
    <row r="163" spans="1:15" s="182" customFormat="1" ht="21.75" customHeight="1" x14ac:dyDescent="0.15">
      <c r="A163" s="151" t="s">
        <v>4700</v>
      </c>
      <c r="B163" s="226" t="s">
        <v>4702</v>
      </c>
      <c r="C163" s="585" t="s">
        <v>3376</v>
      </c>
      <c r="D163" s="585" t="s">
        <v>3682</v>
      </c>
      <c r="E163" s="579" t="s">
        <v>4245</v>
      </c>
      <c r="F163" s="579" t="s">
        <v>3332</v>
      </c>
      <c r="G163" s="578" t="s">
        <v>4683</v>
      </c>
      <c r="H163" s="541">
        <v>21053</v>
      </c>
      <c r="I163" s="194">
        <v>0</v>
      </c>
      <c r="J163" s="194">
        <v>30000</v>
      </c>
      <c r="K163" s="185">
        <v>1</v>
      </c>
      <c r="L163" s="183" t="s">
        <v>4707</v>
      </c>
      <c r="M163" s="183" t="s">
        <v>4708</v>
      </c>
      <c r="N163" s="183" t="s">
        <v>4708</v>
      </c>
      <c r="O163" s="541"/>
    </row>
    <row r="164" spans="1:15" s="182" customFormat="1" ht="21.75" customHeight="1" x14ac:dyDescent="0.15">
      <c r="A164" s="151" t="s">
        <v>4700</v>
      </c>
      <c r="B164" s="226" t="s">
        <v>4702</v>
      </c>
      <c r="C164" s="586" t="s">
        <v>3376</v>
      </c>
      <c r="D164" s="586" t="s">
        <v>3682</v>
      </c>
      <c r="E164" s="579" t="s">
        <v>4245</v>
      </c>
      <c r="F164" s="579" t="s">
        <v>3332</v>
      </c>
      <c r="G164" s="578" t="s">
        <v>3341</v>
      </c>
      <c r="H164" s="178">
        <v>19136</v>
      </c>
      <c r="I164" s="194">
        <v>0</v>
      </c>
      <c r="J164" s="194">
        <v>70000</v>
      </c>
      <c r="K164" s="185">
        <v>0.5</v>
      </c>
      <c r="L164" s="183" t="s">
        <v>4706</v>
      </c>
      <c r="M164" s="183" t="s">
        <v>4708</v>
      </c>
      <c r="N164" s="183" t="s">
        <v>4708</v>
      </c>
      <c r="O164" s="541"/>
    </row>
    <row r="165" spans="1:15" s="182" customFormat="1" ht="21.75" customHeight="1" x14ac:dyDescent="0.15">
      <c r="A165" s="151" t="s">
        <v>4700</v>
      </c>
      <c r="B165" s="226" t="s">
        <v>4703</v>
      </c>
      <c r="C165" s="586" t="s">
        <v>3346</v>
      </c>
      <c r="D165" s="586" t="s">
        <v>3347</v>
      </c>
      <c r="E165" s="579" t="s">
        <v>4709</v>
      </c>
      <c r="F165" s="579" t="s">
        <v>3340</v>
      </c>
      <c r="G165" s="26" t="s">
        <v>3349</v>
      </c>
      <c r="H165" s="178">
        <v>21033</v>
      </c>
      <c r="I165" s="194">
        <v>0</v>
      </c>
      <c r="J165" s="194">
        <v>110000.01</v>
      </c>
      <c r="K165" s="185">
        <v>1</v>
      </c>
      <c r="L165" s="183" t="s">
        <v>4706</v>
      </c>
      <c r="M165" s="183" t="s">
        <v>3725</v>
      </c>
      <c r="N165" s="183" t="s">
        <v>3725</v>
      </c>
      <c r="O165" s="541"/>
    </row>
    <row r="166" spans="1:15" s="182" customFormat="1" ht="21.75" customHeight="1" x14ac:dyDescent="0.15">
      <c r="A166" s="151" t="s">
        <v>4700</v>
      </c>
      <c r="B166" s="226" t="s">
        <v>4704</v>
      </c>
      <c r="C166" s="586" t="s">
        <v>3376</v>
      </c>
      <c r="D166" s="586" t="s">
        <v>3682</v>
      </c>
      <c r="E166" s="180" t="s">
        <v>3683</v>
      </c>
      <c r="F166" s="579" t="s">
        <v>3332</v>
      </c>
      <c r="G166" s="578" t="s">
        <v>3353</v>
      </c>
      <c r="H166" s="541">
        <v>21050</v>
      </c>
      <c r="I166" s="194">
        <v>0</v>
      </c>
      <c r="J166" s="194">
        <v>16650</v>
      </c>
      <c r="K166" s="185">
        <v>0.9</v>
      </c>
      <c r="L166" s="183" t="s">
        <v>4711</v>
      </c>
      <c r="M166" s="183" t="s">
        <v>4708</v>
      </c>
      <c r="N166" s="183" t="s">
        <v>4708</v>
      </c>
      <c r="O166" s="541"/>
    </row>
    <row r="167" spans="1:15" s="182" customFormat="1" ht="21.75" customHeight="1" x14ac:dyDescent="0.15">
      <c r="A167" s="151" t="s">
        <v>4700</v>
      </c>
      <c r="B167" s="226" t="s">
        <v>4704</v>
      </c>
      <c r="C167" s="586" t="s">
        <v>3376</v>
      </c>
      <c r="D167" s="586" t="s">
        <v>3682</v>
      </c>
      <c r="E167" s="180" t="s">
        <v>3683</v>
      </c>
      <c r="F167" s="579" t="s">
        <v>4710</v>
      </c>
      <c r="G167" s="578" t="s">
        <v>3386</v>
      </c>
      <c r="H167" s="586">
        <v>21051</v>
      </c>
      <c r="I167" s="194">
        <v>0</v>
      </c>
      <c r="J167" s="194">
        <v>5400</v>
      </c>
      <c r="K167" s="185">
        <v>0.9</v>
      </c>
      <c r="L167" s="183" t="s">
        <v>4707</v>
      </c>
      <c r="M167" s="183" t="s">
        <v>4708</v>
      </c>
      <c r="N167" s="183" t="s">
        <v>4708</v>
      </c>
      <c r="O167" s="586"/>
    </row>
    <row r="168" spans="1:15" s="182" customFormat="1" ht="21.75" customHeight="1" x14ac:dyDescent="0.15">
      <c r="A168" s="151" t="s">
        <v>4700</v>
      </c>
      <c r="B168" s="226" t="s">
        <v>4704</v>
      </c>
      <c r="C168" s="586" t="s">
        <v>3376</v>
      </c>
      <c r="D168" s="586" t="s">
        <v>3682</v>
      </c>
      <c r="E168" s="180" t="s">
        <v>3683</v>
      </c>
      <c r="F168" s="579" t="s">
        <v>3332</v>
      </c>
      <c r="G168" s="578" t="s">
        <v>3341</v>
      </c>
      <c r="H168" s="541">
        <v>19134</v>
      </c>
      <c r="I168" s="194">
        <v>0</v>
      </c>
      <c r="J168" s="194">
        <v>70000</v>
      </c>
      <c r="K168" s="185">
        <v>0.5</v>
      </c>
      <c r="L168" s="183" t="s">
        <v>4706</v>
      </c>
      <c r="M168" s="183" t="s">
        <v>4708</v>
      </c>
      <c r="N168" s="183" t="s">
        <v>4708</v>
      </c>
      <c r="O168" s="226"/>
    </row>
    <row r="169" spans="1:15" s="182" customFormat="1" ht="21.75" customHeight="1" x14ac:dyDescent="0.15">
      <c r="A169" s="151" t="s">
        <v>4712</v>
      </c>
      <c r="B169" s="226" t="s">
        <v>4685</v>
      </c>
      <c r="C169" s="587" t="s">
        <v>3346</v>
      </c>
      <c r="D169" s="587" t="s">
        <v>3354</v>
      </c>
      <c r="E169" s="587" t="s">
        <v>3675</v>
      </c>
      <c r="F169" s="579" t="s">
        <v>3328</v>
      </c>
      <c r="G169" s="578" t="s">
        <v>3566</v>
      </c>
      <c r="H169" s="541">
        <v>19010</v>
      </c>
      <c r="I169" s="194">
        <v>0</v>
      </c>
      <c r="J169" s="194">
        <v>30000</v>
      </c>
      <c r="K169" s="185" t="s">
        <v>4705</v>
      </c>
      <c r="L169" s="183" t="s">
        <v>4706</v>
      </c>
      <c r="M169" s="183" t="s">
        <v>3726</v>
      </c>
      <c r="N169" s="183" t="s">
        <v>3726</v>
      </c>
      <c r="O169" s="541"/>
    </row>
    <row r="170" spans="1:15" s="182" customFormat="1" ht="21.75" customHeight="1" x14ac:dyDescent="0.15">
      <c r="A170" s="151" t="s">
        <v>4713</v>
      </c>
      <c r="B170" s="226" t="s">
        <v>4714</v>
      </c>
      <c r="C170" s="588" t="s">
        <v>3346</v>
      </c>
      <c r="D170" s="588" t="s">
        <v>3354</v>
      </c>
      <c r="E170" s="588" t="s">
        <v>4604</v>
      </c>
      <c r="F170" s="579" t="s">
        <v>4137</v>
      </c>
      <c r="G170" s="578" t="s">
        <v>4138</v>
      </c>
      <c r="H170" s="541" t="s">
        <v>4716</v>
      </c>
      <c r="I170" s="194">
        <v>0</v>
      </c>
      <c r="J170" s="194">
        <v>570885.46</v>
      </c>
      <c r="K170" s="185" t="s">
        <v>4717</v>
      </c>
      <c r="L170" s="183" t="s">
        <v>4718</v>
      </c>
      <c r="M170" s="183" t="s">
        <v>3726</v>
      </c>
      <c r="N170" s="183" t="s">
        <v>4563</v>
      </c>
      <c r="O170" s="226"/>
    </row>
    <row r="171" spans="1:15" s="182" customFormat="1" ht="21.75" customHeight="1" x14ac:dyDescent="0.15">
      <c r="A171" s="151" t="s">
        <v>4713</v>
      </c>
      <c r="B171" s="226" t="s">
        <v>4714</v>
      </c>
      <c r="C171" s="588" t="s">
        <v>3346</v>
      </c>
      <c r="D171" s="588" t="s">
        <v>3354</v>
      </c>
      <c r="E171" s="588" t="s">
        <v>4600</v>
      </c>
      <c r="F171" s="579" t="s">
        <v>4137</v>
      </c>
      <c r="G171" s="578" t="s">
        <v>4138</v>
      </c>
      <c r="H171" s="588" t="s">
        <v>4719</v>
      </c>
      <c r="I171" s="194">
        <v>0</v>
      </c>
      <c r="J171" s="194">
        <v>594677.52</v>
      </c>
      <c r="K171" s="185">
        <v>0.9</v>
      </c>
      <c r="L171" s="183" t="s">
        <v>2618</v>
      </c>
      <c r="M171" s="183" t="s">
        <v>3725</v>
      </c>
      <c r="N171" s="183" t="s">
        <v>4563</v>
      </c>
      <c r="O171" s="226"/>
    </row>
    <row r="172" spans="1:15" s="182" customFormat="1" ht="21.75" customHeight="1" x14ac:dyDescent="0.15">
      <c r="A172" s="151" t="s">
        <v>4713</v>
      </c>
      <c r="B172" s="226" t="s">
        <v>4715</v>
      </c>
      <c r="C172" s="588" t="s">
        <v>3351</v>
      </c>
      <c r="D172" s="588" t="s">
        <v>3347</v>
      </c>
      <c r="E172" s="588" t="s">
        <v>4360</v>
      </c>
      <c r="F172" s="579" t="s">
        <v>4361</v>
      </c>
      <c r="G172" s="578" t="s">
        <v>3386</v>
      </c>
      <c r="H172" s="541">
        <v>21048</v>
      </c>
      <c r="I172" s="194">
        <v>0</v>
      </c>
      <c r="J172" s="194">
        <v>45600</v>
      </c>
      <c r="K172" s="185">
        <v>0.95</v>
      </c>
      <c r="L172" s="183" t="s">
        <v>4711</v>
      </c>
      <c r="M172" s="183" t="s">
        <v>3726</v>
      </c>
      <c r="N172" s="183" t="s">
        <v>3726</v>
      </c>
      <c r="O172" s="541"/>
    </row>
    <row r="173" spans="1:15" s="182" customFormat="1" ht="21.75" customHeight="1" x14ac:dyDescent="0.15">
      <c r="A173" s="151" t="s">
        <v>4720</v>
      </c>
      <c r="B173" s="226" t="s">
        <v>4721</v>
      </c>
      <c r="C173" s="589" t="s">
        <v>3346</v>
      </c>
      <c r="D173" s="589" t="s">
        <v>3354</v>
      </c>
      <c r="E173" s="589" t="s">
        <v>4723</v>
      </c>
      <c r="F173" s="579" t="s">
        <v>3355</v>
      </c>
      <c r="G173" s="578" t="s">
        <v>4722</v>
      </c>
      <c r="H173" s="541">
        <v>17084</v>
      </c>
      <c r="I173" s="194">
        <v>0</v>
      </c>
      <c r="J173" s="194">
        <v>6890</v>
      </c>
      <c r="K173" s="185">
        <v>0.1</v>
      </c>
      <c r="L173" s="183" t="s">
        <v>4724</v>
      </c>
      <c r="M173" s="183" t="s">
        <v>3725</v>
      </c>
      <c r="N173" s="183" t="s">
        <v>3726</v>
      </c>
      <c r="O173" s="541"/>
    </row>
    <row r="174" spans="1:15" s="182" customFormat="1" ht="21.75" customHeight="1" x14ac:dyDescent="0.15">
      <c r="A174" s="151" t="s">
        <v>4720</v>
      </c>
      <c r="B174" s="226" t="s">
        <v>4725</v>
      </c>
      <c r="C174" s="590" t="s">
        <v>3346</v>
      </c>
      <c r="D174" s="590" t="s">
        <v>3851</v>
      </c>
      <c r="E174" s="590" t="s">
        <v>4726</v>
      </c>
      <c r="F174" s="579" t="s">
        <v>3355</v>
      </c>
      <c r="G174" s="578" t="s">
        <v>3941</v>
      </c>
      <c r="H174" s="541">
        <v>21056</v>
      </c>
      <c r="I174" s="194">
        <v>0</v>
      </c>
      <c r="J174" s="194">
        <v>69900</v>
      </c>
      <c r="K174" s="185">
        <v>0.3</v>
      </c>
      <c r="L174" s="183" t="s">
        <v>4727</v>
      </c>
      <c r="M174" s="405" t="s">
        <v>3434</v>
      </c>
      <c r="N174" s="405" t="s">
        <v>3434</v>
      </c>
      <c r="O174" s="541"/>
    </row>
    <row r="175" spans="1:15" s="182" customFormat="1" ht="21.75" customHeight="1" x14ac:dyDescent="0.15">
      <c r="A175" s="151" t="s">
        <v>4720</v>
      </c>
      <c r="B175" s="226" t="s">
        <v>886</v>
      </c>
      <c r="C175" s="591" t="s">
        <v>3346</v>
      </c>
      <c r="D175" s="591" t="s">
        <v>4156</v>
      </c>
      <c r="E175" s="591" t="s">
        <v>952</v>
      </c>
      <c r="F175" s="579" t="s">
        <v>3328</v>
      </c>
      <c r="G175" s="578" t="s">
        <v>3349</v>
      </c>
      <c r="H175" s="541">
        <v>21020</v>
      </c>
      <c r="I175" s="194">
        <v>0</v>
      </c>
      <c r="J175" s="194">
        <v>47500</v>
      </c>
      <c r="K175" s="185">
        <v>0.5</v>
      </c>
      <c r="L175" s="183" t="s">
        <v>4706</v>
      </c>
      <c r="M175" s="183" t="s">
        <v>3433</v>
      </c>
      <c r="N175" s="183" t="s">
        <v>3433</v>
      </c>
      <c r="O175" s="541"/>
    </row>
    <row r="176" spans="1:15" s="182" customFormat="1" ht="21.75" customHeight="1" x14ac:dyDescent="0.15">
      <c r="A176" s="151" t="s">
        <v>4720</v>
      </c>
      <c r="B176" s="226" t="s">
        <v>4728</v>
      </c>
      <c r="C176" s="591" t="s">
        <v>3346</v>
      </c>
      <c r="D176" s="591" t="s">
        <v>4156</v>
      </c>
      <c r="E176" s="591" t="s">
        <v>952</v>
      </c>
      <c r="F176" s="579" t="s">
        <v>3328</v>
      </c>
      <c r="G176" s="578" t="s">
        <v>3349</v>
      </c>
      <c r="H176" s="541">
        <v>21020</v>
      </c>
      <c r="I176" s="194">
        <v>0</v>
      </c>
      <c r="J176" s="194">
        <v>47500</v>
      </c>
      <c r="K176" s="185">
        <v>0.5</v>
      </c>
      <c r="L176" s="183" t="s">
        <v>4706</v>
      </c>
      <c r="M176" s="183" t="s">
        <v>3433</v>
      </c>
      <c r="N176" s="183" t="s">
        <v>3433</v>
      </c>
      <c r="O176" s="541"/>
    </row>
    <row r="177" spans="1:15" s="182" customFormat="1" ht="21.75" customHeight="1" x14ac:dyDescent="0.15">
      <c r="A177" s="151" t="s">
        <v>4720</v>
      </c>
      <c r="B177" s="226" t="s">
        <v>4729</v>
      </c>
      <c r="C177" s="566"/>
      <c r="D177" s="566"/>
      <c r="E177" s="566"/>
      <c r="F177" s="593"/>
      <c r="G177" s="594"/>
      <c r="H177" s="541">
        <v>21045</v>
      </c>
      <c r="I177" s="194">
        <v>0</v>
      </c>
      <c r="J177" s="194">
        <v>71500</v>
      </c>
      <c r="K177" s="185">
        <v>1</v>
      </c>
      <c r="L177" s="183" t="s">
        <v>4707</v>
      </c>
      <c r="M177" s="183" t="s">
        <v>3433</v>
      </c>
      <c r="N177" s="183" t="s">
        <v>3433</v>
      </c>
      <c r="O177" s="541"/>
    </row>
    <row r="178" spans="1:15" s="182" customFormat="1" ht="21.75" customHeight="1" x14ac:dyDescent="0.15">
      <c r="A178" s="151" t="s">
        <v>4730</v>
      </c>
      <c r="B178" s="226" t="s">
        <v>4731</v>
      </c>
      <c r="C178" s="592" t="s">
        <v>3346</v>
      </c>
      <c r="D178" s="592" t="s">
        <v>3354</v>
      </c>
      <c r="E178" s="592" t="s">
        <v>845</v>
      </c>
      <c r="F178" s="579" t="s">
        <v>3355</v>
      </c>
      <c r="G178" s="578" t="s">
        <v>3775</v>
      </c>
      <c r="H178" s="541">
        <v>19032</v>
      </c>
      <c r="I178" s="194">
        <v>0</v>
      </c>
      <c r="J178" s="194">
        <v>28300.3</v>
      </c>
      <c r="K178" s="185">
        <v>0.1</v>
      </c>
      <c r="L178" s="183" t="s">
        <v>4724</v>
      </c>
      <c r="M178" s="184" t="s">
        <v>3725</v>
      </c>
      <c r="N178" s="184" t="s">
        <v>3726</v>
      </c>
      <c r="O178" s="541"/>
    </row>
    <row r="179" spans="1:15" s="182" customFormat="1" ht="21.75" customHeight="1" x14ac:dyDescent="0.15">
      <c r="A179" s="151" t="s">
        <v>4730</v>
      </c>
      <c r="B179" s="20" t="s">
        <v>4732</v>
      </c>
      <c r="C179" s="592" t="s">
        <v>3346</v>
      </c>
      <c r="D179" s="592" t="s">
        <v>3352</v>
      </c>
      <c r="E179" s="592" t="s">
        <v>4733</v>
      </c>
      <c r="F179" s="579" t="s">
        <v>3355</v>
      </c>
      <c r="G179" s="578" t="s">
        <v>4734</v>
      </c>
      <c r="H179" s="541">
        <v>20184</v>
      </c>
      <c r="I179" s="194">
        <v>0</v>
      </c>
      <c r="J179" s="194">
        <v>44500</v>
      </c>
      <c r="K179" s="185">
        <v>1</v>
      </c>
      <c r="L179" s="183" t="s">
        <v>4707</v>
      </c>
      <c r="M179" s="184" t="s">
        <v>3433</v>
      </c>
      <c r="N179" s="184" t="s">
        <v>3433</v>
      </c>
      <c r="O179" s="541"/>
    </row>
    <row r="180" spans="1:15" s="182" customFormat="1" ht="21.75" customHeight="1" x14ac:dyDescent="0.15">
      <c r="A180" s="151" t="s">
        <v>4735</v>
      </c>
      <c r="B180" s="20" t="s">
        <v>4736</v>
      </c>
      <c r="C180" s="595" t="s">
        <v>3346</v>
      </c>
      <c r="D180" s="595" t="s">
        <v>3851</v>
      </c>
      <c r="E180" s="595" t="s">
        <v>4739</v>
      </c>
      <c r="F180" s="579" t="s">
        <v>3355</v>
      </c>
      <c r="G180" s="578" t="s">
        <v>3941</v>
      </c>
      <c r="H180" s="541">
        <v>21060</v>
      </c>
      <c r="I180" s="194">
        <v>0</v>
      </c>
      <c r="J180" s="194">
        <v>69900</v>
      </c>
      <c r="K180" s="185">
        <v>0.3</v>
      </c>
      <c r="L180" s="183" t="s">
        <v>4727</v>
      </c>
      <c r="M180" s="184" t="s">
        <v>3434</v>
      </c>
      <c r="N180" s="184" t="s">
        <v>3434</v>
      </c>
      <c r="O180" s="541"/>
    </row>
    <row r="181" spans="1:15" s="182" customFormat="1" ht="21.75" customHeight="1" x14ac:dyDescent="0.15">
      <c r="A181" s="151" t="s">
        <v>4735</v>
      </c>
      <c r="B181" s="20" t="s">
        <v>4737</v>
      </c>
      <c r="C181" s="595" t="s">
        <v>3414</v>
      </c>
      <c r="D181" s="595" t="s">
        <v>3347</v>
      </c>
      <c r="E181" s="595" t="s">
        <v>4740</v>
      </c>
      <c r="F181" s="579" t="s">
        <v>3328</v>
      </c>
      <c r="G181" s="578" t="s">
        <v>3353</v>
      </c>
      <c r="H181" s="541">
        <v>21073</v>
      </c>
      <c r="I181" s="194">
        <v>0</v>
      </c>
      <c r="J181" s="194">
        <v>8000</v>
      </c>
      <c r="K181" s="185">
        <v>1</v>
      </c>
      <c r="L181" s="183" t="s">
        <v>4707</v>
      </c>
      <c r="M181" s="184" t="s">
        <v>4708</v>
      </c>
      <c r="N181" s="184" t="s">
        <v>4708</v>
      </c>
      <c r="O181" s="541"/>
    </row>
    <row r="182" spans="1:15" s="182" customFormat="1" ht="21.75" customHeight="1" x14ac:dyDescent="0.15">
      <c r="A182" s="151" t="s">
        <v>4735</v>
      </c>
      <c r="B182" s="20" t="s">
        <v>4738</v>
      </c>
      <c r="C182" s="595" t="s">
        <v>3376</v>
      </c>
      <c r="D182" s="595" t="s">
        <v>3682</v>
      </c>
      <c r="E182" s="595" t="s">
        <v>3871</v>
      </c>
      <c r="F182" s="579" t="s">
        <v>3328</v>
      </c>
      <c r="G182" s="578" t="s">
        <v>4683</v>
      </c>
      <c r="H182" s="541">
        <v>21049</v>
      </c>
      <c r="I182" s="194">
        <v>0</v>
      </c>
      <c r="J182" s="194">
        <v>30000</v>
      </c>
      <c r="K182" s="185">
        <v>1</v>
      </c>
      <c r="L182" s="183" t="s">
        <v>4707</v>
      </c>
      <c r="M182" s="183" t="s">
        <v>4708</v>
      </c>
      <c r="N182" s="183" t="s">
        <v>4708</v>
      </c>
      <c r="O182" s="541"/>
    </row>
    <row r="183" spans="1:15" s="182" customFormat="1" ht="21.75" customHeight="1" x14ac:dyDescent="0.15">
      <c r="A183" s="151" t="s">
        <v>4735</v>
      </c>
      <c r="B183" s="20" t="s">
        <v>4738</v>
      </c>
      <c r="C183" s="241" t="s">
        <v>3376</v>
      </c>
      <c r="D183" s="368" t="s">
        <v>3516</v>
      </c>
      <c r="E183" s="596" t="s">
        <v>3871</v>
      </c>
      <c r="F183" s="241" t="s">
        <v>3332</v>
      </c>
      <c r="G183" s="242" t="s">
        <v>3341</v>
      </c>
      <c r="H183" s="541">
        <v>19133</v>
      </c>
      <c r="I183" s="194">
        <v>0</v>
      </c>
      <c r="J183" s="194">
        <v>100000</v>
      </c>
      <c r="K183" s="185">
        <v>0.5</v>
      </c>
      <c r="L183" s="183" t="s">
        <v>4706</v>
      </c>
      <c r="M183" s="183" t="s">
        <v>4708</v>
      </c>
      <c r="N183" s="183" t="s">
        <v>4708</v>
      </c>
      <c r="O183" s="541"/>
    </row>
    <row r="184" spans="1:15" s="182" customFormat="1" ht="21.75" customHeight="1" x14ac:dyDescent="0.15">
      <c r="A184" s="151" t="s">
        <v>4735</v>
      </c>
      <c r="B184" s="20" t="s">
        <v>4701</v>
      </c>
      <c r="C184" s="241" t="s">
        <v>3376</v>
      </c>
      <c r="D184" s="241" t="s">
        <v>3682</v>
      </c>
      <c r="E184" s="241" t="s">
        <v>4243</v>
      </c>
      <c r="F184" s="241" t="s">
        <v>3332</v>
      </c>
      <c r="G184" s="242" t="s">
        <v>3341</v>
      </c>
      <c r="H184" s="541">
        <v>19135</v>
      </c>
      <c r="I184" s="194">
        <v>0</v>
      </c>
      <c r="J184" s="194">
        <v>70000</v>
      </c>
      <c r="K184" s="185">
        <v>0.5</v>
      </c>
      <c r="L184" s="183" t="s">
        <v>4706</v>
      </c>
      <c r="M184" s="183" t="s">
        <v>4708</v>
      </c>
      <c r="N184" s="183" t="s">
        <v>4708</v>
      </c>
      <c r="O184" s="541"/>
    </row>
    <row r="185" spans="1:15" s="182" customFormat="1" ht="21.75" customHeight="1" x14ac:dyDescent="0.15">
      <c r="A185" s="151" t="s">
        <v>4741</v>
      </c>
      <c r="B185" s="20" t="s">
        <v>4742</v>
      </c>
      <c r="C185" s="368" t="s">
        <v>4002</v>
      </c>
      <c r="D185" s="368" t="s">
        <v>4002</v>
      </c>
      <c r="E185" s="368" t="s">
        <v>4002</v>
      </c>
      <c r="F185" s="368" t="s">
        <v>4002</v>
      </c>
      <c r="G185" s="368" t="s">
        <v>4002</v>
      </c>
      <c r="H185" s="541">
        <v>20092</v>
      </c>
      <c r="I185" s="194">
        <v>0</v>
      </c>
      <c r="J185" s="194">
        <v>736816.5</v>
      </c>
      <c r="K185" s="185">
        <v>0.35</v>
      </c>
      <c r="L185" s="183" t="s">
        <v>4707</v>
      </c>
      <c r="M185" s="368" t="s">
        <v>4002</v>
      </c>
      <c r="N185" s="368" t="s">
        <v>4002</v>
      </c>
      <c r="O185" s="541"/>
    </row>
    <row r="186" spans="1:15" s="182" customFormat="1" ht="21.75" customHeight="1" x14ac:dyDescent="0.15">
      <c r="A186" s="151" t="s">
        <v>4743</v>
      </c>
      <c r="B186" s="20" t="s">
        <v>4744</v>
      </c>
      <c r="C186" s="241" t="s">
        <v>3363</v>
      </c>
      <c r="D186" s="241" t="s">
        <v>3354</v>
      </c>
      <c r="E186" s="241" t="s">
        <v>4049</v>
      </c>
      <c r="F186" s="241" t="s">
        <v>3328</v>
      </c>
      <c r="G186" s="242" t="s">
        <v>4375</v>
      </c>
      <c r="H186" s="541">
        <v>20027</v>
      </c>
      <c r="I186" s="194">
        <v>0</v>
      </c>
      <c r="J186" s="194">
        <v>10000</v>
      </c>
      <c r="K186" s="185" t="s">
        <v>4746</v>
      </c>
      <c r="L186" s="183" t="s">
        <v>4707</v>
      </c>
      <c r="M186" s="183" t="s">
        <v>3957</v>
      </c>
      <c r="N186" s="183" t="s">
        <v>3957</v>
      </c>
      <c r="O186" s="541"/>
    </row>
    <row r="187" spans="1:15" s="182" customFormat="1" ht="21.75" customHeight="1" x14ac:dyDescent="0.15">
      <c r="A187" s="151" t="s">
        <v>4743</v>
      </c>
      <c r="B187" s="20" t="s">
        <v>4745</v>
      </c>
      <c r="C187" s="241" t="s">
        <v>3363</v>
      </c>
      <c r="D187" s="241" t="s">
        <v>3354</v>
      </c>
      <c r="E187" s="241" t="s">
        <v>4454</v>
      </c>
      <c r="F187" s="241" t="s">
        <v>3328</v>
      </c>
      <c r="G187" s="242" t="s">
        <v>4375</v>
      </c>
      <c r="H187" s="541">
        <v>20025</v>
      </c>
      <c r="I187" s="194">
        <v>0</v>
      </c>
      <c r="J187" s="194">
        <v>17000</v>
      </c>
      <c r="K187" s="185" t="s">
        <v>4539</v>
      </c>
      <c r="L187" s="183" t="s">
        <v>4707</v>
      </c>
      <c r="M187" s="183" t="s">
        <v>3957</v>
      </c>
      <c r="N187" s="183" t="s">
        <v>3957</v>
      </c>
      <c r="O187" s="541"/>
    </row>
    <row r="188" spans="1:15" s="182" customFormat="1" ht="21.75" customHeight="1" x14ac:dyDescent="0.15">
      <c r="A188" s="151" t="s">
        <v>4747</v>
      </c>
      <c r="B188" s="20" t="s">
        <v>4725</v>
      </c>
      <c r="C188" s="241" t="s">
        <v>3346</v>
      </c>
      <c r="D188" s="241" t="s">
        <v>3851</v>
      </c>
      <c r="E188" s="241" t="s">
        <v>4726</v>
      </c>
      <c r="F188" s="241" t="s">
        <v>3355</v>
      </c>
      <c r="G188" s="242" t="s">
        <v>3941</v>
      </c>
      <c r="H188" s="241">
        <v>21056</v>
      </c>
      <c r="I188" s="194">
        <v>0</v>
      </c>
      <c r="J188" s="194">
        <v>69900</v>
      </c>
      <c r="K188" s="185">
        <v>0.3</v>
      </c>
      <c r="L188" s="183" t="s">
        <v>4694</v>
      </c>
      <c r="M188" s="183" t="s">
        <v>3434</v>
      </c>
      <c r="N188" s="183" t="s">
        <v>3434</v>
      </c>
      <c r="O188" s="541"/>
    </row>
    <row r="189" spans="1:15" s="182" customFormat="1" ht="21.75" customHeight="1" x14ac:dyDescent="0.15">
      <c r="A189" s="151" t="s">
        <v>4748</v>
      </c>
      <c r="B189" s="20" t="s">
        <v>4749</v>
      </c>
      <c r="C189" s="275" t="s">
        <v>4750</v>
      </c>
      <c r="D189" s="275" t="s">
        <v>4751</v>
      </c>
      <c r="E189" s="597" t="s">
        <v>4752</v>
      </c>
      <c r="F189" s="236" t="s">
        <v>3355</v>
      </c>
      <c r="G189" s="240" t="s">
        <v>3580</v>
      </c>
      <c r="H189" s="541">
        <v>17085</v>
      </c>
      <c r="I189" s="194">
        <v>0</v>
      </c>
      <c r="J189" s="194">
        <v>8895</v>
      </c>
      <c r="K189" s="185">
        <v>0.1</v>
      </c>
      <c r="L189" s="183" t="s">
        <v>4724</v>
      </c>
      <c r="M189" s="184" t="s">
        <v>3725</v>
      </c>
      <c r="N189" s="184" t="s">
        <v>3726</v>
      </c>
      <c r="O189" s="541"/>
    </row>
    <row r="190" spans="1:15" s="182" customFormat="1" ht="21.75" customHeight="1" x14ac:dyDescent="0.15">
      <c r="A190" s="151" t="s">
        <v>4748</v>
      </c>
      <c r="B190" s="20" t="s">
        <v>4749</v>
      </c>
      <c r="C190" s="241" t="s">
        <v>3346</v>
      </c>
      <c r="D190" s="241" t="s">
        <v>4753</v>
      </c>
      <c r="E190" s="597" t="s">
        <v>3562</v>
      </c>
      <c r="F190" s="241" t="s">
        <v>3579</v>
      </c>
      <c r="G190" s="242" t="s">
        <v>3356</v>
      </c>
      <c r="H190" s="541">
        <v>17107</v>
      </c>
      <c r="I190" s="194">
        <v>0</v>
      </c>
      <c r="J190" s="194">
        <v>2920</v>
      </c>
      <c r="K190" s="185">
        <v>0.1</v>
      </c>
      <c r="L190" s="183" t="s">
        <v>4724</v>
      </c>
      <c r="M190" s="184" t="s">
        <v>3725</v>
      </c>
      <c r="N190" s="184" t="s">
        <v>3726</v>
      </c>
      <c r="O190" s="541"/>
    </row>
    <row r="191" spans="1:15" s="182" customFormat="1" ht="21.75" customHeight="1" x14ac:dyDescent="0.15">
      <c r="A191" s="151" t="s">
        <v>4754</v>
      </c>
      <c r="B191" s="20" t="s">
        <v>4755</v>
      </c>
      <c r="C191" s="241" t="s">
        <v>3371</v>
      </c>
      <c r="D191" s="241" t="s">
        <v>3572</v>
      </c>
      <c r="E191" s="599" t="s">
        <v>39</v>
      </c>
      <c r="F191" s="599" t="s">
        <v>4257</v>
      </c>
      <c r="G191" s="240" t="s">
        <v>4257</v>
      </c>
      <c r="H191" s="541" t="s">
        <v>4756</v>
      </c>
      <c r="I191" s="194">
        <v>0</v>
      </c>
      <c r="J191" s="194">
        <v>9145.2999999999993</v>
      </c>
      <c r="K191" s="185" t="s">
        <v>4758</v>
      </c>
      <c r="L191" s="183" t="s">
        <v>4759</v>
      </c>
      <c r="M191" s="183" t="s">
        <v>3434</v>
      </c>
      <c r="N191" s="183" t="s">
        <v>3434</v>
      </c>
      <c r="O191" s="541"/>
    </row>
    <row r="192" spans="1:15" s="182" customFormat="1" ht="21.75" customHeight="1" x14ac:dyDescent="0.15">
      <c r="A192" s="151" t="s">
        <v>4754</v>
      </c>
      <c r="B192" s="20" t="s">
        <v>4755</v>
      </c>
      <c r="C192" s="241" t="s">
        <v>3371</v>
      </c>
      <c r="D192" s="241" t="s">
        <v>3572</v>
      </c>
      <c r="E192" s="599" t="s">
        <v>2909</v>
      </c>
      <c r="F192" s="599" t="s">
        <v>4257</v>
      </c>
      <c r="G192" s="240" t="s">
        <v>4257</v>
      </c>
      <c r="H192" s="598" t="s">
        <v>4757</v>
      </c>
      <c r="I192" s="194">
        <v>0</v>
      </c>
      <c r="J192" s="194">
        <v>9145.2999999999993</v>
      </c>
      <c r="K192" s="185" t="s">
        <v>4758</v>
      </c>
      <c r="L192" s="183" t="s">
        <v>4759</v>
      </c>
      <c r="M192" s="183" t="s">
        <v>3434</v>
      </c>
      <c r="N192" s="183" t="s">
        <v>3434</v>
      </c>
      <c r="O192" s="598"/>
    </row>
    <row r="193" spans="1:15" s="182" customFormat="1" ht="21.75" customHeight="1" x14ac:dyDescent="0.15">
      <c r="A193" s="151" t="s">
        <v>4764</v>
      </c>
      <c r="B193" s="20" t="s">
        <v>4760</v>
      </c>
      <c r="C193" s="241" t="s">
        <v>3363</v>
      </c>
      <c r="D193" s="241" t="s">
        <v>3354</v>
      </c>
      <c r="E193" s="241" t="s">
        <v>4267</v>
      </c>
      <c r="F193" s="241" t="s">
        <v>3328</v>
      </c>
      <c r="G193" s="242" t="s">
        <v>4375</v>
      </c>
      <c r="H193" s="541">
        <v>20028</v>
      </c>
      <c r="I193" s="194">
        <v>0</v>
      </c>
      <c r="J193" s="194">
        <v>15000</v>
      </c>
      <c r="K193" s="185" t="s">
        <v>4761</v>
      </c>
      <c r="L193" s="183" t="s">
        <v>4762</v>
      </c>
      <c r="M193" s="183" t="s">
        <v>4763</v>
      </c>
      <c r="N193" s="183" t="s">
        <v>4763</v>
      </c>
      <c r="O193" s="541"/>
    </row>
    <row r="194" spans="1:15" s="182" customFormat="1" ht="21.75" customHeight="1" x14ac:dyDescent="0.15">
      <c r="A194" s="151" t="s">
        <v>4765</v>
      </c>
      <c r="B194" s="20" t="s">
        <v>4704</v>
      </c>
      <c r="C194" s="241" t="s">
        <v>3376</v>
      </c>
      <c r="D194" s="368" t="s">
        <v>3682</v>
      </c>
      <c r="E194" s="596" t="s">
        <v>3683</v>
      </c>
      <c r="F194" s="241" t="s">
        <v>3355</v>
      </c>
      <c r="G194" s="242" t="s">
        <v>4768</v>
      </c>
      <c r="H194" s="541" t="s">
        <v>4766</v>
      </c>
      <c r="I194" s="194">
        <v>0</v>
      </c>
      <c r="J194" s="194">
        <v>117000</v>
      </c>
      <c r="K194" s="185">
        <v>0.9</v>
      </c>
      <c r="L194" s="183" t="s">
        <v>4770</v>
      </c>
      <c r="M194" s="183" t="s">
        <v>4771</v>
      </c>
      <c r="N194" s="183" t="s">
        <v>4771</v>
      </c>
      <c r="O194" s="541"/>
    </row>
    <row r="195" spans="1:15" s="182" customFormat="1" ht="21.75" customHeight="1" x14ac:dyDescent="0.15">
      <c r="A195" s="151" t="s">
        <v>4765</v>
      </c>
      <c r="B195" s="20" t="s">
        <v>4704</v>
      </c>
      <c r="C195" s="241" t="s">
        <v>3376</v>
      </c>
      <c r="D195" s="368" t="s">
        <v>3682</v>
      </c>
      <c r="E195" s="596" t="s">
        <v>3683</v>
      </c>
      <c r="F195" s="241" t="s">
        <v>3355</v>
      </c>
      <c r="G195" s="242" t="s">
        <v>4769</v>
      </c>
      <c r="H195" s="600" t="s">
        <v>4767</v>
      </c>
      <c r="I195" s="194">
        <v>0</v>
      </c>
      <c r="J195" s="194">
        <v>45000</v>
      </c>
      <c r="K195" s="185">
        <v>0.9</v>
      </c>
      <c r="L195" s="183" t="s">
        <v>4770</v>
      </c>
      <c r="M195" s="183" t="s">
        <v>4771</v>
      </c>
      <c r="N195" s="183" t="s">
        <v>4771</v>
      </c>
      <c r="O195" s="600"/>
    </row>
    <row r="196" spans="1:15" s="182" customFormat="1" ht="21.75" customHeight="1" x14ac:dyDescent="0.15">
      <c r="A196" s="151" t="s">
        <v>4772</v>
      </c>
      <c r="B196" s="20" t="s">
        <v>878</v>
      </c>
      <c r="C196" s="236" t="s">
        <v>4773</v>
      </c>
      <c r="D196" s="236" t="s">
        <v>4774</v>
      </c>
      <c r="E196" s="247" t="s">
        <v>120</v>
      </c>
      <c r="F196" s="247" t="s">
        <v>3340</v>
      </c>
      <c r="G196" s="248" t="s">
        <v>3477</v>
      </c>
      <c r="H196" s="541">
        <v>13042</v>
      </c>
      <c r="I196" s="194">
        <v>0</v>
      </c>
      <c r="J196" s="194">
        <v>27800</v>
      </c>
      <c r="K196" s="185">
        <v>0.1</v>
      </c>
      <c r="L196" s="183" t="s">
        <v>4775</v>
      </c>
      <c r="M196" s="183" t="s">
        <v>4776</v>
      </c>
      <c r="N196" s="183" t="s">
        <v>4777</v>
      </c>
      <c r="O196" s="541"/>
    </row>
    <row r="197" spans="1:15" s="182" customFormat="1" ht="21.75" customHeight="1" x14ac:dyDescent="0.15">
      <c r="A197" s="151" t="s">
        <v>4778</v>
      </c>
      <c r="B197" s="20" t="s">
        <v>4779</v>
      </c>
      <c r="C197" s="241" t="s">
        <v>3346</v>
      </c>
      <c r="D197" s="241" t="s">
        <v>3851</v>
      </c>
      <c r="E197" s="241" t="s">
        <v>4780</v>
      </c>
      <c r="F197" s="241" t="s">
        <v>3355</v>
      </c>
      <c r="G197" s="242" t="s">
        <v>3941</v>
      </c>
      <c r="H197" s="541">
        <v>21063</v>
      </c>
      <c r="I197" s="194">
        <v>0</v>
      </c>
      <c r="J197" s="194">
        <v>69900</v>
      </c>
      <c r="K197" s="185">
        <v>0.3</v>
      </c>
      <c r="L197" s="183" t="s">
        <v>4781</v>
      </c>
      <c r="M197" s="183" t="s">
        <v>4782</v>
      </c>
      <c r="N197" s="183" t="s">
        <v>4782</v>
      </c>
      <c r="O197" s="541"/>
    </row>
    <row r="198" spans="1:15" s="182" customFormat="1" ht="21.75" customHeight="1" x14ac:dyDescent="0.15">
      <c r="A198" s="151" t="s">
        <v>4783</v>
      </c>
      <c r="B198" s="20" t="s">
        <v>4784</v>
      </c>
      <c r="C198" s="601" t="s">
        <v>3346</v>
      </c>
      <c r="D198" s="601" t="s">
        <v>3457</v>
      </c>
      <c r="E198" s="601" t="s">
        <v>4785</v>
      </c>
      <c r="F198" s="184" t="s">
        <v>3355</v>
      </c>
      <c r="G198" s="235" t="s">
        <v>4786</v>
      </c>
      <c r="H198" s="541">
        <v>21078</v>
      </c>
      <c r="I198" s="194">
        <v>0</v>
      </c>
      <c r="J198" s="194">
        <v>40000</v>
      </c>
      <c r="K198" s="185">
        <v>0.5</v>
      </c>
      <c r="L198" s="183" t="s">
        <v>4787</v>
      </c>
      <c r="M198" s="183" t="s">
        <v>3434</v>
      </c>
      <c r="N198" s="183" t="s">
        <v>3434</v>
      </c>
      <c r="O198" s="541"/>
    </row>
    <row r="199" spans="1:15" s="182" customFormat="1" ht="21.75" customHeight="1" x14ac:dyDescent="0.15">
      <c r="A199" s="151" t="s">
        <v>4783</v>
      </c>
      <c r="B199" s="20" t="s">
        <v>4784</v>
      </c>
      <c r="C199" s="601" t="s">
        <v>3346</v>
      </c>
      <c r="D199" s="601" t="s">
        <v>3457</v>
      </c>
      <c r="E199" s="601" t="s">
        <v>4785</v>
      </c>
      <c r="F199" s="184" t="s">
        <v>3328</v>
      </c>
      <c r="G199" s="235" t="s">
        <v>3386</v>
      </c>
      <c r="H199" s="541">
        <v>21084</v>
      </c>
      <c r="I199" s="194">
        <v>0</v>
      </c>
      <c r="J199" s="194">
        <v>20000</v>
      </c>
      <c r="K199" s="185">
        <v>1</v>
      </c>
      <c r="L199" s="183" t="s">
        <v>4788</v>
      </c>
      <c r="M199" s="183" t="s">
        <v>3434</v>
      </c>
      <c r="N199" s="183" t="s">
        <v>3434</v>
      </c>
      <c r="O199" s="541"/>
    </row>
    <row r="200" spans="1:15" s="182" customFormat="1" ht="21.75" customHeight="1" x14ac:dyDescent="0.15">
      <c r="A200" s="151" t="s">
        <v>4783</v>
      </c>
      <c r="B200" s="242" t="s">
        <v>4789</v>
      </c>
      <c r="C200" s="279" t="s">
        <v>3346</v>
      </c>
      <c r="D200" s="602" t="s">
        <v>3457</v>
      </c>
      <c r="E200" s="236" t="s">
        <v>4080</v>
      </c>
      <c r="F200" s="241" t="s">
        <v>3340</v>
      </c>
      <c r="G200" s="242" t="s">
        <v>3574</v>
      </c>
      <c r="H200" s="541">
        <v>20001</v>
      </c>
      <c r="I200" s="194">
        <v>0</v>
      </c>
      <c r="J200" s="194">
        <v>38000</v>
      </c>
      <c r="K200" s="185">
        <v>0.95</v>
      </c>
      <c r="L200" s="183" t="s">
        <v>4788</v>
      </c>
      <c r="M200" s="183" t="s">
        <v>4791</v>
      </c>
      <c r="N200" s="183" t="s">
        <v>4791</v>
      </c>
      <c r="O200" s="541"/>
    </row>
    <row r="201" spans="1:15" s="182" customFormat="1" ht="21.75" customHeight="1" x14ac:dyDescent="0.15">
      <c r="A201" s="151" t="s">
        <v>4795</v>
      </c>
      <c r="B201" s="20" t="s">
        <v>4790</v>
      </c>
      <c r="C201" s="241" t="s">
        <v>3384</v>
      </c>
      <c r="D201" s="241" t="s">
        <v>3354</v>
      </c>
      <c r="E201" s="241" t="s">
        <v>4792</v>
      </c>
      <c r="F201" s="279" t="s">
        <v>4178</v>
      </c>
      <c r="G201" s="242" t="s">
        <v>4622</v>
      </c>
      <c r="H201" s="541">
        <v>21054</v>
      </c>
      <c r="I201" s="194">
        <v>0</v>
      </c>
      <c r="J201" s="194">
        <v>42750</v>
      </c>
      <c r="K201" s="185">
        <v>0.95</v>
      </c>
      <c r="L201" s="183" t="s">
        <v>4793</v>
      </c>
      <c r="M201" s="183" t="s">
        <v>4794</v>
      </c>
      <c r="N201" s="183" t="s">
        <v>4794</v>
      </c>
      <c r="O201" s="541"/>
    </row>
    <row r="202" spans="1:15" s="182" customFormat="1" ht="21.75" customHeight="1" x14ac:dyDescent="0.15">
      <c r="A202" s="151" t="s">
        <v>4796</v>
      </c>
      <c r="B202" s="20" t="s">
        <v>4797</v>
      </c>
      <c r="C202" s="184" t="s">
        <v>3376</v>
      </c>
      <c r="D202" s="184" t="s">
        <v>3682</v>
      </c>
      <c r="E202" s="184" t="s">
        <v>4245</v>
      </c>
      <c r="F202" s="184" t="s">
        <v>4710</v>
      </c>
      <c r="G202" s="235" t="s">
        <v>3386</v>
      </c>
      <c r="H202" s="541">
        <v>21083</v>
      </c>
      <c r="I202" s="194">
        <v>0</v>
      </c>
      <c r="J202" s="194">
        <v>10000</v>
      </c>
      <c r="K202" s="185">
        <v>1</v>
      </c>
      <c r="L202" s="183" t="s">
        <v>4799</v>
      </c>
      <c r="M202" s="183" t="s">
        <v>4800</v>
      </c>
      <c r="N202" s="183" t="s">
        <v>4800</v>
      </c>
      <c r="O202" s="541"/>
    </row>
    <row r="203" spans="1:15" s="182" customFormat="1" ht="27" customHeight="1" x14ac:dyDescent="0.15">
      <c r="A203" s="151" t="s">
        <v>4798</v>
      </c>
      <c r="B203" s="20" t="s">
        <v>4789</v>
      </c>
      <c r="C203" s="241" t="s">
        <v>3346</v>
      </c>
      <c r="D203" s="241" t="s">
        <v>4808</v>
      </c>
      <c r="E203" s="241" t="s">
        <v>4809</v>
      </c>
      <c r="F203" s="241" t="s">
        <v>3340</v>
      </c>
      <c r="G203" s="605" t="s">
        <v>3477</v>
      </c>
      <c r="H203" s="541" t="s">
        <v>4812</v>
      </c>
      <c r="I203" s="194">
        <v>0</v>
      </c>
      <c r="J203" s="194">
        <v>49200</v>
      </c>
      <c r="K203" s="223">
        <v>0.25624999999999998</v>
      </c>
      <c r="L203" s="183" t="s">
        <v>4813</v>
      </c>
      <c r="M203" s="183" t="s">
        <v>4811</v>
      </c>
      <c r="N203" s="183" t="s">
        <v>4811</v>
      </c>
      <c r="O203" s="541"/>
    </row>
    <row r="204" spans="1:15" s="182" customFormat="1" ht="21.75" customHeight="1" x14ac:dyDescent="0.15">
      <c r="A204" s="151" t="s">
        <v>4798</v>
      </c>
      <c r="B204" s="20" t="s">
        <v>4789</v>
      </c>
      <c r="C204" s="241" t="s">
        <v>3346</v>
      </c>
      <c r="D204" s="241" t="s">
        <v>3347</v>
      </c>
      <c r="E204" s="241" t="s">
        <v>4818</v>
      </c>
      <c r="F204" s="279" t="s">
        <v>3355</v>
      </c>
      <c r="G204" s="242" t="s">
        <v>3941</v>
      </c>
      <c r="H204" s="541" t="s">
        <v>4820</v>
      </c>
      <c r="I204" s="194">
        <v>0</v>
      </c>
      <c r="J204" s="194">
        <v>95000</v>
      </c>
      <c r="K204" s="185" t="s">
        <v>4822</v>
      </c>
      <c r="L204" s="183" t="s">
        <v>4821</v>
      </c>
      <c r="M204" s="183" t="s">
        <v>4811</v>
      </c>
      <c r="N204" s="183" t="s">
        <v>4811</v>
      </c>
      <c r="O204" s="541"/>
    </row>
    <row r="205" spans="1:15" s="182" customFormat="1" ht="21.75" customHeight="1" x14ac:dyDescent="0.15">
      <c r="A205" s="151" t="s">
        <v>4801</v>
      </c>
      <c r="B205" s="20" t="s">
        <v>4802</v>
      </c>
      <c r="C205" s="606"/>
      <c r="D205" s="606"/>
      <c r="E205" s="606"/>
      <c r="F205" s="606"/>
      <c r="G205" s="607"/>
      <c r="H205" s="541">
        <v>21047</v>
      </c>
      <c r="I205" s="194">
        <v>0</v>
      </c>
      <c r="J205" s="194">
        <v>38750</v>
      </c>
      <c r="K205" s="185">
        <v>1</v>
      </c>
      <c r="L205" s="183" t="s">
        <v>4828</v>
      </c>
      <c r="M205" s="183" t="s">
        <v>3433</v>
      </c>
      <c r="N205" s="183" t="s">
        <v>3433</v>
      </c>
      <c r="O205" s="541"/>
    </row>
    <row r="206" spans="1:15" s="182" customFormat="1" ht="21.75" customHeight="1" x14ac:dyDescent="0.15">
      <c r="A206" s="151" t="s">
        <v>4801</v>
      </c>
      <c r="B206" s="20" t="s">
        <v>4803</v>
      </c>
      <c r="C206" s="616" t="s">
        <v>4941</v>
      </c>
      <c r="D206" s="616" t="s">
        <v>4942</v>
      </c>
      <c r="E206" s="616" t="s">
        <v>4943</v>
      </c>
      <c r="F206" s="184" t="s">
        <v>4944</v>
      </c>
      <c r="G206" s="243" t="s">
        <v>4861</v>
      </c>
      <c r="H206" s="611">
        <v>21113</v>
      </c>
      <c r="I206" s="194">
        <v>0</v>
      </c>
      <c r="J206" s="194">
        <v>25000</v>
      </c>
      <c r="K206" s="185">
        <v>1</v>
      </c>
      <c r="L206" s="183" t="s">
        <v>4707</v>
      </c>
      <c r="M206" s="183" t="s">
        <v>3726</v>
      </c>
      <c r="N206" s="183" t="s">
        <v>3726</v>
      </c>
      <c r="O206" s="541"/>
    </row>
    <row r="207" spans="1:15" s="182" customFormat="1" ht="42.75" customHeight="1" x14ac:dyDescent="0.15">
      <c r="A207" s="151" t="s">
        <v>4804</v>
      </c>
      <c r="B207" s="20" t="s">
        <v>4789</v>
      </c>
      <c r="C207" s="241" t="s">
        <v>3346</v>
      </c>
      <c r="D207" s="241" t="s">
        <v>4808</v>
      </c>
      <c r="E207" s="241" t="s">
        <v>4809</v>
      </c>
      <c r="F207" s="241" t="s">
        <v>3340</v>
      </c>
      <c r="G207" s="605" t="s">
        <v>3477</v>
      </c>
      <c r="H207" s="541" t="s">
        <v>4812</v>
      </c>
      <c r="I207" s="194">
        <v>50000</v>
      </c>
      <c r="J207" s="194">
        <v>0</v>
      </c>
      <c r="K207" s="185" t="s">
        <v>4814</v>
      </c>
      <c r="L207" s="183" t="s">
        <v>4815</v>
      </c>
      <c r="M207" s="183" t="s">
        <v>4811</v>
      </c>
      <c r="N207" s="183" t="s">
        <v>4811</v>
      </c>
      <c r="O207" s="604" t="s">
        <v>4827</v>
      </c>
    </row>
    <row r="208" spans="1:15" s="182" customFormat="1" ht="39.75" customHeight="1" x14ac:dyDescent="0.15">
      <c r="A208" s="151" t="s">
        <v>4804</v>
      </c>
      <c r="B208" s="20" t="s">
        <v>4789</v>
      </c>
      <c r="C208" s="241" t="s">
        <v>3346</v>
      </c>
      <c r="D208" s="241" t="s">
        <v>4808</v>
      </c>
      <c r="E208" s="241" t="s">
        <v>4809</v>
      </c>
      <c r="F208" s="241" t="s">
        <v>3340</v>
      </c>
      <c r="G208" s="605" t="s">
        <v>3477</v>
      </c>
      <c r="H208" s="603" t="s">
        <v>4812</v>
      </c>
      <c r="I208" s="194">
        <v>56000</v>
      </c>
      <c r="J208" s="194">
        <v>0</v>
      </c>
      <c r="K208" s="185" t="s">
        <v>4816</v>
      </c>
      <c r="L208" s="183" t="s">
        <v>4817</v>
      </c>
      <c r="M208" s="183" t="s">
        <v>4811</v>
      </c>
      <c r="N208" s="183" t="s">
        <v>4811</v>
      </c>
      <c r="O208" s="604" t="s">
        <v>4826</v>
      </c>
    </row>
    <row r="209" spans="1:15" s="182" customFormat="1" ht="48" customHeight="1" x14ac:dyDescent="0.15">
      <c r="A209" s="151" t="s">
        <v>4804</v>
      </c>
      <c r="B209" s="20" t="s">
        <v>4789</v>
      </c>
      <c r="C209" s="241" t="s">
        <v>3346</v>
      </c>
      <c r="D209" s="241" t="s">
        <v>4808</v>
      </c>
      <c r="E209" s="241" t="s">
        <v>4809</v>
      </c>
      <c r="F209" s="241" t="s">
        <v>3355</v>
      </c>
      <c r="G209" s="605" t="s">
        <v>4017</v>
      </c>
      <c r="H209" s="541" t="s">
        <v>4807</v>
      </c>
      <c r="I209" s="194">
        <v>144000</v>
      </c>
      <c r="J209" s="194">
        <v>0</v>
      </c>
      <c r="K209" s="185">
        <v>0.9</v>
      </c>
      <c r="L209" s="183" t="s">
        <v>4810</v>
      </c>
      <c r="M209" s="183" t="s">
        <v>4811</v>
      </c>
      <c r="N209" s="183" t="s">
        <v>4811</v>
      </c>
      <c r="O209" s="604" t="s">
        <v>4826</v>
      </c>
    </row>
    <row r="210" spans="1:15" s="182" customFormat="1" ht="41.25" customHeight="1" x14ac:dyDescent="0.15">
      <c r="A210" s="151" t="s">
        <v>4804</v>
      </c>
      <c r="B210" s="20" t="s">
        <v>4789</v>
      </c>
      <c r="C210" s="241" t="s">
        <v>3346</v>
      </c>
      <c r="D210" s="241" t="s">
        <v>3347</v>
      </c>
      <c r="E210" s="241" t="s">
        <v>4818</v>
      </c>
      <c r="F210" s="279" t="s">
        <v>3355</v>
      </c>
      <c r="G210" s="242" t="s">
        <v>3941</v>
      </c>
      <c r="H210" s="603" t="s">
        <v>4820</v>
      </c>
      <c r="I210" s="194">
        <v>13000</v>
      </c>
      <c r="J210" s="194">
        <v>0</v>
      </c>
      <c r="K210" s="185" t="s">
        <v>4823</v>
      </c>
      <c r="L210" s="183" t="s">
        <v>4824</v>
      </c>
      <c r="M210" s="183" t="s">
        <v>4811</v>
      </c>
      <c r="N210" s="183" t="s">
        <v>4811</v>
      </c>
      <c r="O210" s="604" t="s">
        <v>4825</v>
      </c>
    </row>
    <row r="211" spans="1:15" s="182" customFormat="1" ht="45.75" customHeight="1" x14ac:dyDescent="0.15">
      <c r="A211" s="151" t="s">
        <v>4804</v>
      </c>
      <c r="B211" s="20" t="s">
        <v>4789</v>
      </c>
      <c r="C211" s="241" t="s">
        <v>3346</v>
      </c>
      <c r="D211" s="241" t="s">
        <v>3347</v>
      </c>
      <c r="E211" s="241" t="s">
        <v>4818</v>
      </c>
      <c r="F211" s="241" t="s">
        <v>3328</v>
      </c>
      <c r="G211" s="242" t="s">
        <v>3378</v>
      </c>
      <c r="H211" s="541" t="s">
        <v>4819</v>
      </c>
      <c r="I211" s="194">
        <v>387000</v>
      </c>
      <c r="J211" s="194">
        <v>0</v>
      </c>
      <c r="K211" s="185">
        <v>0.9</v>
      </c>
      <c r="L211" s="183" t="s">
        <v>4810</v>
      </c>
      <c r="M211" s="183" t="s">
        <v>4811</v>
      </c>
      <c r="N211" s="183" t="s">
        <v>4811</v>
      </c>
      <c r="O211" s="604" t="s">
        <v>4825</v>
      </c>
    </row>
    <row r="212" spans="1:15" s="182" customFormat="1" ht="42.75" customHeight="1" x14ac:dyDescent="0.15">
      <c r="A212" s="151" t="s">
        <v>4837</v>
      </c>
      <c r="B212" s="20" t="s">
        <v>4789</v>
      </c>
      <c r="C212" s="241" t="s">
        <v>3346</v>
      </c>
      <c r="D212" s="241" t="s">
        <v>4808</v>
      </c>
      <c r="E212" s="241" t="s">
        <v>4809</v>
      </c>
      <c r="F212" s="241" t="s">
        <v>3340</v>
      </c>
      <c r="G212" s="605" t="s">
        <v>3477</v>
      </c>
      <c r="H212" s="608" t="s">
        <v>4812</v>
      </c>
      <c r="I212" s="194">
        <v>0</v>
      </c>
      <c r="J212" s="194">
        <v>50000</v>
      </c>
      <c r="K212" s="185" t="s">
        <v>4814</v>
      </c>
      <c r="L212" s="183" t="s">
        <v>4815</v>
      </c>
      <c r="M212" s="183" t="s">
        <v>3434</v>
      </c>
      <c r="N212" s="183" t="s">
        <v>3434</v>
      </c>
      <c r="O212" s="226" t="s">
        <v>4522</v>
      </c>
    </row>
    <row r="213" spans="1:15" s="182" customFormat="1" ht="39.75" customHeight="1" x14ac:dyDescent="0.15">
      <c r="A213" s="151" t="s">
        <v>4837</v>
      </c>
      <c r="B213" s="20" t="s">
        <v>4789</v>
      </c>
      <c r="C213" s="241" t="s">
        <v>3346</v>
      </c>
      <c r="D213" s="241" t="s">
        <v>4808</v>
      </c>
      <c r="E213" s="241" t="s">
        <v>4809</v>
      </c>
      <c r="F213" s="241" t="s">
        <v>3340</v>
      </c>
      <c r="G213" s="605" t="s">
        <v>3477</v>
      </c>
      <c r="H213" s="608" t="s">
        <v>4812</v>
      </c>
      <c r="I213" s="194">
        <v>0</v>
      </c>
      <c r="J213" s="194">
        <v>56000</v>
      </c>
      <c r="K213" s="185" t="s">
        <v>4816</v>
      </c>
      <c r="L213" s="183" t="s">
        <v>4817</v>
      </c>
      <c r="M213" s="183" t="s">
        <v>3434</v>
      </c>
      <c r="N213" s="183" t="s">
        <v>3434</v>
      </c>
      <c r="O213" s="226" t="s">
        <v>4522</v>
      </c>
    </row>
    <row r="214" spans="1:15" s="182" customFormat="1" ht="48" customHeight="1" x14ac:dyDescent="0.15">
      <c r="A214" s="151" t="s">
        <v>4837</v>
      </c>
      <c r="B214" s="20" t="s">
        <v>4789</v>
      </c>
      <c r="C214" s="241" t="s">
        <v>3346</v>
      </c>
      <c r="D214" s="241" t="s">
        <v>4808</v>
      </c>
      <c r="E214" s="241" t="s">
        <v>4809</v>
      </c>
      <c r="F214" s="241" t="s">
        <v>3355</v>
      </c>
      <c r="G214" s="605" t="s">
        <v>4017</v>
      </c>
      <c r="H214" s="608" t="s">
        <v>4807</v>
      </c>
      <c r="I214" s="194">
        <v>0</v>
      </c>
      <c r="J214" s="194">
        <v>144000</v>
      </c>
      <c r="K214" s="185">
        <v>0.9</v>
      </c>
      <c r="L214" s="183" t="s">
        <v>4810</v>
      </c>
      <c r="M214" s="183" t="s">
        <v>3434</v>
      </c>
      <c r="N214" s="183" t="s">
        <v>3434</v>
      </c>
      <c r="O214" s="226" t="s">
        <v>4522</v>
      </c>
    </row>
    <row r="215" spans="1:15" s="182" customFormat="1" ht="41.25" customHeight="1" x14ac:dyDescent="0.15">
      <c r="A215" s="151" t="s">
        <v>4837</v>
      </c>
      <c r="B215" s="20" t="s">
        <v>4789</v>
      </c>
      <c r="C215" s="241" t="s">
        <v>3346</v>
      </c>
      <c r="D215" s="241" t="s">
        <v>3347</v>
      </c>
      <c r="E215" s="241" t="s">
        <v>4818</v>
      </c>
      <c r="F215" s="279" t="s">
        <v>3355</v>
      </c>
      <c r="G215" s="242" t="s">
        <v>3941</v>
      </c>
      <c r="H215" s="608" t="s">
        <v>4820</v>
      </c>
      <c r="I215" s="194">
        <v>0</v>
      </c>
      <c r="J215" s="194">
        <v>13000</v>
      </c>
      <c r="K215" s="185" t="s">
        <v>4823</v>
      </c>
      <c r="L215" s="183" t="s">
        <v>4824</v>
      </c>
      <c r="M215" s="183" t="s">
        <v>3434</v>
      </c>
      <c r="N215" s="183" t="s">
        <v>3434</v>
      </c>
      <c r="O215" s="226" t="s">
        <v>4522</v>
      </c>
    </row>
    <row r="216" spans="1:15" s="182" customFormat="1" ht="45.75" customHeight="1" x14ac:dyDescent="0.15">
      <c r="A216" s="151" t="s">
        <v>4837</v>
      </c>
      <c r="B216" s="20" t="s">
        <v>4789</v>
      </c>
      <c r="C216" s="241" t="s">
        <v>3346</v>
      </c>
      <c r="D216" s="241" t="s">
        <v>3347</v>
      </c>
      <c r="E216" s="241" t="s">
        <v>4818</v>
      </c>
      <c r="F216" s="241" t="s">
        <v>3328</v>
      </c>
      <c r="G216" s="242" t="s">
        <v>3378</v>
      </c>
      <c r="H216" s="608" t="s">
        <v>4819</v>
      </c>
      <c r="I216" s="194">
        <v>0</v>
      </c>
      <c r="J216" s="194">
        <v>387000</v>
      </c>
      <c r="K216" s="185">
        <v>0.9</v>
      </c>
      <c r="L216" s="183" t="s">
        <v>4810</v>
      </c>
      <c r="M216" s="183" t="s">
        <v>3434</v>
      </c>
      <c r="N216" s="183" t="s">
        <v>3434</v>
      </c>
      <c r="O216" s="226" t="s">
        <v>4522</v>
      </c>
    </row>
    <row r="217" spans="1:15" s="182" customFormat="1" ht="21.75" customHeight="1" x14ac:dyDescent="0.15">
      <c r="A217" s="151" t="s">
        <v>4805</v>
      </c>
      <c r="B217" s="20" t="s">
        <v>4806</v>
      </c>
      <c r="C217" s="241" t="s">
        <v>3363</v>
      </c>
      <c r="D217" s="241" t="s">
        <v>3360</v>
      </c>
      <c r="E217" s="241" t="s">
        <v>4829</v>
      </c>
      <c r="F217" s="279" t="s">
        <v>3328</v>
      </c>
      <c r="G217" s="242" t="s">
        <v>4830</v>
      </c>
      <c r="H217" s="541">
        <v>20164</v>
      </c>
      <c r="I217" s="194">
        <v>0</v>
      </c>
      <c r="J217" s="194">
        <v>314921</v>
      </c>
      <c r="K217" s="185">
        <v>1</v>
      </c>
      <c r="L217" s="183" t="s">
        <v>4828</v>
      </c>
      <c r="M217" s="183" t="s">
        <v>4831</v>
      </c>
      <c r="N217" s="183" t="s">
        <v>4831</v>
      </c>
      <c r="O217" s="541"/>
    </row>
    <row r="218" spans="1:15" s="182" customFormat="1" ht="21.75" customHeight="1" x14ac:dyDescent="0.15">
      <c r="A218" s="151" t="s">
        <v>4832</v>
      </c>
      <c r="B218" s="20" t="s">
        <v>4833</v>
      </c>
      <c r="C218" s="241" t="s">
        <v>3346</v>
      </c>
      <c r="D218" s="241" t="s">
        <v>3326</v>
      </c>
      <c r="E218" s="241" t="s">
        <v>873</v>
      </c>
      <c r="F218" s="241" t="s">
        <v>3328</v>
      </c>
      <c r="G218" s="242" t="s">
        <v>3349</v>
      </c>
      <c r="H218" s="541">
        <v>20112</v>
      </c>
      <c r="I218" s="194">
        <v>0</v>
      </c>
      <c r="J218" s="194">
        <v>120000</v>
      </c>
      <c r="K218" s="185">
        <v>1</v>
      </c>
      <c r="L218" s="183" t="s">
        <v>4835</v>
      </c>
      <c r="M218" s="183" t="s">
        <v>4836</v>
      </c>
      <c r="N218" s="183" t="s">
        <v>4836</v>
      </c>
      <c r="O218" s="541"/>
    </row>
    <row r="219" spans="1:15" s="182" customFormat="1" ht="21.75" customHeight="1" x14ac:dyDescent="0.15">
      <c r="A219" s="151" t="s">
        <v>4832</v>
      </c>
      <c r="B219" s="20" t="s">
        <v>4834</v>
      </c>
      <c r="C219" s="241" t="s">
        <v>3346</v>
      </c>
      <c r="D219" s="241" t="s">
        <v>3326</v>
      </c>
      <c r="E219" s="241" t="s">
        <v>4298</v>
      </c>
      <c r="F219" s="241" t="s">
        <v>3328</v>
      </c>
      <c r="G219" s="242" t="s">
        <v>3349</v>
      </c>
      <c r="H219" s="541">
        <v>20111</v>
      </c>
      <c r="I219" s="194">
        <v>0</v>
      </c>
      <c r="J219" s="194">
        <v>120000</v>
      </c>
      <c r="K219" s="185">
        <v>1</v>
      </c>
      <c r="L219" s="183" t="s">
        <v>4835</v>
      </c>
      <c r="M219" s="183" t="s">
        <v>4836</v>
      </c>
      <c r="N219" s="183" t="s">
        <v>4836</v>
      </c>
      <c r="O219" s="541"/>
    </row>
    <row r="220" spans="1:15" s="182" customFormat="1" ht="21.75" customHeight="1" x14ac:dyDescent="0.15">
      <c r="A220" s="151" t="s">
        <v>4838</v>
      </c>
      <c r="B220" s="20" t="s">
        <v>4744</v>
      </c>
      <c r="C220" s="241" t="s">
        <v>3363</v>
      </c>
      <c r="D220" s="241" t="s">
        <v>3354</v>
      </c>
      <c r="E220" s="241" t="s">
        <v>4049</v>
      </c>
      <c r="F220" s="241" t="s">
        <v>3328</v>
      </c>
      <c r="G220" s="242" t="s">
        <v>4375</v>
      </c>
      <c r="H220" s="541">
        <v>20027</v>
      </c>
      <c r="I220" s="194">
        <v>0</v>
      </c>
      <c r="J220" s="194">
        <v>47250</v>
      </c>
      <c r="K220" s="185" t="s">
        <v>4840</v>
      </c>
      <c r="L220" s="183" t="s">
        <v>4841</v>
      </c>
      <c r="M220" s="183" t="s">
        <v>4842</v>
      </c>
      <c r="N220" s="183" t="s">
        <v>4842</v>
      </c>
      <c r="O220" s="541"/>
    </row>
    <row r="221" spans="1:15" s="182" customFormat="1" ht="21.75" customHeight="1" x14ac:dyDescent="0.15">
      <c r="A221" s="151" t="s">
        <v>4838</v>
      </c>
      <c r="B221" s="20" t="s">
        <v>4839</v>
      </c>
      <c r="C221" s="241" t="s">
        <v>3363</v>
      </c>
      <c r="D221" s="241" t="s">
        <v>3354</v>
      </c>
      <c r="E221" s="241" t="s">
        <v>4057</v>
      </c>
      <c r="F221" s="241" t="s">
        <v>3328</v>
      </c>
      <c r="G221" s="242" t="s">
        <v>4375</v>
      </c>
      <c r="H221" s="541">
        <v>20026</v>
      </c>
      <c r="I221" s="194">
        <v>0</v>
      </c>
      <c r="J221" s="194">
        <v>76000</v>
      </c>
      <c r="K221" s="185" t="s">
        <v>4843</v>
      </c>
      <c r="L221" s="183" t="s">
        <v>4841</v>
      </c>
      <c r="M221" s="183" t="s">
        <v>4842</v>
      </c>
      <c r="N221" s="183" t="s">
        <v>4842</v>
      </c>
      <c r="O221" s="541"/>
    </row>
    <row r="222" spans="1:15" s="182" customFormat="1" ht="21.75" customHeight="1" x14ac:dyDescent="0.15">
      <c r="A222" s="151" t="s">
        <v>4838</v>
      </c>
      <c r="B222" s="20" t="s">
        <v>4745</v>
      </c>
      <c r="C222" s="241" t="s">
        <v>3363</v>
      </c>
      <c r="D222" s="241" t="s">
        <v>3354</v>
      </c>
      <c r="E222" s="241" t="s">
        <v>4454</v>
      </c>
      <c r="F222" s="241" t="s">
        <v>3328</v>
      </c>
      <c r="G222" s="242" t="s">
        <v>4375</v>
      </c>
      <c r="H222" s="541">
        <v>20025</v>
      </c>
      <c r="I222" s="194">
        <v>0</v>
      </c>
      <c r="J222" s="194">
        <v>20000</v>
      </c>
      <c r="K222" s="185" t="s">
        <v>4844</v>
      </c>
      <c r="L222" s="183" t="s">
        <v>4845</v>
      </c>
      <c r="M222" s="183" t="s">
        <v>3957</v>
      </c>
      <c r="N222" s="183" t="s">
        <v>3957</v>
      </c>
      <c r="O222" s="541"/>
    </row>
    <row r="223" spans="1:15" s="182" customFormat="1" ht="21.75" customHeight="1" x14ac:dyDescent="0.15">
      <c r="A223" s="151" t="s">
        <v>4838</v>
      </c>
      <c r="B223" s="20" t="s">
        <v>4745</v>
      </c>
      <c r="C223" s="279" t="s">
        <v>3363</v>
      </c>
      <c r="D223" s="279" t="s">
        <v>3354</v>
      </c>
      <c r="E223" s="279" t="s">
        <v>4454</v>
      </c>
      <c r="F223" s="279" t="s">
        <v>3328</v>
      </c>
      <c r="G223" s="242" t="s">
        <v>3518</v>
      </c>
      <c r="H223" s="541">
        <v>19143</v>
      </c>
      <c r="I223" s="194">
        <v>0</v>
      </c>
      <c r="J223" s="194">
        <v>9000</v>
      </c>
      <c r="K223" s="185" t="s">
        <v>4846</v>
      </c>
      <c r="L223" s="183" t="s">
        <v>4849</v>
      </c>
      <c r="M223" s="183" t="s">
        <v>4847</v>
      </c>
      <c r="N223" s="183" t="s">
        <v>4848</v>
      </c>
      <c r="O223" s="541"/>
    </row>
    <row r="224" spans="1:15" s="182" customFormat="1" ht="21.75" customHeight="1" x14ac:dyDescent="0.15">
      <c r="A224" s="151" t="s">
        <v>4850</v>
      </c>
      <c r="B224" s="20" t="s">
        <v>1003</v>
      </c>
      <c r="C224" s="279" t="s">
        <v>3365</v>
      </c>
      <c r="D224" s="241" t="s">
        <v>3354</v>
      </c>
      <c r="E224" s="236" t="s">
        <v>2013</v>
      </c>
      <c r="F224" s="599" t="s">
        <v>3366</v>
      </c>
      <c r="G224" s="242" t="s">
        <v>3367</v>
      </c>
      <c r="H224" s="541">
        <v>17026</v>
      </c>
      <c r="I224" s="194">
        <v>0</v>
      </c>
      <c r="J224" s="194">
        <v>2574</v>
      </c>
      <c r="K224" s="185">
        <v>0.1</v>
      </c>
      <c r="L224" s="183" t="s">
        <v>4851</v>
      </c>
      <c r="M224" s="183" t="s">
        <v>4852</v>
      </c>
      <c r="N224" s="183" t="s">
        <v>3388</v>
      </c>
      <c r="O224" s="541"/>
    </row>
    <row r="225" spans="1:15" s="182" customFormat="1" ht="21.75" customHeight="1" x14ac:dyDescent="0.15">
      <c r="A225" s="151" t="s">
        <v>4853</v>
      </c>
      <c r="B225" s="20" t="s">
        <v>4854</v>
      </c>
      <c r="C225" s="241" t="s">
        <v>3363</v>
      </c>
      <c r="D225" s="241" t="s">
        <v>3702</v>
      </c>
      <c r="E225" s="241" t="s">
        <v>3986</v>
      </c>
      <c r="F225" s="241" t="s">
        <v>3328</v>
      </c>
      <c r="G225" s="242" t="s">
        <v>3349</v>
      </c>
      <c r="H225" s="178">
        <v>20014</v>
      </c>
      <c r="I225" s="194">
        <v>0</v>
      </c>
      <c r="J225" s="194">
        <v>50000</v>
      </c>
      <c r="K225" s="185">
        <v>0.5</v>
      </c>
      <c r="L225" s="183" t="s">
        <v>4855</v>
      </c>
      <c r="M225" s="183" t="s">
        <v>4856</v>
      </c>
      <c r="N225" s="183" t="s">
        <v>4856</v>
      </c>
      <c r="O225" s="541"/>
    </row>
    <row r="226" spans="1:15" s="182" customFormat="1" ht="21.75" customHeight="1" x14ac:dyDescent="0.15">
      <c r="A226" s="151" t="s">
        <v>4858</v>
      </c>
      <c r="B226" s="20" t="s">
        <v>4857</v>
      </c>
      <c r="C226" s="241" t="s">
        <v>4396</v>
      </c>
      <c r="D226" s="241" t="s">
        <v>3326</v>
      </c>
      <c r="E226" s="241" t="s">
        <v>4397</v>
      </c>
      <c r="F226" s="241" t="s">
        <v>3328</v>
      </c>
      <c r="G226" s="242" t="s">
        <v>4065</v>
      </c>
      <c r="H226" s="610" t="s">
        <v>4490</v>
      </c>
      <c r="I226" s="194">
        <v>0</v>
      </c>
      <c r="J226" s="194">
        <v>24250</v>
      </c>
      <c r="K226" s="185">
        <v>0.05</v>
      </c>
      <c r="L226" s="183" t="s">
        <v>4859</v>
      </c>
      <c r="M226" s="241" t="s">
        <v>3725</v>
      </c>
      <c r="N226" s="241" t="s">
        <v>4399</v>
      </c>
      <c r="O226" s="541"/>
    </row>
    <row r="227" spans="1:15" s="182" customFormat="1" ht="21.75" customHeight="1" x14ac:dyDescent="0.15">
      <c r="A227" s="151" t="s">
        <v>4858</v>
      </c>
      <c r="B227" s="20" t="s">
        <v>4857</v>
      </c>
      <c r="C227" s="241" t="s">
        <v>4396</v>
      </c>
      <c r="D227" s="241" t="s">
        <v>3326</v>
      </c>
      <c r="E227" s="241" t="s">
        <v>4400</v>
      </c>
      <c r="F227" s="241" t="s">
        <v>3328</v>
      </c>
      <c r="G227" s="242" t="s">
        <v>4065</v>
      </c>
      <c r="H227" s="610" t="s">
        <v>4491</v>
      </c>
      <c r="I227" s="194">
        <v>0</v>
      </c>
      <c r="J227" s="194">
        <v>24500</v>
      </c>
      <c r="K227" s="185">
        <v>0.05</v>
      </c>
      <c r="L227" s="183" t="s">
        <v>4859</v>
      </c>
      <c r="M227" s="241" t="s">
        <v>3725</v>
      </c>
      <c r="N227" s="241" t="s">
        <v>4399</v>
      </c>
      <c r="O227" s="609"/>
    </row>
    <row r="228" spans="1:15" s="182" customFormat="1" ht="21.75" customHeight="1" x14ac:dyDescent="0.15">
      <c r="A228" s="151" t="s">
        <v>4858</v>
      </c>
      <c r="B228" s="20" t="s">
        <v>4857</v>
      </c>
      <c r="C228" s="241" t="s">
        <v>4396</v>
      </c>
      <c r="D228" s="241" t="s">
        <v>3326</v>
      </c>
      <c r="E228" s="241" t="s">
        <v>4401</v>
      </c>
      <c r="F228" s="241" t="s">
        <v>3328</v>
      </c>
      <c r="G228" s="242" t="s">
        <v>4065</v>
      </c>
      <c r="H228" s="610" t="s">
        <v>4492</v>
      </c>
      <c r="I228" s="194">
        <v>0</v>
      </c>
      <c r="J228" s="194">
        <v>24500</v>
      </c>
      <c r="K228" s="185">
        <v>0.05</v>
      </c>
      <c r="L228" s="183" t="s">
        <v>4859</v>
      </c>
      <c r="M228" s="241" t="s">
        <v>3725</v>
      </c>
      <c r="N228" s="241" t="s">
        <v>4399</v>
      </c>
      <c r="O228" s="609"/>
    </row>
    <row r="229" spans="1:15" s="182" customFormat="1" ht="21.75" customHeight="1" x14ac:dyDescent="0.15">
      <c r="A229" s="151" t="s">
        <v>4858</v>
      </c>
      <c r="B229" s="20" t="s">
        <v>4857</v>
      </c>
      <c r="C229" s="224" t="s">
        <v>3334</v>
      </c>
      <c r="D229" s="224" t="s">
        <v>3326</v>
      </c>
      <c r="E229" s="224" t="s">
        <v>4860</v>
      </c>
      <c r="F229" s="207" t="s">
        <v>3328</v>
      </c>
      <c r="G229" s="235" t="s">
        <v>4861</v>
      </c>
      <c r="H229" s="178">
        <v>21107</v>
      </c>
      <c r="I229" s="194">
        <v>0</v>
      </c>
      <c r="J229" s="194">
        <v>57000</v>
      </c>
      <c r="K229" s="185">
        <v>1</v>
      </c>
      <c r="L229" s="183" t="s">
        <v>4862</v>
      </c>
      <c r="M229" s="241" t="s">
        <v>3725</v>
      </c>
      <c r="N229" s="241" t="s">
        <v>3725</v>
      </c>
      <c r="O229" s="541"/>
    </row>
    <row r="230" spans="1:15" s="182" customFormat="1" ht="21.75" customHeight="1" x14ac:dyDescent="0.15">
      <c r="A230" s="151" t="s">
        <v>4863</v>
      </c>
      <c r="B230" s="20" t="s">
        <v>4736</v>
      </c>
      <c r="C230" s="241" t="s">
        <v>3346</v>
      </c>
      <c r="D230" s="241" t="s">
        <v>3851</v>
      </c>
      <c r="E230" s="241" t="s">
        <v>4739</v>
      </c>
      <c r="F230" s="241" t="s">
        <v>3355</v>
      </c>
      <c r="G230" s="242" t="s">
        <v>3941</v>
      </c>
      <c r="H230" s="178">
        <v>21060</v>
      </c>
      <c r="I230" s="194">
        <v>0</v>
      </c>
      <c r="J230" s="194">
        <v>69900</v>
      </c>
      <c r="K230" s="185">
        <v>0.3</v>
      </c>
      <c r="L230" s="183" t="s">
        <v>4864</v>
      </c>
      <c r="M230" s="183" t="s">
        <v>4865</v>
      </c>
      <c r="N230" s="183" t="s">
        <v>4865</v>
      </c>
      <c r="O230" s="541"/>
    </row>
    <row r="231" spans="1:15" s="182" customFormat="1" ht="21.75" customHeight="1" x14ac:dyDescent="0.15">
      <c r="A231" s="151" t="s">
        <v>4866</v>
      </c>
      <c r="B231" s="20" t="s">
        <v>4867</v>
      </c>
      <c r="C231" s="241" t="s">
        <v>3351</v>
      </c>
      <c r="D231" s="241" t="s">
        <v>3352</v>
      </c>
      <c r="E231" s="241" t="s">
        <v>3757</v>
      </c>
      <c r="F231" s="241" t="s">
        <v>3328</v>
      </c>
      <c r="G231" s="242" t="s">
        <v>3349</v>
      </c>
      <c r="H231" s="178">
        <v>21055</v>
      </c>
      <c r="I231" s="194">
        <v>0</v>
      </c>
      <c r="J231" s="194">
        <v>40000</v>
      </c>
      <c r="K231" s="185">
        <v>0.5</v>
      </c>
      <c r="L231" s="183" t="s">
        <v>4876</v>
      </c>
      <c r="M231" s="183" t="s">
        <v>4877</v>
      </c>
      <c r="N231" s="183" t="s">
        <v>4878</v>
      </c>
      <c r="O231" s="541"/>
    </row>
    <row r="232" spans="1:15" s="182" customFormat="1" ht="21.75" customHeight="1" x14ac:dyDescent="0.15">
      <c r="A232" s="151" t="s">
        <v>4868</v>
      </c>
      <c r="B232" s="20" t="s">
        <v>4869</v>
      </c>
      <c r="C232" s="241" t="s">
        <v>4870</v>
      </c>
      <c r="D232" s="241" t="s">
        <v>3415</v>
      </c>
      <c r="E232" s="599" t="s">
        <v>1130</v>
      </c>
      <c r="F232" s="241" t="s">
        <v>3332</v>
      </c>
      <c r="G232" s="242" t="s">
        <v>3381</v>
      </c>
      <c r="H232" s="178">
        <v>18014</v>
      </c>
      <c r="I232" s="194">
        <v>0</v>
      </c>
      <c r="J232" s="194">
        <v>93100</v>
      </c>
      <c r="K232" s="185">
        <v>0.95</v>
      </c>
      <c r="L232" s="183" t="s">
        <v>4871</v>
      </c>
      <c r="M232" s="241" t="s">
        <v>4852</v>
      </c>
      <c r="N232" s="596" t="s">
        <v>4399</v>
      </c>
      <c r="O232" s="541"/>
    </row>
    <row r="233" spans="1:15" s="182" customFormat="1" ht="21.75" customHeight="1" x14ac:dyDescent="0.15">
      <c r="A233" s="151" t="s">
        <v>4868</v>
      </c>
      <c r="B233" s="20" t="s">
        <v>4869</v>
      </c>
      <c r="C233" s="241" t="s">
        <v>4872</v>
      </c>
      <c r="D233" s="368" t="s">
        <v>3347</v>
      </c>
      <c r="E233" s="596" t="s">
        <v>4873</v>
      </c>
      <c r="F233" s="241" t="s">
        <v>3328</v>
      </c>
      <c r="G233" s="242" t="s">
        <v>3349</v>
      </c>
      <c r="H233" s="541">
        <v>19003</v>
      </c>
      <c r="I233" s="194">
        <v>0</v>
      </c>
      <c r="J233" s="194">
        <v>79200</v>
      </c>
      <c r="K233" s="185">
        <v>0.9</v>
      </c>
      <c r="L233" s="183" t="s">
        <v>4871</v>
      </c>
      <c r="M233" s="596" t="s">
        <v>4399</v>
      </c>
      <c r="N233" s="596" t="s">
        <v>4399</v>
      </c>
      <c r="O233" s="541"/>
    </row>
    <row r="234" spans="1:15" s="182" customFormat="1" ht="21.75" customHeight="1" x14ac:dyDescent="0.15">
      <c r="A234" s="151" t="s">
        <v>4868</v>
      </c>
      <c r="B234" s="20" t="s">
        <v>4715</v>
      </c>
      <c r="C234" s="241" t="s">
        <v>3351</v>
      </c>
      <c r="D234" s="241" t="s">
        <v>3347</v>
      </c>
      <c r="E234" s="241" t="s">
        <v>4360</v>
      </c>
      <c r="F234" s="241" t="s">
        <v>3340</v>
      </c>
      <c r="G234" s="242" t="s">
        <v>3477</v>
      </c>
      <c r="H234" s="541">
        <v>21065</v>
      </c>
      <c r="I234" s="194">
        <v>0</v>
      </c>
      <c r="J234" s="194">
        <v>90000</v>
      </c>
      <c r="K234" s="185">
        <v>0.9</v>
      </c>
      <c r="L234" s="183" t="s">
        <v>4874</v>
      </c>
      <c r="M234" s="183" t="s">
        <v>4875</v>
      </c>
      <c r="N234" s="183" t="s">
        <v>4875</v>
      </c>
      <c r="O234" s="541"/>
    </row>
    <row r="235" spans="1:15" s="182" customFormat="1" ht="21.75" customHeight="1" x14ac:dyDescent="0.15">
      <c r="A235" s="151" t="s">
        <v>4879</v>
      </c>
      <c r="B235" s="20" t="s">
        <v>4880</v>
      </c>
      <c r="C235" s="241" t="s">
        <v>3363</v>
      </c>
      <c r="D235" s="241" t="s">
        <v>3460</v>
      </c>
      <c r="E235" s="241" t="s">
        <v>3461</v>
      </c>
      <c r="F235" s="241" t="s">
        <v>3332</v>
      </c>
      <c r="G235" s="242" t="s">
        <v>3349</v>
      </c>
      <c r="H235" s="541">
        <v>20113</v>
      </c>
      <c r="I235" s="194">
        <v>0</v>
      </c>
      <c r="J235" s="194">
        <v>20000</v>
      </c>
      <c r="K235" s="185">
        <v>0.2</v>
      </c>
      <c r="L235" s="183" t="s">
        <v>4882</v>
      </c>
      <c r="M235" s="183" t="s">
        <v>4883</v>
      </c>
      <c r="N235" s="183" t="s">
        <v>4883</v>
      </c>
      <c r="O235" s="541"/>
    </row>
    <row r="236" spans="1:15" s="182" customFormat="1" ht="21.75" customHeight="1" x14ac:dyDescent="0.15">
      <c r="A236" s="151" t="s">
        <v>4879</v>
      </c>
      <c r="B236" s="20" t="s">
        <v>4881</v>
      </c>
      <c r="C236" s="241" t="s">
        <v>3334</v>
      </c>
      <c r="D236" s="241" t="s">
        <v>3326</v>
      </c>
      <c r="E236" s="241" t="s">
        <v>4860</v>
      </c>
      <c r="F236" s="241" t="s">
        <v>3332</v>
      </c>
      <c r="G236" s="242" t="s">
        <v>3336</v>
      </c>
      <c r="H236" s="541">
        <v>21062</v>
      </c>
      <c r="I236" s="194">
        <v>0</v>
      </c>
      <c r="J236" s="194">
        <v>231200</v>
      </c>
      <c r="K236" s="185">
        <v>1</v>
      </c>
      <c r="L236" s="183" t="s">
        <v>4884</v>
      </c>
      <c r="M236" s="241" t="s">
        <v>4398</v>
      </c>
      <c r="N236" s="241" t="s">
        <v>4399</v>
      </c>
      <c r="O236" s="541"/>
    </row>
    <row r="237" spans="1:15" s="182" customFormat="1" ht="21.75" customHeight="1" x14ac:dyDescent="0.15">
      <c r="A237" s="151" t="s">
        <v>4885</v>
      </c>
      <c r="B237" s="20" t="s">
        <v>4886</v>
      </c>
      <c r="C237" s="241" t="s">
        <v>3995</v>
      </c>
      <c r="D237" s="241" t="s">
        <v>3354</v>
      </c>
      <c r="E237" s="241" t="s">
        <v>3996</v>
      </c>
      <c r="F237" s="241" t="s">
        <v>3340</v>
      </c>
      <c r="G237" s="242" t="s">
        <v>3997</v>
      </c>
      <c r="H237" s="509">
        <v>19040</v>
      </c>
      <c r="I237" s="194">
        <v>0</v>
      </c>
      <c r="J237" s="194">
        <v>2990</v>
      </c>
      <c r="K237" s="185">
        <v>0.05</v>
      </c>
      <c r="L237" s="183" t="s">
        <v>4887</v>
      </c>
      <c r="M237" s="183" t="s">
        <v>4888</v>
      </c>
      <c r="N237" s="183" t="s">
        <v>4889</v>
      </c>
      <c r="O237" s="541"/>
    </row>
    <row r="238" spans="1:15" s="182" customFormat="1" ht="21.75" customHeight="1" x14ac:dyDescent="0.15">
      <c r="A238" s="151" t="s">
        <v>4890</v>
      </c>
      <c r="B238" s="20" t="s">
        <v>4891</v>
      </c>
      <c r="C238" s="241" t="s">
        <v>3351</v>
      </c>
      <c r="D238" s="241" t="s">
        <v>3352</v>
      </c>
      <c r="E238" s="241" t="s">
        <v>4475</v>
      </c>
      <c r="F238" s="241" t="s">
        <v>3328</v>
      </c>
      <c r="G238" s="242" t="s">
        <v>4515</v>
      </c>
      <c r="H238" s="509">
        <v>20069</v>
      </c>
      <c r="I238" s="194">
        <v>0</v>
      </c>
      <c r="J238" s="194">
        <v>49300</v>
      </c>
      <c r="K238" s="185">
        <v>0.1</v>
      </c>
      <c r="L238" s="183" t="s">
        <v>4900</v>
      </c>
      <c r="M238" s="183" t="s">
        <v>4898</v>
      </c>
      <c r="N238" s="183" t="s">
        <v>4899</v>
      </c>
      <c r="O238" s="541"/>
    </row>
    <row r="239" spans="1:15" s="182" customFormat="1" ht="21.75" customHeight="1" x14ac:dyDescent="0.15">
      <c r="A239" s="151" t="s">
        <v>4892</v>
      </c>
      <c r="B239" s="20" t="s">
        <v>4893</v>
      </c>
      <c r="C239" s="241" t="s">
        <v>3363</v>
      </c>
      <c r="D239" s="241" t="s">
        <v>3360</v>
      </c>
      <c r="E239" s="241" t="s">
        <v>4901</v>
      </c>
      <c r="F239" s="279" t="s">
        <v>3328</v>
      </c>
      <c r="G239" s="242" t="s">
        <v>4830</v>
      </c>
      <c r="H239" s="541">
        <v>20163</v>
      </c>
      <c r="I239" s="194">
        <v>0</v>
      </c>
      <c r="J239" s="194">
        <v>309531</v>
      </c>
      <c r="K239" s="185">
        <v>1</v>
      </c>
      <c r="L239" s="183" t="s">
        <v>4902</v>
      </c>
      <c r="M239" s="183" t="s">
        <v>4903</v>
      </c>
      <c r="N239" s="183" t="s">
        <v>4903</v>
      </c>
      <c r="O239" s="541"/>
    </row>
    <row r="240" spans="1:15" s="182" customFormat="1" ht="21.75" customHeight="1" x14ac:dyDescent="0.15">
      <c r="A240" s="151" t="s">
        <v>4894</v>
      </c>
      <c r="B240" s="20" t="s">
        <v>4895</v>
      </c>
      <c r="C240" s="241" t="s">
        <v>3371</v>
      </c>
      <c r="D240" s="241" t="s">
        <v>3572</v>
      </c>
      <c r="E240" s="599" t="s">
        <v>39</v>
      </c>
      <c r="F240" s="241" t="s">
        <v>3355</v>
      </c>
      <c r="G240" s="242" t="s">
        <v>3580</v>
      </c>
      <c r="H240" s="541">
        <v>18021</v>
      </c>
      <c r="I240" s="194">
        <v>0</v>
      </c>
      <c r="J240" s="194">
        <v>13200</v>
      </c>
      <c r="K240" s="185">
        <v>0.1</v>
      </c>
      <c r="L240" s="183" t="s">
        <v>4904</v>
      </c>
      <c r="M240" s="183" t="s">
        <v>4905</v>
      </c>
      <c r="N240" s="183" t="s">
        <v>4899</v>
      </c>
      <c r="O240" s="541"/>
    </row>
    <row r="241" spans="1:15" s="182" customFormat="1" ht="21.75" customHeight="1" x14ac:dyDescent="0.15">
      <c r="A241" s="151" t="s">
        <v>4894</v>
      </c>
      <c r="B241" s="20" t="s">
        <v>4725</v>
      </c>
      <c r="C241" s="241" t="s">
        <v>3346</v>
      </c>
      <c r="D241" s="241" t="s">
        <v>3851</v>
      </c>
      <c r="E241" s="241" t="s">
        <v>4726</v>
      </c>
      <c r="F241" s="241" t="s">
        <v>3355</v>
      </c>
      <c r="G241" s="242" t="s">
        <v>3941</v>
      </c>
      <c r="H241" s="541">
        <v>21056</v>
      </c>
      <c r="I241" s="194">
        <v>0</v>
      </c>
      <c r="J241" s="194">
        <v>69900</v>
      </c>
      <c r="K241" s="185">
        <v>0.3</v>
      </c>
      <c r="L241" s="183" t="s">
        <v>4906</v>
      </c>
      <c r="M241" s="183" t="s">
        <v>4907</v>
      </c>
      <c r="N241" s="183" t="s">
        <v>4907</v>
      </c>
      <c r="O241" s="541"/>
    </row>
    <row r="242" spans="1:15" s="182" customFormat="1" ht="21.75" customHeight="1" x14ac:dyDescent="0.15">
      <c r="A242" s="151" t="s">
        <v>4896</v>
      </c>
      <c r="B242" s="20" t="s">
        <v>4897</v>
      </c>
      <c r="C242" s="241" t="s">
        <v>3346</v>
      </c>
      <c r="D242" s="241" t="s">
        <v>3702</v>
      </c>
      <c r="E242" s="241" t="s">
        <v>3406</v>
      </c>
      <c r="F242" s="241" t="s">
        <v>3328</v>
      </c>
      <c r="G242" s="242" t="s">
        <v>3349</v>
      </c>
      <c r="H242" s="541">
        <v>20013</v>
      </c>
      <c r="I242" s="194">
        <v>0</v>
      </c>
      <c r="J242" s="194">
        <v>50000</v>
      </c>
      <c r="K242" s="185">
        <v>0.5</v>
      </c>
      <c r="L242" s="183" t="s">
        <v>4908</v>
      </c>
      <c r="M242" s="183" t="s">
        <v>4907</v>
      </c>
      <c r="N242" s="183" t="s">
        <v>4907</v>
      </c>
      <c r="O242" s="512"/>
    </row>
    <row r="243" spans="1:15" s="182" customFormat="1" ht="21.75" customHeight="1" x14ac:dyDescent="0.15">
      <c r="A243" s="151" t="s">
        <v>4896</v>
      </c>
      <c r="B243" s="20" t="s">
        <v>4833</v>
      </c>
      <c r="C243" s="236" t="s">
        <v>3346</v>
      </c>
      <c r="D243" s="612" t="s">
        <v>3326</v>
      </c>
      <c r="E243" s="180" t="s">
        <v>873</v>
      </c>
      <c r="F243" s="184" t="s">
        <v>3355</v>
      </c>
      <c r="G243" s="235" t="s">
        <v>4786</v>
      </c>
      <c r="H243" s="541">
        <v>21075</v>
      </c>
      <c r="I243" s="194">
        <v>0</v>
      </c>
      <c r="J243" s="194">
        <v>80750</v>
      </c>
      <c r="K243" s="185">
        <v>0.95</v>
      </c>
      <c r="L243" s="183" t="s">
        <v>4909</v>
      </c>
      <c r="M243" s="183" t="s">
        <v>4907</v>
      </c>
      <c r="N243" s="183" t="s">
        <v>4907</v>
      </c>
      <c r="O243" s="541"/>
    </row>
    <row r="244" spans="1:15" s="182" customFormat="1" ht="21.75" customHeight="1" x14ac:dyDescent="0.15">
      <c r="A244" s="151" t="s">
        <v>4910</v>
      </c>
      <c r="B244" s="20" t="s">
        <v>545</v>
      </c>
      <c r="C244" s="241" t="s">
        <v>3346</v>
      </c>
      <c r="D244" s="241" t="s">
        <v>3354</v>
      </c>
      <c r="E244" s="241" t="s">
        <v>921</v>
      </c>
      <c r="F244" s="267" t="s">
        <v>3328</v>
      </c>
      <c r="G244" s="242" t="s">
        <v>3349</v>
      </c>
      <c r="H244" s="541" t="s">
        <v>4914</v>
      </c>
      <c r="I244" s="194">
        <v>0</v>
      </c>
      <c r="J244" s="194">
        <v>75000</v>
      </c>
      <c r="K244" s="185">
        <v>0.5</v>
      </c>
      <c r="L244" s="183" t="s">
        <v>4919</v>
      </c>
      <c r="M244" s="183" t="s">
        <v>4920</v>
      </c>
      <c r="N244" s="183" t="s">
        <v>4921</v>
      </c>
      <c r="O244" s="541"/>
    </row>
    <row r="245" spans="1:15" s="182" customFormat="1" ht="21.75" customHeight="1" x14ac:dyDescent="0.15">
      <c r="A245" s="151" t="s">
        <v>4910</v>
      </c>
      <c r="B245" s="20" t="s">
        <v>545</v>
      </c>
      <c r="C245" s="241" t="s">
        <v>3346</v>
      </c>
      <c r="D245" s="241" t="s">
        <v>3354</v>
      </c>
      <c r="E245" s="241" t="s">
        <v>925</v>
      </c>
      <c r="F245" s="267" t="s">
        <v>3328</v>
      </c>
      <c r="G245" s="242" t="s">
        <v>3349</v>
      </c>
      <c r="H245" s="613" t="s">
        <v>4915</v>
      </c>
      <c r="I245" s="194">
        <v>0</v>
      </c>
      <c r="J245" s="194">
        <v>75000</v>
      </c>
      <c r="K245" s="185">
        <v>0.5</v>
      </c>
      <c r="L245" s="183" t="s">
        <v>4919</v>
      </c>
      <c r="M245" s="183" t="s">
        <v>4920</v>
      </c>
      <c r="N245" s="183" t="s">
        <v>4921</v>
      </c>
      <c r="O245" s="541"/>
    </row>
    <row r="246" spans="1:15" s="182" customFormat="1" ht="21.75" customHeight="1" x14ac:dyDescent="0.15">
      <c r="A246" s="151" t="s">
        <v>4910</v>
      </c>
      <c r="B246" s="20" t="s">
        <v>4749</v>
      </c>
      <c r="C246" s="241" t="s">
        <v>3346</v>
      </c>
      <c r="D246" s="241" t="s">
        <v>3354</v>
      </c>
      <c r="E246" s="241" t="s">
        <v>3562</v>
      </c>
      <c r="F246" s="267" t="s">
        <v>3328</v>
      </c>
      <c r="G246" s="242" t="s">
        <v>3349</v>
      </c>
      <c r="H246" s="613" t="s">
        <v>4916</v>
      </c>
      <c r="I246" s="194">
        <v>0</v>
      </c>
      <c r="J246" s="194">
        <v>75000</v>
      </c>
      <c r="K246" s="185">
        <v>0.5</v>
      </c>
      <c r="L246" s="183" t="s">
        <v>4919</v>
      </c>
      <c r="M246" s="183" t="s">
        <v>4920</v>
      </c>
      <c r="N246" s="183" t="s">
        <v>4921</v>
      </c>
      <c r="O246" s="541"/>
    </row>
    <row r="247" spans="1:15" s="182" customFormat="1" ht="21.75" customHeight="1" x14ac:dyDescent="0.15">
      <c r="A247" s="151" t="s">
        <v>4910</v>
      </c>
      <c r="B247" s="20" t="s">
        <v>4911</v>
      </c>
      <c r="C247" s="241" t="s">
        <v>3346</v>
      </c>
      <c r="D247" s="241" t="s">
        <v>3354</v>
      </c>
      <c r="E247" s="241" t="s">
        <v>844</v>
      </c>
      <c r="F247" s="267" t="s">
        <v>3328</v>
      </c>
      <c r="G247" s="242" t="s">
        <v>3349</v>
      </c>
      <c r="H247" s="541" t="s">
        <v>4917</v>
      </c>
      <c r="I247" s="194">
        <v>0</v>
      </c>
      <c r="J247" s="194">
        <v>75000</v>
      </c>
      <c r="K247" s="185">
        <v>0.5</v>
      </c>
      <c r="L247" s="183" t="s">
        <v>4919</v>
      </c>
      <c r="M247" s="183" t="s">
        <v>4920</v>
      </c>
      <c r="N247" s="183" t="s">
        <v>4921</v>
      </c>
      <c r="O247" s="541"/>
    </row>
    <row r="248" spans="1:15" s="182" customFormat="1" ht="21.75" customHeight="1" x14ac:dyDescent="0.15">
      <c r="A248" s="151" t="s">
        <v>4910</v>
      </c>
      <c r="B248" s="20" t="s">
        <v>682</v>
      </c>
      <c r="C248" s="241" t="s">
        <v>3346</v>
      </c>
      <c r="D248" s="241" t="s">
        <v>3354</v>
      </c>
      <c r="E248" s="241" t="s">
        <v>846</v>
      </c>
      <c r="F248" s="267" t="s">
        <v>3328</v>
      </c>
      <c r="G248" s="242" t="s">
        <v>3349</v>
      </c>
      <c r="H248" s="541" t="s">
        <v>4918</v>
      </c>
      <c r="I248" s="194">
        <v>0</v>
      </c>
      <c r="J248" s="194">
        <v>75000</v>
      </c>
      <c r="K248" s="185">
        <v>0.5</v>
      </c>
      <c r="L248" s="183" t="s">
        <v>4919</v>
      </c>
      <c r="M248" s="183" t="s">
        <v>4920</v>
      </c>
      <c r="N248" s="183" t="s">
        <v>4921</v>
      </c>
      <c r="O248" s="541"/>
    </row>
    <row r="249" spans="1:15" s="182" customFormat="1" ht="21.75" customHeight="1" x14ac:dyDescent="0.15">
      <c r="A249" s="151" t="s">
        <v>4910</v>
      </c>
      <c r="B249" s="20" t="s">
        <v>4685</v>
      </c>
      <c r="C249" s="241" t="s">
        <v>3346</v>
      </c>
      <c r="D249" s="241" t="s">
        <v>3354</v>
      </c>
      <c r="E249" s="241" t="s">
        <v>3565</v>
      </c>
      <c r="F249" s="241" t="s">
        <v>3328</v>
      </c>
      <c r="G249" s="242" t="s">
        <v>3566</v>
      </c>
      <c r="H249" s="541">
        <v>19009</v>
      </c>
      <c r="I249" s="194">
        <v>0</v>
      </c>
      <c r="J249" s="194">
        <v>60000</v>
      </c>
      <c r="K249" s="185" t="s">
        <v>4922</v>
      </c>
      <c r="L249" s="183" t="s">
        <v>4919</v>
      </c>
      <c r="M249" s="183" t="s">
        <v>4921</v>
      </c>
      <c r="N249" s="183" t="s">
        <v>4921</v>
      </c>
      <c r="O249" s="541"/>
    </row>
    <row r="250" spans="1:15" s="182" customFormat="1" ht="21.75" customHeight="1" x14ac:dyDescent="0.15">
      <c r="A250" s="151" t="s">
        <v>4910</v>
      </c>
      <c r="B250" s="20" t="s">
        <v>4685</v>
      </c>
      <c r="C250" s="241" t="s">
        <v>3346</v>
      </c>
      <c r="D250" s="241" t="s">
        <v>3354</v>
      </c>
      <c r="E250" s="241" t="s">
        <v>3675</v>
      </c>
      <c r="F250" s="241" t="s">
        <v>3328</v>
      </c>
      <c r="G250" s="242" t="s">
        <v>3566</v>
      </c>
      <c r="H250" s="541">
        <v>19010</v>
      </c>
      <c r="I250" s="194">
        <v>0</v>
      </c>
      <c r="J250" s="194">
        <v>60000</v>
      </c>
      <c r="K250" s="185" t="s">
        <v>4922</v>
      </c>
      <c r="L250" s="183" t="s">
        <v>4919</v>
      </c>
      <c r="M250" s="183" t="s">
        <v>4921</v>
      </c>
      <c r="N250" s="183" t="s">
        <v>4921</v>
      </c>
      <c r="O250" s="541"/>
    </row>
    <row r="251" spans="1:15" s="182" customFormat="1" ht="21.75" customHeight="1" x14ac:dyDescent="0.15">
      <c r="A251" s="151" t="s">
        <v>4912</v>
      </c>
      <c r="B251" s="20" t="s">
        <v>4913</v>
      </c>
      <c r="C251" s="224" t="s">
        <v>3357</v>
      </c>
      <c r="D251" s="224" t="s">
        <v>3326</v>
      </c>
      <c r="E251" s="224" t="s">
        <v>4423</v>
      </c>
      <c r="F251" s="207" t="s">
        <v>3328</v>
      </c>
      <c r="G251" s="235" t="s">
        <v>4923</v>
      </c>
      <c r="H251" s="184">
        <v>21104</v>
      </c>
      <c r="I251" s="194">
        <v>0</v>
      </c>
      <c r="J251" s="194">
        <v>32540</v>
      </c>
      <c r="K251" s="185">
        <v>1</v>
      </c>
      <c r="L251" s="183" t="s">
        <v>4924</v>
      </c>
      <c r="M251" s="183" t="s">
        <v>4399</v>
      </c>
      <c r="N251" s="183" t="s">
        <v>4925</v>
      </c>
      <c r="O251" s="541"/>
    </row>
    <row r="252" spans="1:15" s="182" customFormat="1" ht="21.75" customHeight="1" x14ac:dyDescent="0.15">
      <c r="A252" s="151" t="s">
        <v>4926</v>
      </c>
      <c r="B252" s="20" t="s">
        <v>4927</v>
      </c>
      <c r="C252" s="236" t="s">
        <v>3371</v>
      </c>
      <c r="D252" s="236" t="s">
        <v>3572</v>
      </c>
      <c r="E252" s="614" t="s">
        <v>82</v>
      </c>
      <c r="F252" s="247" t="s">
        <v>3328</v>
      </c>
      <c r="G252" s="248" t="s">
        <v>4929</v>
      </c>
      <c r="H252" s="541">
        <v>12047</v>
      </c>
      <c r="I252" s="194">
        <v>0</v>
      </c>
      <c r="J252" s="194">
        <v>39000</v>
      </c>
      <c r="K252" s="185">
        <v>0.1</v>
      </c>
      <c r="L252" s="183" t="s">
        <v>4930</v>
      </c>
      <c r="M252" s="183" t="s">
        <v>3433</v>
      </c>
      <c r="N252" s="183" t="s">
        <v>4931</v>
      </c>
      <c r="O252" s="541"/>
    </row>
    <row r="253" spans="1:15" s="182" customFormat="1" ht="21.75" customHeight="1" x14ac:dyDescent="0.15">
      <c r="A253" s="151" t="s">
        <v>4926</v>
      </c>
      <c r="B253" s="20" t="s">
        <v>4744</v>
      </c>
      <c r="C253" s="241" t="s">
        <v>3363</v>
      </c>
      <c r="D253" s="241" t="s">
        <v>3354</v>
      </c>
      <c r="E253" s="241" t="s">
        <v>4049</v>
      </c>
      <c r="F253" s="241" t="s">
        <v>3328</v>
      </c>
      <c r="G253" s="242" t="s">
        <v>4375</v>
      </c>
      <c r="H253" s="541">
        <v>20027</v>
      </c>
      <c r="I253" s="194">
        <v>0</v>
      </c>
      <c r="J253" s="194">
        <v>47250</v>
      </c>
      <c r="K253" s="185" t="s">
        <v>4932</v>
      </c>
      <c r="L253" s="183" t="s">
        <v>4933</v>
      </c>
      <c r="M253" s="183" t="s">
        <v>4934</v>
      </c>
      <c r="N253" s="183" t="s">
        <v>4934</v>
      </c>
      <c r="O253" s="541"/>
    </row>
    <row r="254" spans="1:15" s="182" customFormat="1" ht="21.75" customHeight="1" x14ac:dyDescent="0.15">
      <c r="A254" s="151" t="s">
        <v>4926</v>
      </c>
      <c r="B254" s="20" t="s">
        <v>4928</v>
      </c>
      <c r="C254" s="615" t="s">
        <v>3371</v>
      </c>
      <c r="D254" s="614" t="s">
        <v>3572</v>
      </c>
      <c r="E254" s="247" t="s">
        <v>4935</v>
      </c>
      <c r="F254" s="247" t="s">
        <v>3328</v>
      </c>
      <c r="G254" s="248" t="s">
        <v>3574</v>
      </c>
      <c r="H254" s="541">
        <v>14024</v>
      </c>
      <c r="I254" s="194">
        <v>0</v>
      </c>
      <c r="J254" s="194">
        <v>26800</v>
      </c>
      <c r="K254" s="185">
        <v>0.1</v>
      </c>
      <c r="L254" s="183" t="s">
        <v>4930</v>
      </c>
      <c r="M254" s="183" t="s">
        <v>3433</v>
      </c>
      <c r="N254" s="183" t="s">
        <v>4931</v>
      </c>
      <c r="O254" s="541"/>
    </row>
    <row r="255" spans="1:15" s="182" customFormat="1" ht="21.75" customHeight="1" x14ac:dyDescent="0.15">
      <c r="A255" s="151" t="s">
        <v>4936</v>
      </c>
      <c r="B255" s="20" t="s">
        <v>4937</v>
      </c>
      <c r="C255" s="241" t="s">
        <v>3414</v>
      </c>
      <c r="D255" s="241" t="s">
        <v>3360</v>
      </c>
      <c r="E255" s="241" t="s">
        <v>4938</v>
      </c>
      <c r="F255" s="241" t="s">
        <v>3328</v>
      </c>
      <c r="G255" s="242" t="s">
        <v>3453</v>
      </c>
      <c r="H255" s="541">
        <v>20090</v>
      </c>
      <c r="I255" s="194">
        <v>0</v>
      </c>
      <c r="J255" s="194">
        <v>129870</v>
      </c>
      <c r="K255" s="185">
        <v>0.3</v>
      </c>
      <c r="L255" s="183" t="s">
        <v>4939</v>
      </c>
      <c r="M255" s="183" t="s">
        <v>4940</v>
      </c>
      <c r="N255" s="183" t="s">
        <v>4940</v>
      </c>
      <c r="O255" s="541"/>
    </row>
    <row r="256" spans="1:15" s="182" customFormat="1" ht="21.75" customHeight="1" x14ac:dyDescent="0.15">
      <c r="A256" s="151" t="s">
        <v>4945</v>
      </c>
      <c r="B256" s="20" t="s">
        <v>4947</v>
      </c>
      <c r="C256" s="241" t="s">
        <v>3376</v>
      </c>
      <c r="D256" s="241" t="s">
        <v>4948</v>
      </c>
      <c r="E256" s="241" t="s">
        <v>3960</v>
      </c>
      <c r="F256" s="241" t="s">
        <v>3328</v>
      </c>
      <c r="G256" s="242" t="s">
        <v>4375</v>
      </c>
      <c r="H256" s="541">
        <v>20049</v>
      </c>
      <c r="I256" s="194">
        <v>0</v>
      </c>
      <c r="J256" s="194">
        <v>90000</v>
      </c>
      <c r="K256" s="185">
        <v>1</v>
      </c>
      <c r="L256" s="183" t="s">
        <v>4949</v>
      </c>
      <c r="M256" s="183" t="s">
        <v>4950</v>
      </c>
      <c r="N256" s="183" t="s">
        <v>4708</v>
      </c>
      <c r="O256" s="541"/>
    </row>
    <row r="257" spans="1:15" s="182" customFormat="1" ht="21.75" customHeight="1" x14ac:dyDescent="0.15">
      <c r="A257" s="151" t="s">
        <v>4946</v>
      </c>
      <c r="B257" s="20" t="s">
        <v>4731</v>
      </c>
      <c r="C257" s="241" t="s">
        <v>3346</v>
      </c>
      <c r="D257" s="241" t="s">
        <v>3354</v>
      </c>
      <c r="E257" s="241" t="s">
        <v>845</v>
      </c>
      <c r="F257" s="267" t="s">
        <v>3328</v>
      </c>
      <c r="G257" s="242" t="s">
        <v>3349</v>
      </c>
      <c r="H257" s="541" t="s">
        <v>4951</v>
      </c>
      <c r="I257" s="194">
        <v>0</v>
      </c>
      <c r="J257" s="194">
        <v>75000</v>
      </c>
      <c r="K257" s="185">
        <v>0.5</v>
      </c>
      <c r="L257" s="183" t="s">
        <v>4706</v>
      </c>
      <c r="M257" s="183" t="s">
        <v>3725</v>
      </c>
      <c r="N257" s="183" t="s">
        <v>3726</v>
      </c>
      <c r="O257" s="541"/>
    </row>
    <row r="258" spans="1:15" s="182" customFormat="1" ht="21.75" customHeight="1" x14ac:dyDescent="0.15">
      <c r="A258" s="151" t="s">
        <v>4952</v>
      </c>
      <c r="B258" s="20" t="s">
        <v>4784</v>
      </c>
      <c r="C258" s="617" t="s">
        <v>3346</v>
      </c>
      <c r="D258" s="617" t="s">
        <v>3457</v>
      </c>
      <c r="E258" s="617" t="s">
        <v>4785</v>
      </c>
      <c r="F258" s="184" t="s">
        <v>3355</v>
      </c>
      <c r="G258" s="235" t="s">
        <v>4786</v>
      </c>
      <c r="H258" s="541">
        <v>21078</v>
      </c>
      <c r="I258" s="194">
        <v>0</v>
      </c>
      <c r="J258" s="194">
        <v>40000</v>
      </c>
      <c r="K258" s="185">
        <v>0.5</v>
      </c>
      <c r="L258" s="183" t="s">
        <v>4953</v>
      </c>
      <c r="M258" s="183" t="s">
        <v>4954</v>
      </c>
      <c r="N258" s="183" t="s">
        <v>4954</v>
      </c>
      <c r="O258" s="541"/>
    </row>
    <row r="259" spans="1:15" s="182" customFormat="1" ht="21.75" customHeight="1" x14ac:dyDescent="0.15">
      <c r="A259" s="151" t="s">
        <v>4955</v>
      </c>
      <c r="B259" s="20" t="s">
        <v>4956</v>
      </c>
      <c r="C259" s="241" t="s">
        <v>3337</v>
      </c>
      <c r="D259" s="241" t="s">
        <v>3338</v>
      </c>
      <c r="E259" s="241" t="s">
        <v>3339</v>
      </c>
      <c r="F259" s="241" t="s">
        <v>3340</v>
      </c>
      <c r="G259" s="242" t="s">
        <v>3349</v>
      </c>
      <c r="H259" s="541">
        <v>21064</v>
      </c>
      <c r="I259" s="194">
        <v>0</v>
      </c>
      <c r="J259" s="194">
        <v>37500</v>
      </c>
      <c r="K259" s="185">
        <v>0.5</v>
      </c>
      <c r="L259" s="183" t="s">
        <v>4706</v>
      </c>
      <c r="M259" s="183" t="s">
        <v>4957</v>
      </c>
      <c r="N259" s="183" t="s">
        <v>3726</v>
      </c>
      <c r="O259" s="541"/>
    </row>
    <row r="260" spans="1:15" s="182" customFormat="1" ht="21.75" customHeight="1" x14ac:dyDescent="0.15">
      <c r="A260" s="151" t="s">
        <v>4955</v>
      </c>
      <c r="B260" s="20" t="s">
        <v>4834</v>
      </c>
      <c r="C260" s="236" t="s">
        <v>3346</v>
      </c>
      <c r="D260" s="618" t="s">
        <v>3326</v>
      </c>
      <c r="E260" s="180" t="s">
        <v>4298</v>
      </c>
      <c r="F260" s="184" t="s">
        <v>3355</v>
      </c>
      <c r="G260" s="235" t="s">
        <v>4786</v>
      </c>
      <c r="H260" s="541">
        <v>21074</v>
      </c>
      <c r="I260" s="194">
        <v>0</v>
      </c>
      <c r="J260" s="194">
        <v>80750</v>
      </c>
      <c r="K260" s="185">
        <v>0.95</v>
      </c>
      <c r="L260" s="183" t="s">
        <v>4694</v>
      </c>
      <c r="M260" s="183" t="s">
        <v>3434</v>
      </c>
      <c r="N260" s="183" t="s">
        <v>3434</v>
      </c>
      <c r="O260" s="541"/>
    </row>
    <row r="261" spans="1:15" s="182" customFormat="1" ht="21.75" customHeight="1" x14ac:dyDescent="0.15">
      <c r="A261" s="151" t="s">
        <v>4958</v>
      </c>
      <c r="B261" s="20" t="s">
        <v>4897</v>
      </c>
      <c r="C261" s="620" t="s">
        <v>3371</v>
      </c>
      <c r="D261" s="620" t="s">
        <v>3405</v>
      </c>
      <c r="E261" s="620" t="s">
        <v>4325</v>
      </c>
      <c r="F261" s="241" t="s">
        <v>3328</v>
      </c>
      <c r="G261" s="242" t="s">
        <v>3566</v>
      </c>
      <c r="H261" s="541">
        <v>20178</v>
      </c>
      <c r="I261" s="194">
        <v>0</v>
      </c>
      <c r="J261" s="194">
        <v>50000</v>
      </c>
      <c r="K261" s="185" t="s">
        <v>4960</v>
      </c>
      <c r="L261" s="183" t="s">
        <v>4961</v>
      </c>
      <c r="M261" s="183" t="s">
        <v>3434</v>
      </c>
      <c r="N261" s="183" t="s">
        <v>3434</v>
      </c>
      <c r="O261" s="541"/>
    </row>
    <row r="262" spans="1:15" s="182" customFormat="1" ht="21.75" customHeight="1" x14ac:dyDescent="0.15">
      <c r="A262" s="151" t="s">
        <v>4959</v>
      </c>
      <c r="B262" s="226" t="s">
        <v>4962</v>
      </c>
      <c r="C262" s="184" t="s">
        <v>4963</v>
      </c>
      <c r="D262" s="184" t="s">
        <v>4964</v>
      </c>
      <c r="E262" s="184" t="s">
        <v>4965</v>
      </c>
      <c r="F262" s="184" t="s">
        <v>3328</v>
      </c>
      <c r="G262" s="235" t="s">
        <v>3329</v>
      </c>
      <c r="H262" s="541">
        <v>21086</v>
      </c>
      <c r="I262" s="194">
        <v>250000</v>
      </c>
      <c r="J262" s="194">
        <v>0</v>
      </c>
      <c r="K262" s="185" t="s">
        <v>4966</v>
      </c>
      <c r="L262" s="183" t="s">
        <v>4967</v>
      </c>
      <c r="M262" s="183" t="s">
        <v>3434</v>
      </c>
      <c r="N262" s="183" t="s">
        <v>3434</v>
      </c>
      <c r="O262" s="619" t="s">
        <v>4968</v>
      </c>
    </row>
    <row r="263" spans="1:15" s="182" customFormat="1" ht="21.75" customHeight="1" x14ac:dyDescent="0.15">
      <c r="A263" s="151" t="s">
        <v>4969</v>
      </c>
      <c r="B263" s="20" t="s">
        <v>4970</v>
      </c>
      <c r="C263" s="279" t="s">
        <v>3363</v>
      </c>
      <c r="D263" s="279" t="s">
        <v>3354</v>
      </c>
      <c r="E263" s="279" t="s">
        <v>4454</v>
      </c>
      <c r="F263" s="279" t="s">
        <v>3328</v>
      </c>
      <c r="G263" s="242" t="s">
        <v>3518</v>
      </c>
      <c r="H263" s="541">
        <v>19143</v>
      </c>
      <c r="I263" s="194">
        <v>0</v>
      </c>
      <c r="J263" s="194">
        <v>32000</v>
      </c>
      <c r="K263" s="185" t="s">
        <v>4981</v>
      </c>
      <c r="L263" s="183" t="s">
        <v>4978</v>
      </c>
      <c r="M263" s="183" t="s">
        <v>4979</v>
      </c>
      <c r="N263" s="183" t="s">
        <v>4980</v>
      </c>
      <c r="O263" s="541"/>
    </row>
    <row r="264" spans="1:15" s="182" customFormat="1" ht="21.75" customHeight="1" x14ac:dyDescent="0.15">
      <c r="A264" s="151" t="s">
        <v>4969</v>
      </c>
      <c r="B264" s="20" t="s">
        <v>4971</v>
      </c>
      <c r="C264" s="184" t="s">
        <v>4982</v>
      </c>
      <c r="D264" s="184" t="s">
        <v>4983</v>
      </c>
      <c r="E264" s="184" t="s">
        <v>4984</v>
      </c>
      <c r="F264" s="224" t="s">
        <v>3340</v>
      </c>
      <c r="G264" s="235" t="s">
        <v>4985</v>
      </c>
      <c r="H264" s="541" t="s">
        <v>4988</v>
      </c>
      <c r="I264" s="194">
        <v>0</v>
      </c>
      <c r="J264" s="194">
        <v>51840</v>
      </c>
      <c r="K264" s="185">
        <v>0.3</v>
      </c>
      <c r="L264" s="183" t="s">
        <v>4990</v>
      </c>
      <c r="M264" s="183" t="s">
        <v>4991</v>
      </c>
      <c r="N264" s="183" t="s">
        <v>4991</v>
      </c>
      <c r="O264" s="541"/>
    </row>
    <row r="265" spans="1:15" s="182" customFormat="1" ht="21.75" customHeight="1" x14ac:dyDescent="0.15">
      <c r="A265" s="151" t="s">
        <v>4969</v>
      </c>
      <c r="B265" s="20" t="s">
        <v>4971</v>
      </c>
      <c r="C265" s="184" t="s">
        <v>4982</v>
      </c>
      <c r="D265" s="184" t="s">
        <v>4983</v>
      </c>
      <c r="E265" s="184" t="s">
        <v>4986</v>
      </c>
      <c r="F265" s="184" t="s">
        <v>3400</v>
      </c>
      <c r="G265" s="235" t="s">
        <v>4987</v>
      </c>
      <c r="H265" s="621" t="s">
        <v>4989</v>
      </c>
      <c r="I265" s="194">
        <v>0</v>
      </c>
      <c r="J265" s="194">
        <v>22500</v>
      </c>
      <c r="K265" s="185">
        <v>0.3</v>
      </c>
      <c r="L265" s="183" t="s">
        <v>4990</v>
      </c>
      <c r="M265" s="183" t="s">
        <v>4991</v>
      </c>
      <c r="N265" s="183" t="s">
        <v>4991</v>
      </c>
      <c r="O265" s="621"/>
    </row>
    <row r="266" spans="1:15" s="182" customFormat="1" ht="21.75" customHeight="1" x14ac:dyDescent="0.15">
      <c r="A266" s="151" t="s">
        <v>4972</v>
      </c>
      <c r="B266" s="20" t="s">
        <v>4973</v>
      </c>
      <c r="C266" s="279" t="s">
        <v>3346</v>
      </c>
      <c r="D266" s="279" t="s">
        <v>3360</v>
      </c>
      <c r="E266" s="279" t="s">
        <v>4992</v>
      </c>
      <c r="F266" s="599" t="s">
        <v>3579</v>
      </c>
      <c r="G266" s="240" t="s">
        <v>4993</v>
      </c>
      <c r="H266" s="541">
        <v>18056</v>
      </c>
      <c r="I266" s="194">
        <v>0</v>
      </c>
      <c r="J266" s="194">
        <v>13200</v>
      </c>
      <c r="K266" s="185">
        <v>0.1</v>
      </c>
      <c r="L266" s="183" t="s">
        <v>4994</v>
      </c>
      <c r="M266" s="183" t="s">
        <v>3433</v>
      </c>
      <c r="N266" s="183" t="s">
        <v>3433</v>
      </c>
      <c r="O266" s="541"/>
    </row>
    <row r="267" spans="1:15" s="182" customFormat="1" ht="21.75" customHeight="1" x14ac:dyDescent="0.15">
      <c r="A267" s="151" t="s">
        <v>4974</v>
      </c>
      <c r="B267" s="20" t="s">
        <v>4975</v>
      </c>
      <c r="C267" s="279" t="s">
        <v>3346</v>
      </c>
      <c r="D267" s="241" t="s">
        <v>3481</v>
      </c>
      <c r="E267" s="236" t="s">
        <v>3596</v>
      </c>
      <c r="F267" s="236" t="s">
        <v>3355</v>
      </c>
      <c r="G267" s="240" t="s">
        <v>3597</v>
      </c>
      <c r="H267" s="541">
        <v>17043</v>
      </c>
      <c r="I267" s="194">
        <v>0</v>
      </c>
      <c r="J267" s="194">
        <v>30000</v>
      </c>
      <c r="K267" s="185" t="s">
        <v>5001</v>
      </c>
      <c r="L267" s="183" t="s">
        <v>5005</v>
      </c>
      <c r="M267" s="183" t="s">
        <v>4999</v>
      </c>
      <c r="N267" s="183" t="s">
        <v>4999</v>
      </c>
      <c r="O267" s="541"/>
    </row>
    <row r="268" spans="1:15" s="182" customFormat="1" ht="21.75" customHeight="1" x14ac:dyDescent="0.15">
      <c r="A268" s="151" t="s">
        <v>4974</v>
      </c>
      <c r="B268" s="20" t="s">
        <v>4975</v>
      </c>
      <c r="C268" s="279" t="s">
        <v>3346</v>
      </c>
      <c r="D268" s="241" t="s">
        <v>3481</v>
      </c>
      <c r="E268" s="236" t="s">
        <v>3596</v>
      </c>
      <c r="F268" s="236" t="s">
        <v>3340</v>
      </c>
      <c r="G268" s="240" t="s">
        <v>4998</v>
      </c>
      <c r="H268" s="541">
        <v>17044</v>
      </c>
      <c r="I268" s="194">
        <v>0</v>
      </c>
      <c r="J268" s="194">
        <v>11880</v>
      </c>
      <c r="K268" s="185" t="s">
        <v>5003</v>
      </c>
      <c r="L268" s="183" t="s">
        <v>5005</v>
      </c>
      <c r="M268" s="183" t="s">
        <v>4999</v>
      </c>
      <c r="N268" s="183" t="s">
        <v>4999</v>
      </c>
      <c r="O268" s="541"/>
    </row>
    <row r="269" spans="1:15" s="182" customFormat="1" ht="21.75" customHeight="1" x14ac:dyDescent="0.15">
      <c r="A269" s="151" t="s">
        <v>4976</v>
      </c>
      <c r="B269" s="20" t="s">
        <v>4977</v>
      </c>
      <c r="C269" s="621" t="s">
        <v>3346</v>
      </c>
      <c r="D269" s="621" t="s">
        <v>3457</v>
      </c>
      <c r="E269" s="621" t="s">
        <v>4080</v>
      </c>
      <c r="F269" s="207" t="s">
        <v>3340</v>
      </c>
      <c r="G269" s="235" t="s">
        <v>4995</v>
      </c>
      <c r="H269" s="541">
        <v>21138</v>
      </c>
      <c r="I269" s="194">
        <v>0</v>
      </c>
      <c r="J269" s="194">
        <v>40000</v>
      </c>
      <c r="K269" s="185">
        <v>1</v>
      </c>
      <c r="L269" s="183" t="s">
        <v>4996</v>
      </c>
      <c r="M269" s="183" t="s">
        <v>4991</v>
      </c>
      <c r="N269" s="183" t="s">
        <v>4991</v>
      </c>
      <c r="O269" s="541"/>
    </row>
    <row r="270" spans="1:15" s="182" customFormat="1" ht="21.75" customHeight="1" x14ac:dyDescent="0.15">
      <c r="A270" s="151" t="s">
        <v>4997</v>
      </c>
      <c r="B270" s="20" t="s">
        <v>4789</v>
      </c>
      <c r="C270" s="279" t="s">
        <v>3346</v>
      </c>
      <c r="D270" s="241" t="s">
        <v>3481</v>
      </c>
      <c r="E270" s="236" t="s">
        <v>3596</v>
      </c>
      <c r="F270" s="236" t="s">
        <v>3340</v>
      </c>
      <c r="G270" s="240" t="s">
        <v>4998</v>
      </c>
      <c r="H270" s="541">
        <v>17044</v>
      </c>
      <c r="I270" s="194">
        <v>50000</v>
      </c>
      <c r="J270" s="194">
        <v>0</v>
      </c>
      <c r="K270" s="185" t="s">
        <v>5002</v>
      </c>
      <c r="L270" s="183" t="s">
        <v>5004</v>
      </c>
      <c r="M270" s="183" t="s">
        <v>4999</v>
      </c>
      <c r="N270" s="183" t="s">
        <v>4999</v>
      </c>
      <c r="O270" s="622" t="s">
        <v>5006</v>
      </c>
    </row>
    <row r="271" spans="1:15" s="182" customFormat="1" ht="21.75" customHeight="1" x14ac:dyDescent="0.15">
      <c r="A271" s="151" t="s">
        <v>4997</v>
      </c>
      <c r="B271" s="20" t="s">
        <v>4789</v>
      </c>
      <c r="C271" s="279" t="s">
        <v>3346</v>
      </c>
      <c r="D271" s="241" t="s">
        <v>3481</v>
      </c>
      <c r="E271" s="236" t="s">
        <v>3596</v>
      </c>
      <c r="F271" s="236" t="s">
        <v>3355</v>
      </c>
      <c r="G271" s="240" t="s">
        <v>3597</v>
      </c>
      <c r="H271" s="541">
        <v>17043</v>
      </c>
      <c r="I271" s="194">
        <v>50000</v>
      </c>
      <c r="J271" s="194">
        <v>0</v>
      </c>
      <c r="K271" s="185" t="s">
        <v>5000</v>
      </c>
      <c r="L271" s="183" t="s">
        <v>5004</v>
      </c>
      <c r="M271" s="183" t="s">
        <v>4999</v>
      </c>
      <c r="N271" s="183" t="s">
        <v>4999</v>
      </c>
      <c r="O271" s="622" t="s">
        <v>5007</v>
      </c>
    </row>
    <row r="272" spans="1:15" s="182" customFormat="1" ht="21.75" customHeight="1" x14ac:dyDescent="0.15">
      <c r="A272" s="151" t="s">
        <v>5118</v>
      </c>
      <c r="B272" s="20" t="s">
        <v>5014</v>
      </c>
      <c r="C272" s="241" t="s">
        <v>3346</v>
      </c>
      <c r="D272" s="241" t="s">
        <v>3712</v>
      </c>
      <c r="E272" s="241" t="s">
        <v>3713</v>
      </c>
      <c r="F272" s="241" t="s">
        <v>3328</v>
      </c>
      <c r="G272" s="242" t="s">
        <v>3349</v>
      </c>
      <c r="H272" s="624">
        <v>20183</v>
      </c>
      <c r="I272" s="194">
        <v>0</v>
      </c>
      <c r="J272" s="194">
        <v>45000</v>
      </c>
      <c r="K272" s="185">
        <v>0.5</v>
      </c>
      <c r="L272" s="183" t="s">
        <v>5015</v>
      </c>
      <c r="M272" s="183" t="s">
        <v>3434</v>
      </c>
      <c r="N272" s="183" t="s">
        <v>3434</v>
      </c>
      <c r="O272" s="624"/>
    </row>
    <row r="273" spans="1:15" s="182" customFormat="1" ht="21.75" customHeight="1" x14ac:dyDescent="0.15">
      <c r="A273" s="151" t="s">
        <v>5008</v>
      </c>
      <c r="B273" s="20" t="s">
        <v>5009</v>
      </c>
      <c r="C273" s="241" t="s">
        <v>3384</v>
      </c>
      <c r="D273" s="241" t="s">
        <v>3354</v>
      </c>
      <c r="E273" s="241" t="s">
        <v>4145</v>
      </c>
      <c r="F273" s="623" t="s">
        <v>3355</v>
      </c>
      <c r="G273" s="242" t="s">
        <v>5010</v>
      </c>
      <c r="H273" s="541">
        <v>17120</v>
      </c>
      <c r="I273" s="194">
        <v>0</v>
      </c>
      <c r="J273" s="194">
        <v>10000</v>
      </c>
      <c r="K273" s="185">
        <v>0.1</v>
      </c>
      <c r="L273" s="183" t="s">
        <v>5011</v>
      </c>
      <c r="M273" s="241" t="s">
        <v>4708</v>
      </c>
      <c r="N273" s="596" t="s">
        <v>4708</v>
      </c>
      <c r="O273" s="541"/>
    </row>
    <row r="274" spans="1:15" s="182" customFormat="1" ht="21.75" customHeight="1" x14ac:dyDescent="0.15">
      <c r="A274" s="151" t="s">
        <v>5012</v>
      </c>
      <c r="B274" s="20" t="s">
        <v>4973</v>
      </c>
      <c r="C274" s="241" t="s">
        <v>3346</v>
      </c>
      <c r="D274" s="241" t="s">
        <v>3360</v>
      </c>
      <c r="E274" s="236" t="s">
        <v>4992</v>
      </c>
      <c r="F274" s="236" t="s">
        <v>3355</v>
      </c>
      <c r="G274" s="240" t="s">
        <v>4017</v>
      </c>
      <c r="H274" s="541">
        <v>17050</v>
      </c>
      <c r="I274" s="194">
        <v>0</v>
      </c>
      <c r="J274" s="194">
        <v>24500</v>
      </c>
      <c r="K274" s="185">
        <v>0.1</v>
      </c>
      <c r="L274" s="183" t="s">
        <v>5013</v>
      </c>
      <c r="M274" s="183" t="s">
        <v>3433</v>
      </c>
      <c r="N274" s="183" t="s">
        <v>3433</v>
      </c>
      <c r="O274" s="541"/>
    </row>
    <row r="275" spans="1:15" s="182" customFormat="1" ht="21.75" customHeight="1" x14ac:dyDescent="0.15">
      <c r="A275" s="151" t="s">
        <v>5016</v>
      </c>
      <c r="B275" s="20" t="s">
        <v>5017</v>
      </c>
      <c r="C275" s="625" t="s">
        <v>4982</v>
      </c>
      <c r="D275" s="625" t="s">
        <v>5018</v>
      </c>
      <c r="E275" s="625" t="s">
        <v>5019</v>
      </c>
      <c r="F275" s="184" t="s">
        <v>5020</v>
      </c>
      <c r="G275" s="235" t="s">
        <v>5021</v>
      </c>
      <c r="H275" s="541">
        <v>21131</v>
      </c>
      <c r="I275" s="194">
        <v>0</v>
      </c>
      <c r="J275" s="194">
        <v>300000</v>
      </c>
      <c r="K275" s="185" t="s">
        <v>5022</v>
      </c>
      <c r="L275" s="183" t="s">
        <v>5023</v>
      </c>
      <c r="M275" s="183" t="s">
        <v>5025</v>
      </c>
      <c r="N275" s="183" t="s">
        <v>5025</v>
      </c>
      <c r="O275" s="541"/>
    </row>
    <row r="276" spans="1:15" s="182" customFormat="1" ht="21.75" customHeight="1" x14ac:dyDescent="0.15">
      <c r="A276" s="151" t="s">
        <v>5016</v>
      </c>
      <c r="B276" s="20" t="s">
        <v>5017</v>
      </c>
      <c r="C276" s="625" t="s">
        <v>4982</v>
      </c>
      <c r="D276" s="625" t="s">
        <v>5018</v>
      </c>
      <c r="E276" s="625" t="s">
        <v>5019</v>
      </c>
      <c r="F276" s="184" t="s">
        <v>5020</v>
      </c>
      <c r="G276" s="235" t="s">
        <v>5021</v>
      </c>
      <c r="H276" s="541">
        <v>21131</v>
      </c>
      <c r="I276" s="194">
        <v>0</v>
      </c>
      <c r="J276" s="194">
        <v>185000</v>
      </c>
      <c r="K276" s="185" t="s">
        <v>5024</v>
      </c>
      <c r="L276" s="183" t="s">
        <v>5023</v>
      </c>
      <c r="M276" s="183" t="s">
        <v>5025</v>
      </c>
      <c r="N276" s="183" t="s">
        <v>5025</v>
      </c>
      <c r="O276" s="541"/>
    </row>
    <row r="277" spans="1:15" s="182" customFormat="1" ht="21.75" customHeight="1" x14ac:dyDescent="0.15">
      <c r="A277" s="151" t="s">
        <v>5026</v>
      </c>
      <c r="B277" s="20" t="s">
        <v>5027</v>
      </c>
      <c r="C277" s="626" t="s">
        <v>4963</v>
      </c>
      <c r="D277" s="626" t="s">
        <v>5028</v>
      </c>
      <c r="E277" s="626" t="s">
        <v>5029</v>
      </c>
      <c r="F277" s="184" t="s">
        <v>3328</v>
      </c>
      <c r="G277" s="235" t="s">
        <v>5030</v>
      </c>
      <c r="H277" s="626">
        <v>21114</v>
      </c>
      <c r="I277" s="194">
        <v>0</v>
      </c>
      <c r="J277" s="194">
        <v>110000</v>
      </c>
      <c r="K277" s="185">
        <v>1</v>
      </c>
      <c r="L277" s="183" t="s">
        <v>5031</v>
      </c>
      <c r="M277" s="183" t="s">
        <v>5032</v>
      </c>
      <c r="N277" s="183" t="s">
        <v>5032</v>
      </c>
      <c r="O277" s="541"/>
    </row>
    <row r="278" spans="1:15" s="182" customFormat="1" ht="21.75" customHeight="1" x14ac:dyDescent="0.15">
      <c r="A278" s="151" t="s">
        <v>5026</v>
      </c>
      <c r="B278" s="20" t="s">
        <v>4797</v>
      </c>
      <c r="C278" s="627" t="s">
        <v>3376</v>
      </c>
      <c r="D278" s="627" t="s">
        <v>3682</v>
      </c>
      <c r="E278" s="627" t="s">
        <v>2687</v>
      </c>
      <c r="F278" s="184" t="s">
        <v>5036</v>
      </c>
      <c r="G278" s="235" t="s">
        <v>4861</v>
      </c>
      <c r="H278" s="241">
        <v>21148</v>
      </c>
      <c r="I278" s="194">
        <v>0</v>
      </c>
      <c r="J278" s="194">
        <v>10000</v>
      </c>
      <c r="K278" s="185">
        <v>1</v>
      </c>
      <c r="L278" s="183" t="s">
        <v>5037</v>
      </c>
      <c r="M278" s="183" t="s">
        <v>5038</v>
      </c>
      <c r="N278" s="183" t="s">
        <v>5038</v>
      </c>
      <c r="O278" s="541"/>
    </row>
    <row r="279" spans="1:15" s="182" customFormat="1" ht="21.75" customHeight="1" x14ac:dyDescent="0.15">
      <c r="A279" s="151" t="s">
        <v>5033</v>
      </c>
      <c r="B279" s="20" t="s">
        <v>5034</v>
      </c>
      <c r="C279" s="241" t="s">
        <v>3346</v>
      </c>
      <c r="D279" s="241" t="s">
        <v>3360</v>
      </c>
      <c r="E279" s="599" t="s">
        <v>5039</v>
      </c>
      <c r="F279" s="241" t="s">
        <v>3355</v>
      </c>
      <c r="G279" s="242" t="s">
        <v>4017</v>
      </c>
      <c r="H279" s="541">
        <v>18046</v>
      </c>
      <c r="I279" s="194">
        <v>0</v>
      </c>
      <c r="J279" s="194">
        <v>12250</v>
      </c>
      <c r="K279" s="185">
        <v>0.05</v>
      </c>
      <c r="L279" s="183" t="s">
        <v>5040</v>
      </c>
      <c r="M279" s="183" t="s">
        <v>3433</v>
      </c>
      <c r="N279" s="183" t="s">
        <v>3433</v>
      </c>
      <c r="O279" s="541"/>
    </row>
    <row r="280" spans="1:15" s="182" customFormat="1" ht="21.75" customHeight="1" x14ac:dyDescent="0.15">
      <c r="A280" s="151" t="s">
        <v>5035</v>
      </c>
      <c r="B280" s="20" t="s">
        <v>4854</v>
      </c>
      <c r="C280" s="184" t="s">
        <v>4963</v>
      </c>
      <c r="D280" s="184" t="s">
        <v>4964</v>
      </c>
      <c r="E280" s="184" t="s">
        <v>5041</v>
      </c>
      <c r="F280" s="207" t="s">
        <v>3328</v>
      </c>
      <c r="G280" s="235" t="s">
        <v>5042</v>
      </c>
      <c r="H280" s="541">
        <v>21111</v>
      </c>
      <c r="I280" s="194">
        <v>0</v>
      </c>
      <c r="J280" s="194">
        <v>103515</v>
      </c>
      <c r="K280" s="185">
        <v>0.75</v>
      </c>
      <c r="L280" s="183" t="s">
        <v>5043</v>
      </c>
      <c r="M280" s="183" t="s">
        <v>3434</v>
      </c>
      <c r="N280" s="183" t="s">
        <v>3434</v>
      </c>
      <c r="O280" s="541"/>
    </row>
    <row r="281" spans="1:15" s="182" customFormat="1" ht="21.75" customHeight="1" x14ac:dyDescent="0.15">
      <c r="A281" s="151" t="s">
        <v>5044</v>
      </c>
      <c r="B281" s="20" t="s">
        <v>5045</v>
      </c>
      <c r="C281" s="279" t="s">
        <v>3346</v>
      </c>
      <c r="D281" s="279" t="s">
        <v>3360</v>
      </c>
      <c r="E281" s="279" t="s">
        <v>5046</v>
      </c>
      <c r="F281" s="599" t="s">
        <v>3579</v>
      </c>
      <c r="G281" s="240" t="s">
        <v>4993</v>
      </c>
      <c r="H281" s="541">
        <v>18054</v>
      </c>
      <c r="I281" s="194">
        <v>0</v>
      </c>
      <c r="J281" s="194">
        <v>13200</v>
      </c>
      <c r="K281" s="185">
        <v>0.1</v>
      </c>
      <c r="L281" s="183" t="s">
        <v>5047</v>
      </c>
      <c r="M281" s="183" t="s">
        <v>3433</v>
      </c>
      <c r="N281" s="183" t="s">
        <v>3433</v>
      </c>
      <c r="O281" s="541"/>
    </row>
    <row r="282" spans="1:15" s="182" customFormat="1" ht="21.75" customHeight="1" x14ac:dyDescent="0.15">
      <c r="A282" s="151" t="s">
        <v>5048</v>
      </c>
      <c r="B282" s="20" t="s">
        <v>4897</v>
      </c>
      <c r="C282" s="241" t="s">
        <v>3346</v>
      </c>
      <c r="D282" s="241" t="s">
        <v>3702</v>
      </c>
      <c r="E282" s="241" t="s">
        <v>4325</v>
      </c>
      <c r="F282" s="241" t="s">
        <v>3328</v>
      </c>
      <c r="G282" s="242" t="s">
        <v>3336</v>
      </c>
      <c r="H282" s="541">
        <v>20096</v>
      </c>
      <c r="I282" s="194">
        <v>0</v>
      </c>
      <c r="J282" s="194">
        <v>4751.25</v>
      </c>
      <c r="K282" s="185">
        <v>0.05</v>
      </c>
      <c r="L282" s="183" t="s">
        <v>5052</v>
      </c>
      <c r="M282" s="183" t="s">
        <v>3434</v>
      </c>
      <c r="N282" s="183" t="s">
        <v>3434</v>
      </c>
      <c r="O282" s="541"/>
    </row>
    <row r="283" spans="1:15" s="182" customFormat="1" ht="21.75" customHeight="1" x14ac:dyDescent="0.15">
      <c r="A283" s="151" t="s">
        <v>5049</v>
      </c>
      <c r="B283" s="20" t="s">
        <v>5050</v>
      </c>
      <c r="C283" s="241" t="s">
        <v>3346</v>
      </c>
      <c r="D283" s="241" t="s">
        <v>3347</v>
      </c>
      <c r="E283" s="596" t="s">
        <v>3542</v>
      </c>
      <c r="F283" s="241" t="s">
        <v>3328</v>
      </c>
      <c r="G283" s="242" t="s">
        <v>3349</v>
      </c>
      <c r="H283" s="541">
        <v>21014</v>
      </c>
      <c r="I283" s="194">
        <v>0</v>
      </c>
      <c r="J283" s="194">
        <v>111375</v>
      </c>
      <c r="K283" s="185">
        <v>0.75</v>
      </c>
      <c r="L283" s="183" t="s">
        <v>5053</v>
      </c>
      <c r="M283" s="183" t="s">
        <v>5054</v>
      </c>
      <c r="N283" s="183" t="s">
        <v>5055</v>
      </c>
      <c r="O283" s="541"/>
    </row>
    <row r="284" spans="1:15" s="182" customFormat="1" ht="21.75" customHeight="1" x14ac:dyDescent="0.15">
      <c r="A284" s="151" t="s">
        <v>5049</v>
      </c>
      <c r="B284" s="20" t="s">
        <v>5051</v>
      </c>
      <c r="C284" s="279" t="s">
        <v>3384</v>
      </c>
      <c r="D284" s="241" t="s">
        <v>3354</v>
      </c>
      <c r="E284" s="236" t="s">
        <v>4792</v>
      </c>
      <c r="F284" s="236" t="s">
        <v>4178</v>
      </c>
      <c r="G284" s="240" t="s">
        <v>4179</v>
      </c>
      <c r="H284" s="541">
        <v>17040</v>
      </c>
      <c r="I284" s="194">
        <v>0</v>
      </c>
      <c r="J284" s="194">
        <v>112500</v>
      </c>
      <c r="K284" s="185">
        <v>0.9</v>
      </c>
      <c r="L284" s="183" t="s">
        <v>5056</v>
      </c>
      <c r="M284" s="183" t="s">
        <v>5057</v>
      </c>
      <c r="N284" s="183" t="s">
        <v>5057</v>
      </c>
      <c r="O284" s="541"/>
    </row>
    <row r="285" spans="1:15" s="182" customFormat="1" ht="21.75" customHeight="1" x14ac:dyDescent="0.15">
      <c r="A285" s="151" t="s">
        <v>5058</v>
      </c>
      <c r="B285" s="20" t="s">
        <v>5059</v>
      </c>
      <c r="C285" s="241" t="s">
        <v>3363</v>
      </c>
      <c r="D285" s="241" t="s">
        <v>3326</v>
      </c>
      <c r="E285" s="241" t="s">
        <v>4287</v>
      </c>
      <c r="F285" s="241" t="s">
        <v>3328</v>
      </c>
      <c r="G285" s="242" t="s">
        <v>3353</v>
      </c>
      <c r="H285" s="541">
        <v>21057</v>
      </c>
      <c r="I285" s="194">
        <v>0</v>
      </c>
      <c r="J285" s="194">
        <v>5960</v>
      </c>
      <c r="K285" s="185">
        <v>1</v>
      </c>
      <c r="L285" s="183" t="s">
        <v>5060</v>
      </c>
      <c r="M285" s="183" t="s">
        <v>5061</v>
      </c>
      <c r="N285" s="183" t="s">
        <v>5061</v>
      </c>
      <c r="O285" s="541"/>
    </row>
    <row r="286" spans="1:15" s="182" customFormat="1" ht="21.75" customHeight="1" x14ac:dyDescent="0.15">
      <c r="A286" s="151" t="s">
        <v>5062</v>
      </c>
      <c r="B286" s="20" t="s">
        <v>4738</v>
      </c>
      <c r="C286" s="184" t="s">
        <v>3376</v>
      </c>
      <c r="D286" s="184" t="s">
        <v>3682</v>
      </c>
      <c r="E286" s="184" t="s">
        <v>3871</v>
      </c>
      <c r="F286" s="184" t="s">
        <v>3328</v>
      </c>
      <c r="G286" s="235" t="s">
        <v>3353</v>
      </c>
      <c r="H286" s="541">
        <v>21082</v>
      </c>
      <c r="I286" s="194">
        <v>0</v>
      </c>
      <c r="J286" s="194">
        <v>13500</v>
      </c>
      <c r="K286" s="185">
        <v>0.9</v>
      </c>
      <c r="L286" s="183" t="s">
        <v>5064</v>
      </c>
      <c r="M286" s="183" t="s">
        <v>5065</v>
      </c>
      <c r="N286" s="183" t="s">
        <v>5065</v>
      </c>
      <c r="O286" s="541"/>
    </row>
    <row r="287" spans="1:15" s="182" customFormat="1" ht="21.75" customHeight="1" x14ac:dyDescent="0.15">
      <c r="A287" s="151" t="s">
        <v>5062</v>
      </c>
      <c r="B287" s="20" t="s">
        <v>4702</v>
      </c>
      <c r="C287" s="241" t="s">
        <v>3376</v>
      </c>
      <c r="D287" s="241" t="s">
        <v>3682</v>
      </c>
      <c r="E287" s="241" t="s">
        <v>4245</v>
      </c>
      <c r="F287" s="241" t="s">
        <v>3328</v>
      </c>
      <c r="G287" s="242" t="s">
        <v>3353</v>
      </c>
      <c r="H287" s="541">
        <v>19069</v>
      </c>
      <c r="I287" s="194">
        <v>0</v>
      </c>
      <c r="J287" s="194">
        <v>2380</v>
      </c>
      <c r="K287" s="185">
        <v>0.1</v>
      </c>
      <c r="L287" s="183" t="s">
        <v>5066</v>
      </c>
      <c r="M287" s="183" t="s">
        <v>5065</v>
      </c>
      <c r="N287" s="183" t="s">
        <v>5065</v>
      </c>
      <c r="O287" s="541"/>
    </row>
    <row r="288" spans="1:15" s="182" customFormat="1" ht="21.75" customHeight="1" x14ac:dyDescent="0.15">
      <c r="A288" s="151" t="s">
        <v>5062</v>
      </c>
      <c r="B288" s="20" t="s">
        <v>5063</v>
      </c>
      <c r="C288" s="236" t="s">
        <v>3346</v>
      </c>
      <c r="D288" s="236" t="s">
        <v>3352</v>
      </c>
      <c r="E288" s="236" t="s">
        <v>3715</v>
      </c>
      <c r="F288" s="184" t="s">
        <v>3332</v>
      </c>
      <c r="G288" s="253" t="s">
        <v>3381</v>
      </c>
      <c r="H288" s="541">
        <v>21135</v>
      </c>
      <c r="I288" s="194">
        <v>0</v>
      </c>
      <c r="J288" s="194">
        <v>48000</v>
      </c>
      <c r="K288" s="185">
        <v>0.5</v>
      </c>
      <c r="L288" s="183" t="s">
        <v>5067</v>
      </c>
      <c r="M288" s="183" t="s">
        <v>3433</v>
      </c>
      <c r="N288" s="183" t="s">
        <v>3433</v>
      </c>
      <c r="O288" s="541"/>
    </row>
    <row r="289" spans="1:15" s="182" customFormat="1" ht="21.75" customHeight="1" x14ac:dyDescent="0.15">
      <c r="A289" s="151" t="s">
        <v>5068</v>
      </c>
      <c r="B289" s="20" t="s">
        <v>4971</v>
      </c>
      <c r="C289" s="184" t="s">
        <v>4982</v>
      </c>
      <c r="D289" s="184" t="s">
        <v>5076</v>
      </c>
      <c r="E289" s="184" t="s">
        <v>5077</v>
      </c>
      <c r="F289" s="184" t="s">
        <v>5078</v>
      </c>
      <c r="G289" s="235" t="s">
        <v>3329</v>
      </c>
      <c r="H289" s="541" t="s">
        <v>5074</v>
      </c>
      <c r="I289" s="194">
        <v>0</v>
      </c>
      <c r="J289" s="194">
        <v>111480</v>
      </c>
      <c r="K289" s="185" t="s">
        <v>5079</v>
      </c>
      <c r="L289" s="183" t="s">
        <v>5080</v>
      </c>
      <c r="M289" s="184" t="s">
        <v>5085</v>
      </c>
      <c r="N289" s="184" t="s">
        <v>5085</v>
      </c>
      <c r="O289" s="541"/>
    </row>
    <row r="290" spans="1:15" s="182" customFormat="1" ht="21.75" customHeight="1" x14ac:dyDescent="0.15">
      <c r="A290" s="151" t="s">
        <v>5073</v>
      </c>
      <c r="B290" s="20" t="s">
        <v>4971</v>
      </c>
      <c r="C290" s="184" t="s">
        <v>4982</v>
      </c>
      <c r="D290" s="184" t="s">
        <v>5076</v>
      </c>
      <c r="E290" s="184" t="s">
        <v>5077</v>
      </c>
      <c r="F290" s="184" t="s">
        <v>5078</v>
      </c>
      <c r="G290" s="235" t="s">
        <v>3329</v>
      </c>
      <c r="H290" s="628" t="s">
        <v>5074</v>
      </c>
      <c r="I290" s="194">
        <v>100000</v>
      </c>
      <c r="J290" s="194">
        <v>0</v>
      </c>
      <c r="K290" s="159" t="s">
        <v>5081</v>
      </c>
      <c r="L290" s="183" t="s">
        <v>5082</v>
      </c>
      <c r="M290" s="184" t="s">
        <v>5085</v>
      </c>
      <c r="N290" s="184" t="s">
        <v>5085</v>
      </c>
      <c r="O290" s="630" t="s">
        <v>5102</v>
      </c>
    </row>
    <row r="291" spans="1:15" s="182" customFormat="1" ht="21.75" customHeight="1" x14ac:dyDescent="0.15">
      <c r="A291" s="151" t="s">
        <v>5073</v>
      </c>
      <c r="B291" s="20" t="s">
        <v>4971</v>
      </c>
      <c r="C291" s="184" t="s">
        <v>4982</v>
      </c>
      <c r="D291" s="184" t="s">
        <v>5076</v>
      </c>
      <c r="E291" s="184" t="s">
        <v>5077</v>
      </c>
      <c r="F291" s="184" t="s">
        <v>5078</v>
      </c>
      <c r="G291" s="235" t="s">
        <v>3329</v>
      </c>
      <c r="H291" s="628" t="s">
        <v>5074</v>
      </c>
      <c r="I291" s="194">
        <v>22280</v>
      </c>
      <c r="J291" s="194">
        <v>0</v>
      </c>
      <c r="K291" s="185" t="s">
        <v>5084</v>
      </c>
      <c r="L291" s="183" t="s">
        <v>5083</v>
      </c>
      <c r="M291" s="184" t="s">
        <v>5085</v>
      </c>
      <c r="N291" s="184" t="s">
        <v>5085</v>
      </c>
      <c r="O291" s="630" t="s">
        <v>5103</v>
      </c>
    </row>
    <row r="292" spans="1:15" s="182" customFormat="1" ht="21.75" customHeight="1" x14ac:dyDescent="0.15">
      <c r="A292" s="151" t="s">
        <v>5069</v>
      </c>
      <c r="B292" s="20" t="s">
        <v>4971</v>
      </c>
      <c r="C292" s="184" t="s">
        <v>4982</v>
      </c>
      <c r="D292" s="184" t="s">
        <v>5076</v>
      </c>
      <c r="E292" s="184" t="s">
        <v>5077</v>
      </c>
      <c r="F292" s="184" t="s">
        <v>3400</v>
      </c>
      <c r="G292" s="235" t="s">
        <v>5086</v>
      </c>
      <c r="H292" s="628" t="s">
        <v>5075</v>
      </c>
      <c r="I292" s="194">
        <v>27720</v>
      </c>
      <c r="J292" s="194">
        <v>0</v>
      </c>
      <c r="K292" s="185">
        <v>0.6</v>
      </c>
      <c r="L292" s="183" t="s">
        <v>5087</v>
      </c>
      <c r="M292" s="184" t="s">
        <v>5085</v>
      </c>
      <c r="N292" s="184" t="s">
        <v>5085</v>
      </c>
      <c r="O292" s="630" t="s">
        <v>5103</v>
      </c>
    </row>
    <row r="293" spans="1:15" s="182" customFormat="1" ht="21.75" customHeight="1" x14ac:dyDescent="0.15">
      <c r="A293" s="151" t="s">
        <v>5069</v>
      </c>
      <c r="B293" s="20" t="s">
        <v>5070</v>
      </c>
      <c r="C293" s="629" t="s">
        <v>5088</v>
      </c>
      <c r="D293" s="629" t="s">
        <v>3415</v>
      </c>
      <c r="E293" s="629" t="s">
        <v>5089</v>
      </c>
      <c r="F293" s="184" t="s">
        <v>5078</v>
      </c>
      <c r="G293" s="235" t="s">
        <v>5090</v>
      </c>
      <c r="H293" s="541">
        <v>21120</v>
      </c>
      <c r="I293" s="194">
        <v>0</v>
      </c>
      <c r="J293" s="194">
        <v>238581</v>
      </c>
      <c r="K293" s="185">
        <v>0.9</v>
      </c>
      <c r="L293" s="183" t="s">
        <v>5091</v>
      </c>
      <c r="M293" s="184" t="s">
        <v>5092</v>
      </c>
      <c r="N293" s="184" t="s">
        <v>5092</v>
      </c>
      <c r="O293" s="541"/>
    </row>
    <row r="294" spans="1:15" s="182" customFormat="1" ht="21.75" customHeight="1" x14ac:dyDescent="0.15">
      <c r="A294" s="151" t="s">
        <v>5069</v>
      </c>
      <c r="B294" s="20" t="s">
        <v>5071</v>
      </c>
      <c r="C294" s="241" t="s">
        <v>3346</v>
      </c>
      <c r="D294" s="241" t="s">
        <v>3347</v>
      </c>
      <c r="E294" s="241" t="s">
        <v>3348</v>
      </c>
      <c r="F294" s="241" t="s">
        <v>3328</v>
      </c>
      <c r="G294" s="242" t="s">
        <v>3349</v>
      </c>
      <c r="H294" s="541" t="s">
        <v>5093</v>
      </c>
      <c r="I294" s="194">
        <v>0</v>
      </c>
      <c r="J294" s="194">
        <v>110625</v>
      </c>
      <c r="K294" s="185">
        <v>0.75</v>
      </c>
      <c r="L294" s="183" t="s">
        <v>5095</v>
      </c>
      <c r="M294" s="184" t="s">
        <v>5096</v>
      </c>
      <c r="N294" s="184" t="s">
        <v>5097</v>
      </c>
      <c r="O294" s="541"/>
    </row>
    <row r="295" spans="1:15" s="182" customFormat="1" ht="21.75" customHeight="1" x14ac:dyDescent="0.15">
      <c r="A295" s="151" t="s">
        <v>5069</v>
      </c>
      <c r="B295" s="20" t="s">
        <v>5071</v>
      </c>
      <c r="C295" s="241" t="s">
        <v>3346</v>
      </c>
      <c r="D295" s="241" t="s">
        <v>3347</v>
      </c>
      <c r="E295" s="241" t="s">
        <v>3350</v>
      </c>
      <c r="F295" s="241" t="s">
        <v>3328</v>
      </c>
      <c r="G295" s="242" t="s">
        <v>3349</v>
      </c>
      <c r="H295" s="629" t="s">
        <v>5094</v>
      </c>
      <c r="I295" s="194">
        <v>0</v>
      </c>
      <c r="J295" s="194">
        <v>110625</v>
      </c>
      <c r="K295" s="185">
        <v>0.75</v>
      </c>
      <c r="L295" s="183" t="s">
        <v>5095</v>
      </c>
      <c r="M295" s="184" t="s">
        <v>5096</v>
      </c>
      <c r="N295" s="184" t="s">
        <v>5097</v>
      </c>
      <c r="O295" s="629"/>
    </row>
    <row r="296" spans="1:15" s="182" customFormat="1" ht="21.75" customHeight="1" x14ac:dyDescent="0.15">
      <c r="A296" s="151" t="s">
        <v>5069</v>
      </c>
      <c r="B296" s="20" t="s">
        <v>5072</v>
      </c>
      <c r="C296" s="184" t="s">
        <v>4982</v>
      </c>
      <c r="D296" s="184" t="s">
        <v>5098</v>
      </c>
      <c r="E296" s="184" t="s">
        <v>5099</v>
      </c>
      <c r="F296" s="184" t="s">
        <v>4944</v>
      </c>
      <c r="G296" s="235" t="s">
        <v>5100</v>
      </c>
      <c r="H296" s="541">
        <v>21109</v>
      </c>
      <c r="I296" s="194">
        <v>0</v>
      </c>
      <c r="J296" s="194">
        <v>85680</v>
      </c>
      <c r="K296" s="185">
        <v>0.9</v>
      </c>
      <c r="L296" s="183" t="s">
        <v>5101</v>
      </c>
      <c r="M296" s="183" t="s">
        <v>3434</v>
      </c>
      <c r="N296" s="183" t="s">
        <v>3434</v>
      </c>
      <c r="O296" s="541"/>
    </row>
    <row r="297" spans="1:15" s="182" customFormat="1" ht="21.75" customHeight="1" x14ac:dyDescent="0.15">
      <c r="A297" s="151" t="s">
        <v>5104</v>
      </c>
      <c r="B297" s="20" t="s">
        <v>568</v>
      </c>
      <c r="C297" s="241" t="s">
        <v>3363</v>
      </c>
      <c r="D297" s="241" t="s">
        <v>3439</v>
      </c>
      <c r="E297" s="241" t="s">
        <v>3859</v>
      </c>
      <c r="F297" s="292" t="s">
        <v>3328</v>
      </c>
      <c r="G297" s="242" t="s">
        <v>3349</v>
      </c>
      <c r="H297" s="541">
        <v>20135</v>
      </c>
      <c r="I297" s="194">
        <v>0</v>
      </c>
      <c r="J297" s="194">
        <v>96000</v>
      </c>
      <c r="K297" s="185">
        <v>1</v>
      </c>
      <c r="L297" s="183" t="s">
        <v>5108</v>
      </c>
      <c r="M297" s="183" t="s">
        <v>5109</v>
      </c>
      <c r="N297" s="183" t="s">
        <v>3433</v>
      </c>
      <c r="O297" s="541"/>
    </row>
    <row r="298" spans="1:15" s="182" customFormat="1" ht="21.75" customHeight="1" x14ac:dyDescent="0.15">
      <c r="A298" s="151" t="s">
        <v>5104</v>
      </c>
      <c r="B298" s="20" t="s">
        <v>5106</v>
      </c>
      <c r="C298" s="236" t="s">
        <v>3371</v>
      </c>
      <c r="D298" s="241" t="s">
        <v>3415</v>
      </c>
      <c r="E298" s="236" t="s">
        <v>2467</v>
      </c>
      <c r="F298" s="267" t="s">
        <v>3340</v>
      </c>
      <c r="G298" s="242" t="s">
        <v>3477</v>
      </c>
      <c r="H298" s="541">
        <v>17149</v>
      </c>
      <c r="I298" s="194">
        <v>0</v>
      </c>
      <c r="J298" s="194">
        <v>27000</v>
      </c>
      <c r="K298" s="185">
        <v>0.1</v>
      </c>
      <c r="L298" s="183" t="s">
        <v>4724</v>
      </c>
      <c r="M298" s="183" t="s">
        <v>5110</v>
      </c>
      <c r="N298" s="183" t="s">
        <v>3434</v>
      </c>
      <c r="O298" s="541"/>
    </row>
    <row r="299" spans="1:15" s="182" customFormat="1" ht="21.75" customHeight="1" x14ac:dyDescent="0.15">
      <c r="A299" s="151" t="s">
        <v>5104</v>
      </c>
      <c r="B299" s="20" t="s">
        <v>5106</v>
      </c>
      <c r="C299" s="236" t="s">
        <v>3371</v>
      </c>
      <c r="D299" s="241" t="s">
        <v>3415</v>
      </c>
      <c r="E299" s="236" t="s">
        <v>2468</v>
      </c>
      <c r="F299" s="267" t="s">
        <v>3340</v>
      </c>
      <c r="G299" s="242" t="s">
        <v>3477</v>
      </c>
      <c r="H299" s="631">
        <v>17150</v>
      </c>
      <c r="I299" s="194">
        <v>0</v>
      </c>
      <c r="J299" s="194">
        <v>27000</v>
      </c>
      <c r="K299" s="185">
        <v>0.1</v>
      </c>
      <c r="L299" s="183" t="s">
        <v>4724</v>
      </c>
      <c r="M299" s="183" t="s">
        <v>5110</v>
      </c>
      <c r="N299" s="183" t="s">
        <v>3434</v>
      </c>
      <c r="O299" s="631"/>
    </row>
    <row r="300" spans="1:15" s="182" customFormat="1" ht="21.75" customHeight="1" x14ac:dyDescent="0.15">
      <c r="A300" s="151" t="s">
        <v>5105</v>
      </c>
      <c r="B300" s="20" t="s">
        <v>5107</v>
      </c>
      <c r="C300" s="241" t="s">
        <v>3371</v>
      </c>
      <c r="D300" s="241" t="s">
        <v>3572</v>
      </c>
      <c r="E300" s="599" t="s">
        <v>2908</v>
      </c>
      <c r="F300" s="241" t="s">
        <v>3355</v>
      </c>
      <c r="G300" s="242" t="s">
        <v>3580</v>
      </c>
      <c r="H300" s="541">
        <v>18022</v>
      </c>
      <c r="I300" s="194">
        <v>0</v>
      </c>
      <c r="J300" s="194">
        <v>13200</v>
      </c>
      <c r="K300" s="185">
        <v>0.1</v>
      </c>
      <c r="L300" s="183" t="s">
        <v>5111</v>
      </c>
      <c r="M300" s="183" t="s">
        <v>3433</v>
      </c>
      <c r="N300" s="183" t="s">
        <v>3433</v>
      </c>
      <c r="O300" s="541"/>
    </row>
    <row r="301" spans="1:15" s="182" customFormat="1" ht="21.75" customHeight="1" x14ac:dyDescent="0.15">
      <c r="A301" s="151" t="s">
        <v>5112</v>
      </c>
      <c r="B301" s="20" t="s">
        <v>4736</v>
      </c>
      <c r="C301" s="241" t="s">
        <v>3346</v>
      </c>
      <c r="D301" s="241" t="s">
        <v>3851</v>
      </c>
      <c r="E301" s="241" t="s">
        <v>4739</v>
      </c>
      <c r="F301" s="241" t="s">
        <v>3355</v>
      </c>
      <c r="G301" s="242" t="s">
        <v>3941</v>
      </c>
      <c r="H301" s="632">
        <v>21060</v>
      </c>
      <c r="I301" s="194">
        <v>0</v>
      </c>
      <c r="J301" s="194">
        <v>69900</v>
      </c>
      <c r="K301" s="185">
        <v>0.3</v>
      </c>
      <c r="L301" s="183" t="s">
        <v>4711</v>
      </c>
      <c r="M301" s="183" t="s">
        <v>3434</v>
      </c>
      <c r="N301" s="183" t="s">
        <v>3434</v>
      </c>
      <c r="O301" s="541"/>
    </row>
    <row r="302" spans="1:15" s="182" customFormat="1" ht="21.75" customHeight="1" x14ac:dyDescent="0.15">
      <c r="A302" s="151" t="s">
        <v>5112</v>
      </c>
      <c r="B302" s="20" t="s">
        <v>5113</v>
      </c>
      <c r="C302" s="279" t="s">
        <v>3346</v>
      </c>
      <c r="D302" s="279" t="s">
        <v>3360</v>
      </c>
      <c r="E302" s="279" t="s">
        <v>5119</v>
      </c>
      <c r="F302" s="599" t="s">
        <v>3579</v>
      </c>
      <c r="G302" s="240" t="s">
        <v>5120</v>
      </c>
      <c r="H302" s="632">
        <v>18055</v>
      </c>
      <c r="I302" s="194">
        <v>0</v>
      </c>
      <c r="J302" s="194">
        <v>13200</v>
      </c>
      <c r="K302" s="185">
        <v>0.1</v>
      </c>
      <c r="L302" s="183" t="s">
        <v>4724</v>
      </c>
      <c r="M302" s="183" t="s">
        <v>3433</v>
      </c>
      <c r="N302" s="183" t="s">
        <v>3433</v>
      </c>
      <c r="O302" s="541"/>
    </row>
    <row r="303" spans="1:15" s="182" customFormat="1" ht="21.75" customHeight="1" x14ac:dyDescent="0.15">
      <c r="A303" s="151" t="s">
        <v>5112</v>
      </c>
      <c r="B303" s="20" t="s">
        <v>4973</v>
      </c>
      <c r="C303" s="241" t="s">
        <v>3346</v>
      </c>
      <c r="D303" s="241" t="s">
        <v>3360</v>
      </c>
      <c r="E303" s="236" t="s">
        <v>4992</v>
      </c>
      <c r="F303" s="633" t="s">
        <v>3340</v>
      </c>
      <c r="G303" s="240" t="s">
        <v>3477</v>
      </c>
      <c r="H303" s="632">
        <v>17048</v>
      </c>
      <c r="I303" s="194">
        <v>0</v>
      </c>
      <c r="J303" s="194">
        <v>35000</v>
      </c>
      <c r="K303" s="185">
        <v>0.1</v>
      </c>
      <c r="L303" s="183" t="s">
        <v>4724</v>
      </c>
      <c r="M303" s="183" t="s">
        <v>3433</v>
      </c>
      <c r="N303" s="183" t="s">
        <v>3433</v>
      </c>
      <c r="O303" s="541"/>
    </row>
    <row r="304" spans="1:15" s="182" customFormat="1" ht="21.75" customHeight="1" x14ac:dyDescent="0.15">
      <c r="A304" s="151" t="s">
        <v>5112</v>
      </c>
      <c r="B304" s="20" t="s">
        <v>5113</v>
      </c>
      <c r="C304" s="241" t="s">
        <v>3346</v>
      </c>
      <c r="D304" s="241" t="s">
        <v>3360</v>
      </c>
      <c r="E304" s="599" t="s">
        <v>5119</v>
      </c>
      <c r="F304" s="599" t="s">
        <v>3366</v>
      </c>
      <c r="G304" s="634" t="s">
        <v>3549</v>
      </c>
      <c r="H304" s="632">
        <v>17005</v>
      </c>
      <c r="I304" s="194">
        <v>0</v>
      </c>
      <c r="J304" s="194">
        <v>32000</v>
      </c>
      <c r="K304" s="185">
        <v>0.1</v>
      </c>
      <c r="L304" s="183" t="s">
        <v>4724</v>
      </c>
      <c r="M304" s="183" t="s">
        <v>3433</v>
      </c>
      <c r="N304" s="183" t="s">
        <v>3433</v>
      </c>
      <c r="O304" s="541"/>
    </row>
    <row r="305" spans="1:15" s="182" customFormat="1" ht="21.75" customHeight="1" x14ac:dyDescent="0.15">
      <c r="A305" s="151" t="s">
        <v>5114</v>
      </c>
      <c r="B305" s="20" t="s">
        <v>700</v>
      </c>
      <c r="C305" s="236" t="s">
        <v>3346</v>
      </c>
      <c r="D305" s="236" t="s">
        <v>3352</v>
      </c>
      <c r="E305" s="236" t="s">
        <v>987</v>
      </c>
      <c r="F305" s="184" t="s">
        <v>3332</v>
      </c>
      <c r="G305" s="253" t="s">
        <v>3381</v>
      </c>
      <c r="H305" s="632">
        <v>21136</v>
      </c>
      <c r="I305" s="194">
        <v>0</v>
      </c>
      <c r="J305" s="194">
        <v>48000</v>
      </c>
      <c r="K305" s="185">
        <v>0.5</v>
      </c>
      <c r="L305" s="183" t="s">
        <v>4706</v>
      </c>
      <c r="M305" s="183" t="s">
        <v>3433</v>
      </c>
      <c r="N305" s="183" t="s">
        <v>3433</v>
      </c>
      <c r="O305" s="541"/>
    </row>
    <row r="306" spans="1:15" s="182" customFormat="1" ht="21.75" customHeight="1" x14ac:dyDescent="0.15">
      <c r="A306" s="151" t="s">
        <v>5114</v>
      </c>
      <c r="B306" s="20" t="s">
        <v>5113</v>
      </c>
      <c r="C306" s="279" t="s">
        <v>3346</v>
      </c>
      <c r="D306" s="241" t="s">
        <v>3360</v>
      </c>
      <c r="E306" s="236" t="s">
        <v>5121</v>
      </c>
      <c r="F306" s="599" t="s">
        <v>3366</v>
      </c>
      <c r="G306" s="240" t="s">
        <v>3611</v>
      </c>
      <c r="H306" s="632">
        <v>17023</v>
      </c>
      <c r="I306" s="194">
        <v>0</v>
      </c>
      <c r="J306" s="194">
        <v>24580</v>
      </c>
      <c r="K306" s="185">
        <v>0.1</v>
      </c>
      <c r="L306" s="183" t="s">
        <v>4724</v>
      </c>
      <c r="M306" s="183" t="s">
        <v>3433</v>
      </c>
      <c r="N306" s="183" t="s">
        <v>3433</v>
      </c>
      <c r="O306" s="541"/>
    </row>
    <row r="307" spans="1:15" s="182" customFormat="1" ht="21.75" customHeight="1" x14ac:dyDescent="0.15">
      <c r="A307" s="151" t="s">
        <v>5114</v>
      </c>
      <c r="B307" s="20" t="s">
        <v>5113</v>
      </c>
      <c r="C307" s="279" t="s">
        <v>3346</v>
      </c>
      <c r="D307" s="241" t="s">
        <v>3360</v>
      </c>
      <c r="E307" s="236" t="s">
        <v>5119</v>
      </c>
      <c r="F307" s="599" t="s">
        <v>3366</v>
      </c>
      <c r="G307" s="240" t="s">
        <v>4160</v>
      </c>
      <c r="H307" s="632">
        <v>17024</v>
      </c>
      <c r="I307" s="194">
        <v>0</v>
      </c>
      <c r="J307" s="194">
        <v>24580</v>
      </c>
      <c r="K307" s="185">
        <v>0.1</v>
      </c>
      <c r="L307" s="183" t="s">
        <v>4724</v>
      </c>
      <c r="M307" s="183" t="s">
        <v>3433</v>
      </c>
      <c r="N307" s="183" t="s">
        <v>3433</v>
      </c>
      <c r="O307" s="541"/>
    </row>
    <row r="308" spans="1:15" s="182" customFormat="1" ht="21.75" customHeight="1" x14ac:dyDescent="0.15">
      <c r="A308" s="151" t="s">
        <v>5114</v>
      </c>
      <c r="B308" s="20" t="s">
        <v>4973</v>
      </c>
      <c r="C308" s="241" t="s">
        <v>3346</v>
      </c>
      <c r="D308" s="241" t="s">
        <v>3360</v>
      </c>
      <c r="E308" s="236" t="s">
        <v>4992</v>
      </c>
      <c r="F308" s="236" t="s">
        <v>4361</v>
      </c>
      <c r="G308" s="240" t="s">
        <v>5122</v>
      </c>
      <c r="H308" s="632">
        <v>17049</v>
      </c>
      <c r="I308" s="194">
        <v>0</v>
      </c>
      <c r="J308" s="194">
        <v>45000</v>
      </c>
      <c r="K308" s="185">
        <v>0.1</v>
      </c>
      <c r="L308" s="183" t="s">
        <v>4724</v>
      </c>
      <c r="M308" s="183" t="s">
        <v>3433</v>
      </c>
      <c r="N308" s="183" t="s">
        <v>3433</v>
      </c>
      <c r="O308" s="541"/>
    </row>
    <row r="309" spans="1:15" s="182" customFormat="1" ht="21.75" customHeight="1" x14ac:dyDescent="0.15">
      <c r="A309" s="151" t="s">
        <v>5115</v>
      </c>
      <c r="B309" s="20" t="s">
        <v>5123</v>
      </c>
      <c r="C309" s="236" t="s">
        <v>3346</v>
      </c>
      <c r="D309" s="602" t="s">
        <v>3354</v>
      </c>
      <c r="E309" s="236" t="s">
        <v>3777</v>
      </c>
      <c r="F309" s="279" t="s">
        <v>3328</v>
      </c>
      <c r="G309" s="242" t="s">
        <v>3349</v>
      </c>
      <c r="H309" s="632">
        <v>20085</v>
      </c>
      <c r="I309" s="194">
        <v>0</v>
      </c>
      <c r="J309" s="194">
        <v>75000</v>
      </c>
      <c r="K309" s="185">
        <v>0.5</v>
      </c>
      <c r="L309" s="183" t="s">
        <v>4706</v>
      </c>
      <c r="M309" s="183" t="s">
        <v>3725</v>
      </c>
      <c r="N309" s="183" t="s">
        <v>3726</v>
      </c>
      <c r="O309" s="541"/>
    </row>
    <row r="310" spans="1:15" s="182" customFormat="1" ht="21.75" customHeight="1" x14ac:dyDescent="0.15">
      <c r="A310" s="151" t="s">
        <v>5116</v>
      </c>
      <c r="B310" s="20" t="s">
        <v>5117</v>
      </c>
      <c r="C310" s="241" t="s">
        <v>3363</v>
      </c>
      <c r="D310" s="241" t="s">
        <v>3439</v>
      </c>
      <c r="E310" s="241" t="s">
        <v>4308</v>
      </c>
      <c r="F310" s="292" t="s">
        <v>3328</v>
      </c>
      <c r="G310" s="242" t="s">
        <v>3349</v>
      </c>
      <c r="H310" s="632">
        <v>20136</v>
      </c>
      <c r="I310" s="194">
        <v>0</v>
      </c>
      <c r="J310" s="194">
        <v>96000</v>
      </c>
      <c r="K310" s="185">
        <v>1</v>
      </c>
      <c r="L310" s="183" t="s">
        <v>4706</v>
      </c>
      <c r="M310" s="183" t="s">
        <v>3433</v>
      </c>
      <c r="N310" s="183" t="s">
        <v>3433</v>
      </c>
      <c r="O310" s="541"/>
    </row>
    <row r="311" spans="1:15" s="182" customFormat="1" ht="21.75" customHeight="1" x14ac:dyDescent="0.15">
      <c r="A311" s="151" t="s">
        <v>5116</v>
      </c>
      <c r="B311" s="20" t="s">
        <v>631</v>
      </c>
      <c r="C311" s="241" t="s">
        <v>3325</v>
      </c>
      <c r="D311" s="241" t="s">
        <v>3439</v>
      </c>
      <c r="E311" s="241" t="s">
        <v>4230</v>
      </c>
      <c r="F311" s="292" t="s">
        <v>3328</v>
      </c>
      <c r="G311" s="242" t="s">
        <v>3349</v>
      </c>
      <c r="H311" s="632">
        <v>20134</v>
      </c>
      <c r="I311" s="194">
        <v>0</v>
      </c>
      <c r="J311" s="194">
        <v>96000</v>
      </c>
      <c r="K311" s="185">
        <v>1</v>
      </c>
      <c r="L311" s="183" t="s">
        <v>4706</v>
      </c>
      <c r="M311" s="183" t="s">
        <v>3433</v>
      </c>
      <c r="N311" s="183" t="s">
        <v>3433</v>
      </c>
      <c r="O311" s="541"/>
    </row>
    <row r="312" spans="1:15" s="182" customFormat="1" ht="21.75" customHeight="1" x14ac:dyDescent="0.15">
      <c r="A312" s="151" t="s">
        <v>5124</v>
      </c>
      <c r="B312" s="20" t="s">
        <v>4745</v>
      </c>
      <c r="C312" s="279" t="s">
        <v>3363</v>
      </c>
      <c r="D312" s="279" t="s">
        <v>3354</v>
      </c>
      <c r="E312" s="279" t="s">
        <v>4454</v>
      </c>
      <c r="F312" s="279" t="s">
        <v>3328</v>
      </c>
      <c r="G312" s="242" t="s">
        <v>3518</v>
      </c>
      <c r="H312" s="541">
        <v>19143</v>
      </c>
      <c r="I312" s="194">
        <v>0</v>
      </c>
      <c r="J312" s="194">
        <v>29000</v>
      </c>
      <c r="K312" s="185" t="s">
        <v>5127</v>
      </c>
      <c r="L312" s="183" t="s">
        <v>5128</v>
      </c>
      <c r="M312" s="183" t="s">
        <v>5129</v>
      </c>
      <c r="N312" s="183" t="s">
        <v>5130</v>
      </c>
      <c r="O312" s="541"/>
    </row>
    <row r="313" spans="1:15" s="182" customFormat="1" ht="21.75" customHeight="1" x14ac:dyDescent="0.15">
      <c r="A313" s="151" t="s">
        <v>5125</v>
      </c>
      <c r="B313" s="20" t="s">
        <v>5126</v>
      </c>
      <c r="C313" s="241" t="s">
        <v>3376</v>
      </c>
      <c r="D313" s="241" t="s">
        <v>3380</v>
      </c>
      <c r="E313" s="241" t="s">
        <v>3914</v>
      </c>
      <c r="F313" s="241" t="s">
        <v>3332</v>
      </c>
      <c r="G313" s="242" t="s">
        <v>5131</v>
      </c>
      <c r="H313" s="541">
        <v>21061</v>
      </c>
      <c r="I313" s="194">
        <v>0</v>
      </c>
      <c r="J313" s="194">
        <v>75600</v>
      </c>
      <c r="K313" s="185">
        <v>0.9</v>
      </c>
      <c r="L313" s="183" t="s">
        <v>5128</v>
      </c>
      <c r="M313" s="183" t="s">
        <v>4708</v>
      </c>
      <c r="N313" s="183" t="s">
        <v>4708</v>
      </c>
      <c r="O313" s="541"/>
    </row>
    <row r="314" spans="1:15" s="182" customFormat="1" ht="21.75" customHeight="1" x14ac:dyDescent="0.15">
      <c r="A314" s="151" t="s">
        <v>5133</v>
      </c>
      <c r="B314" s="20" t="s">
        <v>4937</v>
      </c>
      <c r="C314" s="241" t="s">
        <v>3414</v>
      </c>
      <c r="D314" s="241" t="s">
        <v>3360</v>
      </c>
      <c r="E314" s="241" t="s">
        <v>4938</v>
      </c>
      <c r="F314" s="241" t="s">
        <v>3328</v>
      </c>
      <c r="G314" s="242" t="s">
        <v>3453</v>
      </c>
      <c r="H314" s="541">
        <v>20090</v>
      </c>
      <c r="I314" s="194">
        <v>0</v>
      </c>
      <c r="J314" s="194">
        <v>173160</v>
      </c>
      <c r="K314" s="185">
        <v>0.4</v>
      </c>
      <c r="L314" s="183" t="s">
        <v>5134</v>
      </c>
      <c r="M314" s="184" t="s">
        <v>4708</v>
      </c>
      <c r="N314" s="184" t="s">
        <v>4708</v>
      </c>
      <c r="O314" s="541"/>
    </row>
    <row r="315" spans="1:15" s="182" customFormat="1" ht="21.75" customHeight="1" x14ac:dyDescent="0.15">
      <c r="A315" s="151" t="s">
        <v>5133</v>
      </c>
      <c r="B315" s="20" t="s">
        <v>696</v>
      </c>
      <c r="C315" s="279" t="s">
        <v>3363</v>
      </c>
      <c r="D315" s="279" t="s">
        <v>3352</v>
      </c>
      <c r="E315" s="279" t="s">
        <v>3991</v>
      </c>
      <c r="F315" s="279" t="s">
        <v>3328</v>
      </c>
      <c r="G315" s="170" t="s">
        <v>3349</v>
      </c>
      <c r="H315" s="541">
        <v>20021</v>
      </c>
      <c r="I315" s="194">
        <v>0</v>
      </c>
      <c r="J315" s="194">
        <v>89000</v>
      </c>
      <c r="K315" s="185">
        <v>1</v>
      </c>
      <c r="L315" s="183" t="s">
        <v>5135</v>
      </c>
      <c r="M315" s="183" t="s">
        <v>5136</v>
      </c>
      <c r="N315" s="183" t="s">
        <v>5136</v>
      </c>
      <c r="O315" s="541"/>
    </row>
    <row r="316" spans="1:15" s="182" customFormat="1" ht="21.75" customHeight="1" x14ac:dyDescent="0.15">
      <c r="A316" s="151" t="s">
        <v>5132</v>
      </c>
      <c r="B316" s="20" t="s">
        <v>4971</v>
      </c>
      <c r="C316" s="184" t="s">
        <v>4982</v>
      </c>
      <c r="D316" s="184" t="s">
        <v>5076</v>
      </c>
      <c r="E316" s="184" t="s">
        <v>5077</v>
      </c>
      <c r="F316" s="184" t="s">
        <v>5078</v>
      </c>
      <c r="G316" s="235" t="s">
        <v>3329</v>
      </c>
      <c r="H316" s="640" t="s">
        <v>5074</v>
      </c>
      <c r="I316" s="194">
        <v>0</v>
      </c>
      <c r="J316" s="194">
        <v>100000</v>
      </c>
      <c r="K316" s="194">
        <v>0</v>
      </c>
      <c r="L316" s="159" t="s">
        <v>5081</v>
      </c>
      <c r="M316" s="183" t="s">
        <v>5082</v>
      </c>
      <c r="N316" s="184" t="s">
        <v>3434</v>
      </c>
      <c r="O316" s="235" t="s">
        <v>4522</v>
      </c>
    </row>
    <row r="317" spans="1:15" s="182" customFormat="1" ht="21.75" customHeight="1" x14ac:dyDescent="0.15">
      <c r="A317" s="151" t="s">
        <v>5132</v>
      </c>
      <c r="B317" s="20" t="s">
        <v>4971</v>
      </c>
      <c r="C317" s="184" t="s">
        <v>4982</v>
      </c>
      <c r="D317" s="184" t="s">
        <v>5076</v>
      </c>
      <c r="E317" s="184" t="s">
        <v>5077</v>
      </c>
      <c r="F317" s="184" t="s">
        <v>5078</v>
      </c>
      <c r="G317" s="235" t="s">
        <v>3329</v>
      </c>
      <c r="H317" s="640" t="s">
        <v>5074</v>
      </c>
      <c r="I317" s="194">
        <v>0</v>
      </c>
      <c r="J317" s="194">
        <v>22280</v>
      </c>
      <c r="K317" s="194">
        <v>0</v>
      </c>
      <c r="L317" s="185" t="s">
        <v>5084</v>
      </c>
      <c r="M317" s="183" t="s">
        <v>5083</v>
      </c>
      <c r="N317" s="184" t="s">
        <v>3434</v>
      </c>
      <c r="O317" s="235" t="s">
        <v>4522</v>
      </c>
    </row>
    <row r="318" spans="1:15" s="182" customFormat="1" ht="21.75" customHeight="1" x14ac:dyDescent="0.15">
      <c r="A318" s="151" t="s">
        <v>5132</v>
      </c>
      <c r="B318" s="20" t="s">
        <v>4971</v>
      </c>
      <c r="C318" s="184" t="s">
        <v>4982</v>
      </c>
      <c r="D318" s="184" t="s">
        <v>5076</v>
      </c>
      <c r="E318" s="184" t="s">
        <v>5077</v>
      </c>
      <c r="F318" s="184" t="s">
        <v>3400</v>
      </c>
      <c r="G318" s="235" t="s">
        <v>5086</v>
      </c>
      <c r="H318" s="640" t="s">
        <v>5075</v>
      </c>
      <c r="I318" s="194">
        <v>0</v>
      </c>
      <c r="J318" s="194">
        <v>27720</v>
      </c>
      <c r="K318" s="194">
        <v>0</v>
      </c>
      <c r="L318" s="185">
        <v>0.6</v>
      </c>
      <c r="M318" s="183" t="s">
        <v>5087</v>
      </c>
      <c r="N318" s="184" t="s">
        <v>3434</v>
      </c>
      <c r="O318" s="235" t="s">
        <v>4522</v>
      </c>
    </row>
    <row r="319" spans="1:15" s="182" customFormat="1" ht="21.75" customHeight="1" x14ac:dyDescent="0.15">
      <c r="A319" s="151" t="s">
        <v>5137</v>
      </c>
      <c r="B319" s="20" t="s">
        <v>4690</v>
      </c>
      <c r="C319" s="241" t="s">
        <v>3346</v>
      </c>
      <c r="D319" s="241" t="s">
        <v>3481</v>
      </c>
      <c r="E319" s="241" t="s">
        <v>4692</v>
      </c>
      <c r="F319" s="241" t="s">
        <v>3340</v>
      </c>
      <c r="G319" s="242" t="s">
        <v>3566</v>
      </c>
      <c r="H319" s="636">
        <v>20142</v>
      </c>
      <c r="I319" s="194">
        <v>0</v>
      </c>
      <c r="J319" s="194">
        <v>93500</v>
      </c>
      <c r="K319" s="185" t="s">
        <v>3105</v>
      </c>
      <c r="L319" s="183" t="s">
        <v>4706</v>
      </c>
      <c r="M319" s="183" t="s">
        <v>3434</v>
      </c>
      <c r="N319" s="183" t="s">
        <v>3434</v>
      </c>
      <c r="O319" s="541"/>
    </row>
    <row r="320" spans="1:15" s="182" customFormat="1" ht="21.75" customHeight="1" x14ac:dyDescent="0.15">
      <c r="A320" s="151" t="s">
        <v>5138</v>
      </c>
      <c r="B320" s="20" t="s">
        <v>5139</v>
      </c>
      <c r="C320" s="241" t="s">
        <v>3384</v>
      </c>
      <c r="D320" s="241" t="s">
        <v>3326</v>
      </c>
      <c r="E320" s="241" t="s">
        <v>3385</v>
      </c>
      <c r="F320" s="279" t="s">
        <v>3328</v>
      </c>
      <c r="G320" s="170" t="s">
        <v>3566</v>
      </c>
      <c r="H320" s="636">
        <v>19176</v>
      </c>
      <c r="I320" s="194">
        <v>0</v>
      </c>
      <c r="J320" s="194">
        <v>80000</v>
      </c>
      <c r="K320" s="185" t="s">
        <v>3105</v>
      </c>
      <c r="L320" s="183" t="s">
        <v>4706</v>
      </c>
      <c r="M320" s="183" t="s">
        <v>4399</v>
      </c>
      <c r="N320" s="183" t="s">
        <v>4399</v>
      </c>
      <c r="O320" s="541"/>
    </row>
    <row r="321" spans="1:15" s="182" customFormat="1" ht="21.75" customHeight="1" x14ac:dyDescent="0.15">
      <c r="A321" s="151" t="s">
        <v>5138</v>
      </c>
      <c r="B321" s="20" t="s">
        <v>5140</v>
      </c>
      <c r="C321" s="640" t="s">
        <v>4963</v>
      </c>
      <c r="D321" s="640" t="s">
        <v>5153</v>
      </c>
      <c r="E321" s="640" t="s">
        <v>5179</v>
      </c>
      <c r="F321" s="184" t="s">
        <v>5078</v>
      </c>
      <c r="G321" s="239" t="s">
        <v>3336</v>
      </c>
      <c r="H321" s="636">
        <v>21159</v>
      </c>
      <c r="I321" s="194">
        <v>0</v>
      </c>
      <c r="J321" s="194">
        <v>69500</v>
      </c>
      <c r="K321" s="185">
        <v>1</v>
      </c>
      <c r="L321" s="183" t="s">
        <v>4707</v>
      </c>
      <c r="M321" s="183" t="s">
        <v>3957</v>
      </c>
      <c r="N321" s="183" t="s">
        <v>3957</v>
      </c>
      <c r="O321" s="541"/>
    </row>
    <row r="322" spans="1:15" s="182" customFormat="1" ht="21.75" customHeight="1" x14ac:dyDescent="0.15">
      <c r="A322" s="151" t="s">
        <v>5138</v>
      </c>
      <c r="B322" s="20" t="s">
        <v>5141</v>
      </c>
      <c r="C322" s="279" t="s">
        <v>3346</v>
      </c>
      <c r="D322" s="279" t="s">
        <v>3463</v>
      </c>
      <c r="E322" s="279" t="s">
        <v>4115</v>
      </c>
      <c r="F322" s="241" t="s">
        <v>4116</v>
      </c>
      <c r="G322" s="242" t="s">
        <v>4116</v>
      </c>
      <c r="H322" s="636">
        <v>20007</v>
      </c>
      <c r="I322" s="194">
        <v>0</v>
      </c>
      <c r="J322" s="194">
        <v>79974</v>
      </c>
      <c r="K322" s="185">
        <v>0.3</v>
      </c>
      <c r="L322" s="183" t="s">
        <v>4711</v>
      </c>
      <c r="M322" s="241" t="s">
        <v>3725</v>
      </c>
      <c r="N322" s="241" t="s">
        <v>3726</v>
      </c>
      <c r="O322" s="541"/>
    </row>
    <row r="323" spans="1:15" s="182" customFormat="1" ht="21.75" customHeight="1" x14ac:dyDescent="0.15">
      <c r="A323" s="151" t="s">
        <v>5138</v>
      </c>
      <c r="B323" s="20" t="s">
        <v>4681</v>
      </c>
      <c r="C323" s="636" t="s">
        <v>5148</v>
      </c>
      <c r="D323" s="636" t="s">
        <v>5098</v>
      </c>
      <c r="E323" s="636" t="s">
        <v>5149</v>
      </c>
      <c r="F323" s="184" t="s">
        <v>5078</v>
      </c>
      <c r="G323" s="235" t="s">
        <v>4923</v>
      </c>
      <c r="H323" s="636">
        <v>21132</v>
      </c>
      <c r="I323" s="194">
        <v>0</v>
      </c>
      <c r="J323" s="194">
        <v>13680</v>
      </c>
      <c r="K323" s="185">
        <v>0.9</v>
      </c>
      <c r="L323" s="183" t="s">
        <v>4711</v>
      </c>
      <c r="M323" s="183" t="s">
        <v>4708</v>
      </c>
      <c r="N323" s="183" t="s">
        <v>4708</v>
      </c>
      <c r="O323" s="636"/>
    </row>
    <row r="324" spans="1:15" s="182" customFormat="1" ht="21.75" customHeight="1" x14ac:dyDescent="0.15">
      <c r="A324" s="151" t="s">
        <v>5142</v>
      </c>
      <c r="B324" s="20" t="s">
        <v>4857</v>
      </c>
      <c r="C324" s="184" t="s">
        <v>5152</v>
      </c>
      <c r="D324" s="184" t="s">
        <v>5153</v>
      </c>
      <c r="E324" s="184" t="s">
        <v>5154</v>
      </c>
      <c r="F324" s="184" t="s">
        <v>5078</v>
      </c>
      <c r="G324" s="235" t="s">
        <v>5155</v>
      </c>
      <c r="H324" s="636" t="s">
        <v>5150</v>
      </c>
      <c r="I324" s="194">
        <v>0</v>
      </c>
      <c r="J324" s="194">
        <v>60000</v>
      </c>
      <c r="K324" s="185" t="s">
        <v>5158</v>
      </c>
      <c r="L324" s="183" t="s">
        <v>4707</v>
      </c>
      <c r="M324" s="183" t="s">
        <v>3725</v>
      </c>
      <c r="N324" s="183" t="s">
        <v>3725</v>
      </c>
      <c r="O324" s="541"/>
    </row>
    <row r="325" spans="1:15" s="182" customFormat="1" ht="21.75" customHeight="1" x14ac:dyDescent="0.15">
      <c r="A325" s="151" t="s">
        <v>5142</v>
      </c>
      <c r="B325" s="20" t="s">
        <v>4857</v>
      </c>
      <c r="C325" s="184" t="s">
        <v>5156</v>
      </c>
      <c r="D325" s="184" t="s">
        <v>5153</v>
      </c>
      <c r="E325" s="184" t="s">
        <v>5157</v>
      </c>
      <c r="F325" s="184" t="s">
        <v>5078</v>
      </c>
      <c r="G325" s="235" t="s">
        <v>5155</v>
      </c>
      <c r="H325" s="636" t="s">
        <v>5151</v>
      </c>
      <c r="I325" s="194">
        <v>0</v>
      </c>
      <c r="J325" s="194">
        <v>60000</v>
      </c>
      <c r="K325" s="185" t="s">
        <v>5158</v>
      </c>
      <c r="L325" s="183" t="s">
        <v>4707</v>
      </c>
      <c r="M325" s="183" t="s">
        <v>3725</v>
      </c>
      <c r="N325" s="183" t="s">
        <v>3725</v>
      </c>
      <c r="O325" s="636"/>
    </row>
    <row r="326" spans="1:15" s="182" customFormat="1" ht="21.75" customHeight="1" x14ac:dyDescent="0.15">
      <c r="A326" s="151" t="s">
        <v>5142</v>
      </c>
      <c r="B326" s="20" t="s">
        <v>4854</v>
      </c>
      <c r="C326" s="241" t="s">
        <v>3363</v>
      </c>
      <c r="D326" s="241" t="s">
        <v>3702</v>
      </c>
      <c r="E326" s="241" t="s">
        <v>3986</v>
      </c>
      <c r="F326" s="241" t="s">
        <v>3328</v>
      </c>
      <c r="G326" s="242" t="s">
        <v>3349</v>
      </c>
      <c r="H326" s="636">
        <v>20014</v>
      </c>
      <c r="I326" s="194">
        <v>0</v>
      </c>
      <c r="J326" s="194">
        <v>50000</v>
      </c>
      <c r="K326" s="185">
        <v>0.5</v>
      </c>
      <c r="L326" s="183" t="s">
        <v>4706</v>
      </c>
      <c r="M326" s="183" t="s">
        <v>3434</v>
      </c>
      <c r="N326" s="183" t="s">
        <v>3434</v>
      </c>
      <c r="O326" s="541"/>
    </row>
    <row r="327" spans="1:15" s="182" customFormat="1" ht="21.75" customHeight="1" x14ac:dyDescent="0.15">
      <c r="A327" s="151" t="s">
        <v>5142</v>
      </c>
      <c r="B327" s="20" t="s">
        <v>5014</v>
      </c>
      <c r="C327" s="241" t="s">
        <v>3346</v>
      </c>
      <c r="D327" s="241" t="s">
        <v>3712</v>
      </c>
      <c r="E327" s="241" t="s">
        <v>3713</v>
      </c>
      <c r="F327" s="241" t="s">
        <v>3355</v>
      </c>
      <c r="G327" s="242" t="s">
        <v>3356</v>
      </c>
      <c r="H327" s="636">
        <v>19079</v>
      </c>
      <c r="I327" s="194">
        <v>0</v>
      </c>
      <c r="J327" s="194">
        <v>30000</v>
      </c>
      <c r="K327" s="185" t="s">
        <v>3105</v>
      </c>
      <c r="L327" s="183" t="s">
        <v>4724</v>
      </c>
      <c r="M327" s="183" t="s">
        <v>3434</v>
      </c>
      <c r="N327" s="183" t="s">
        <v>3434</v>
      </c>
      <c r="O327" s="541"/>
    </row>
    <row r="328" spans="1:15" s="182" customFormat="1" ht="21.75" customHeight="1" x14ac:dyDescent="0.15">
      <c r="A328" s="151" t="s">
        <v>5142</v>
      </c>
      <c r="B328" s="20" t="s">
        <v>5143</v>
      </c>
      <c r="C328" s="236" t="s">
        <v>3346</v>
      </c>
      <c r="D328" s="635" t="s">
        <v>3352</v>
      </c>
      <c r="E328" s="236" t="s">
        <v>4241</v>
      </c>
      <c r="F328" s="184" t="s">
        <v>3332</v>
      </c>
      <c r="G328" s="253" t="s">
        <v>3381</v>
      </c>
      <c r="H328" s="636">
        <v>21137</v>
      </c>
      <c r="I328" s="194">
        <v>0</v>
      </c>
      <c r="J328" s="194">
        <v>48000</v>
      </c>
      <c r="K328" s="185">
        <v>0.5</v>
      </c>
      <c r="L328" s="183" t="s">
        <v>4706</v>
      </c>
      <c r="M328" s="183" t="s">
        <v>3433</v>
      </c>
      <c r="N328" s="183" t="s">
        <v>3433</v>
      </c>
      <c r="O328" s="541"/>
    </row>
    <row r="329" spans="1:15" s="212" customFormat="1" ht="21.75" customHeight="1" x14ac:dyDescent="0.15">
      <c r="A329" s="163" t="s">
        <v>5144</v>
      </c>
      <c r="B329" s="44" t="s">
        <v>4779</v>
      </c>
      <c r="C329" s="241" t="s">
        <v>3346</v>
      </c>
      <c r="D329" s="241" t="s">
        <v>3851</v>
      </c>
      <c r="E329" s="241" t="s">
        <v>4780</v>
      </c>
      <c r="F329" s="241" t="s">
        <v>3355</v>
      </c>
      <c r="G329" s="242" t="s">
        <v>3941</v>
      </c>
      <c r="H329" s="164">
        <v>21063</v>
      </c>
      <c r="I329" s="200">
        <v>0</v>
      </c>
      <c r="J329" s="200">
        <v>69900</v>
      </c>
      <c r="K329" s="186">
        <v>0.3</v>
      </c>
      <c r="L329" s="187" t="s">
        <v>4694</v>
      </c>
      <c r="M329" s="187" t="s">
        <v>3434</v>
      </c>
      <c r="N329" s="187" t="s">
        <v>3434</v>
      </c>
      <c r="O329" s="164"/>
    </row>
    <row r="330" spans="1:15" s="182" customFormat="1" ht="21.75" customHeight="1" x14ac:dyDescent="0.15">
      <c r="A330" s="151" t="s">
        <v>5144</v>
      </c>
      <c r="B330" s="20" t="s">
        <v>5145</v>
      </c>
      <c r="C330" s="224" t="s">
        <v>3346</v>
      </c>
      <c r="D330" s="224" t="s">
        <v>3457</v>
      </c>
      <c r="E330" s="224" t="s">
        <v>4080</v>
      </c>
      <c r="F330" s="224" t="s">
        <v>3340</v>
      </c>
      <c r="G330" s="239" t="s">
        <v>3336</v>
      </c>
      <c r="H330" s="636">
        <v>21155</v>
      </c>
      <c r="I330" s="194">
        <v>0</v>
      </c>
      <c r="J330" s="194">
        <v>40000</v>
      </c>
      <c r="K330" s="185">
        <v>1</v>
      </c>
      <c r="L330" s="183" t="s">
        <v>4707</v>
      </c>
      <c r="M330" s="183" t="s">
        <v>3434</v>
      </c>
      <c r="N330" s="183" t="s">
        <v>3434</v>
      </c>
      <c r="O330" s="541"/>
    </row>
    <row r="331" spans="1:15" s="182" customFormat="1" ht="21.75" customHeight="1" x14ac:dyDescent="0.15">
      <c r="A331" s="151" t="s">
        <v>5146</v>
      </c>
      <c r="B331" s="20" t="s">
        <v>5147</v>
      </c>
      <c r="C331" s="241" t="s">
        <v>3346</v>
      </c>
      <c r="D331" s="241" t="s">
        <v>3354</v>
      </c>
      <c r="E331" s="241" t="s">
        <v>4557</v>
      </c>
      <c r="F331" s="241" t="s">
        <v>3328</v>
      </c>
      <c r="G331" s="242" t="s">
        <v>4558</v>
      </c>
      <c r="H331" s="638" t="s">
        <v>5159</v>
      </c>
      <c r="I331" s="194">
        <v>0</v>
      </c>
      <c r="J331" s="194">
        <v>56807.5</v>
      </c>
      <c r="K331" s="185">
        <v>0.1</v>
      </c>
      <c r="L331" s="183" t="s">
        <v>4724</v>
      </c>
      <c r="M331" s="241" t="s">
        <v>3726</v>
      </c>
      <c r="N331" s="184" t="s">
        <v>5161</v>
      </c>
      <c r="O331" s="541"/>
    </row>
    <row r="332" spans="1:15" s="182" customFormat="1" ht="21.75" customHeight="1" x14ac:dyDescent="0.15">
      <c r="A332" s="151" t="s">
        <v>5146</v>
      </c>
      <c r="B332" s="20" t="s">
        <v>5147</v>
      </c>
      <c r="C332" s="241" t="s">
        <v>3346</v>
      </c>
      <c r="D332" s="241" t="s">
        <v>3354</v>
      </c>
      <c r="E332" s="241" t="s">
        <v>4559</v>
      </c>
      <c r="F332" s="241" t="s">
        <v>3328</v>
      </c>
      <c r="G332" s="242" t="s">
        <v>4558</v>
      </c>
      <c r="H332" s="638" t="s">
        <v>5160</v>
      </c>
      <c r="I332" s="194">
        <v>0</v>
      </c>
      <c r="J332" s="194">
        <v>56807.5</v>
      </c>
      <c r="K332" s="185">
        <v>0.1</v>
      </c>
      <c r="L332" s="183" t="s">
        <v>4724</v>
      </c>
      <c r="M332" s="241" t="s">
        <v>3725</v>
      </c>
      <c r="N332" s="184" t="s">
        <v>5161</v>
      </c>
      <c r="O332" s="636"/>
    </row>
    <row r="333" spans="1:15" s="182" customFormat="1" ht="21.75" customHeight="1" x14ac:dyDescent="0.15">
      <c r="A333" s="151" t="s">
        <v>5146</v>
      </c>
      <c r="B333" s="20" t="s">
        <v>5162</v>
      </c>
      <c r="C333" s="279" t="s">
        <v>5164</v>
      </c>
      <c r="D333" s="279" t="s">
        <v>3419</v>
      </c>
      <c r="E333" s="241" t="s">
        <v>5165</v>
      </c>
      <c r="F333" s="279" t="s">
        <v>3328</v>
      </c>
      <c r="G333" s="242" t="s">
        <v>5166</v>
      </c>
      <c r="H333" s="541">
        <v>20167</v>
      </c>
      <c r="I333" s="194">
        <v>394250</v>
      </c>
      <c r="J333" s="194">
        <v>0</v>
      </c>
      <c r="K333" s="185">
        <v>0.95</v>
      </c>
      <c r="L333" s="183" t="s">
        <v>4711</v>
      </c>
      <c r="M333" s="183" t="s">
        <v>4399</v>
      </c>
      <c r="N333" s="183" t="s">
        <v>4399</v>
      </c>
      <c r="O333" s="541" t="s">
        <v>5163</v>
      </c>
    </row>
    <row r="334" spans="1:15" s="182" customFormat="1" ht="21.75" customHeight="1" x14ac:dyDescent="0.15">
      <c r="A334" s="151" t="s">
        <v>5167</v>
      </c>
      <c r="B334" s="20" t="s">
        <v>5168</v>
      </c>
      <c r="C334" s="241" t="s">
        <v>3334</v>
      </c>
      <c r="D334" s="241" t="s">
        <v>3326</v>
      </c>
      <c r="E334" s="241" t="s">
        <v>3335</v>
      </c>
      <c r="F334" s="241" t="s">
        <v>3328</v>
      </c>
      <c r="G334" s="242" t="s">
        <v>3341</v>
      </c>
      <c r="H334" s="637">
        <v>20009</v>
      </c>
      <c r="I334" s="194">
        <v>0</v>
      </c>
      <c r="J334" s="194">
        <v>112500</v>
      </c>
      <c r="K334" s="185">
        <v>0.25</v>
      </c>
      <c r="L334" s="183" t="s">
        <v>4706</v>
      </c>
      <c r="M334" s="183" t="s">
        <v>4708</v>
      </c>
      <c r="N334" s="183" t="s">
        <v>4708</v>
      </c>
      <c r="O334" s="637"/>
    </row>
    <row r="335" spans="1:15" s="182" customFormat="1" ht="21.75" customHeight="1" x14ac:dyDescent="0.15">
      <c r="A335" s="151" t="s">
        <v>5167</v>
      </c>
      <c r="B335" s="20" t="s">
        <v>5169</v>
      </c>
      <c r="C335" s="279" t="s">
        <v>3351</v>
      </c>
      <c r="D335" s="279" t="s">
        <v>3352</v>
      </c>
      <c r="E335" s="236" t="s">
        <v>2787</v>
      </c>
      <c r="F335" s="599" t="s">
        <v>3328</v>
      </c>
      <c r="G335" s="242" t="s">
        <v>3381</v>
      </c>
      <c r="H335" s="638">
        <v>20073</v>
      </c>
      <c r="I335" s="194">
        <v>0</v>
      </c>
      <c r="J335" s="194">
        <v>35000</v>
      </c>
      <c r="K335" s="185">
        <v>0.5</v>
      </c>
      <c r="L335" s="183" t="s">
        <v>5173</v>
      </c>
      <c r="M335" s="279" t="s">
        <v>4699</v>
      </c>
      <c r="N335" s="596" t="s">
        <v>3726</v>
      </c>
      <c r="O335" s="637"/>
    </row>
    <row r="336" spans="1:15" s="182" customFormat="1" ht="21.75" customHeight="1" x14ac:dyDescent="0.15">
      <c r="A336" s="151" t="s">
        <v>5167</v>
      </c>
      <c r="B336" s="20" t="s">
        <v>5169</v>
      </c>
      <c r="C336" s="279" t="s">
        <v>3351</v>
      </c>
      <c r="D336" s="279" t="s">
        <v>3352</v>
      </c>
      <c r="E336" s="236" t="s">
        <v>2788</v>
      </c>
      <c r="F336" s="599" t="s">
        <v>3340</v>
      </c>
      <c r="G336" s="242" t="s">
        <v>3381</v>
      </c>
      <c r="H336" s="638">
        <v>20075</v>
      </c>
      <c r="I336" s="194">
        <v>0</v>
      </c>
      <c r="J336" s="194">
        <v>35000</v>
      </c>
      <c r="K336" s="185">
        <v>0.5</v>
      </c>
      <c r="L336" s="183" t="s">
        <v>5173</v>
      </c>
      <c r="M336" s="279" t="s">
        <v>4699</v>
      </c>
      <c r="N336" s="596" t="s">
        <v>3726</v>
      </c>
      <c r="O336" s="637"/>
    </row>
    <row r="337" spans="1:15" s="182" customFormat="1" ht="21.75" customHeight="1" x14ac:dyDescent="0.15">
      <c r="A337" s="151" t="s">
        <v>5167</v>
      </c>
      <c r="B337" s="20" t="s">
        <v>5171</v>
      </c>
      <c r="C337" s="279" t="s">
        <v>3351</v>
      </c>
      <c r="D337" s="279" t="s">
        <v>3352</v>
      </c>
      <c r="E337" s="236" t="s">
        <v>2789</v>
      </c>
      <c r="F337" s="599" t="s">
        <v>3340</v>
      </c>
      <c r="G337" s="242" t="s">
        <v>3381</v>
      </c>
      <c r="H337" s="638">
        <v>20076</v>
      </c>
      <c r="I337" s="194">
        <v>0</v>
      </c>
      <c r="J337" s="194">
        <v>35000</v>
      </c>
      <c r="K337" s="185">
        <v>0.5</v>
      </c>
      <c r="L337" s="183" t="s">
        <v>5173</v>
      </c>
      <c r="M337" s="279" t="s">
        <v>4699</v>
      </c>
      <c r="N337" s="596" t="s">
        <v>3726</v>
      </c>
      <c r="O337" s="637"/>
    </row>
    <row r="338" spans="1:15" s="182" customFormat="1" ht="21.75" customHeight="1" x14ac:dyDescent="0.15">
      <c r="A338" s="151" t="s">
        <v>5167</v>
      </c>
      <c r="B338" s="20" t="s">
        <v>5169</v>
      </c>
      <c r="C338" s="224" t="s">
        <v>3351</v>
      </c>
      <c r="D338" s="224" t="s">
        <v>3352</v>
      </c>
      <c r="E338" s="45" t="s">
        <v>2787</v>
      </c>
      <c r="F338" s="207" t="s">
        <v>3328</v>
      </c>
      <c r="G338" s="239" t="s">
        <v>3349</v>
      </c>
      <c r="H338" s="610">
        <v>22090</v>
      </c>
      <c r="I338" s="194">
        <v>0</v>
      </c>
      <c r="J338" s="194">
        <v>35000</v>
      </c>
      <c r="K338" s="185">
        <v>0.5</v>
      </c>
      <c r="L338" s="183" t="s">
        <v>4706</v>
      </c>
      <c r="M338" s="279" t="s">
        <v>3726</v>
      </c>
      <c r="N338" s="596" t="s">
        <v>3726</v>
      </c>
      <c r="O338" s="914" t="s">
        <v>6357</v>
      </c>
    </row>
    <row r="339" spans="1:15" s="182" customFormat="1" ht="21.75" customHeight="1" x14ac:dyDescent="0.15">
      <c r="A339" s="151" t="s">
        <v>5167</v>
      </c>
      <c r="B339" s="20" t="s">
        <v>5169</v>
      </c>
      <c r="C339" s="279" t="s">
        <v>3351</v>
      </c>
      <c r="D339" s="279" t="s">
        <v>3352</v>
      </c>
      <c r="E339" s="236" t="s">
        <v>2787</v>
      </c>
      <c r="F339" s="599" t="s">
        <v>3328</v>
      </c>
      <c r="G339" s="242" t="s">
        <v>5172</v>
      </c>
      <c r="H339" s="610">
        <v>21040</v>
      </c>
      <c r="I339" s="194">
        <v>0</v>
      </c>
      <c r="J339" s="194">
        <v>14000</v>
      </c>
      <c r="K339" s="185">
        <v>0.7</v>
      </c>
      <c r="L339" s="183" t="s">
        <v>5173</v>
      </c>
      <c r="M339" s="279" t="s">
        <v>4699</v>
      </c>
      <c r="N339" s="596" t="s">
        <v>3726</v>
      </c>
      <c r="O339" s="637"/>
    </row>
    <row r="340" spans="1:15" s="182" customFormat="1" ht="21.75" customHeight="1" x14ac:dyDescent="0.15">
      <c r="A340" s="151" t="s">
        <v>5167</v>
      </c>
      <c r="B340" s="20" t="s">
        <v>5170</v>
      </c>
      <c r="C340" s="279" t="s">
        <v>3351</v>
      </c>
      <c r="D340" s="279" t="s">
        <v>3352</v>
      </c>
      <c r="E340" s="614" t="s">
        <v>2796</v>
      </c>
      <c r="F340" s="599" t="s">
        <v>3328</v>
      </c>
      <c r="G340" s="242" t="s">
        <v>3381</v>
      </c>
      <c r="H340" s="638">
        <v>20074</v>
      </c>
      <c r="I340" s="194">
        <v>0</v>
      </c>
      <c r="J340" s="194">
        <v>35000</v>
      </c>
      <c r="K340" s="185">
        <v>0.5</v>
      </c>
      <c r="L340" s="183" t="s">
        <v>5173</v>
      </c>
      <c r="M340" s="279" t="s">
        <v>4699</v>
      </c>
      <c r="N340" s="596" t="s">
        <v>3726</v>
      </c>
      <c r="O340" s="637"/>
    </row>
    <row r="341" spans="1:15" s="182" customFormat="1" ht="21.75" customHeight="1" x14ac:dyDescent="0.15">
      <c r="A341" s="151" t="s">
        <v>5167</v>
      </c>
      <c r="B341" s="20" t="s">
        <v>5170</v>
      </c>
      <c r="C341" s="279" t="s">
        <v>3351</v>
      </c>
      <c r="D341" s="279" t="s">
        <v>3352</v>
      </c>
      <c r="E341" s="614" t="s">
        <v>2796</v>
      </c>
      <c r="F341" s="599" t="s">
        <v>3328</v>
      </c>
      <c r="G341" s="242" t="s">
        <v>5172</v>
      </c>
      <c r="H341" s="610">
        <v>21041</v>
      </c>
      <c r="I341" s="194">
        <v>0</v>
      </c>
      <c r="J341" s="194">
        <v>14000</v>
      </c>
      <c r="K341" s="185">
        <v>0.7</v>
      </c>
      <c r="L341" s="183" t="s">
        <v>5173</v>
      </c>
      <c r="M341" s="279" t="s">
        <v>4699</v>
      </c>
      <c r="N341" s="596" t="s">
        <v>3726</v>
      </c>
      <c r="O341" s="637"/>
    </row>
    <row r="342" spans="1:15" s="182" customFormat="1" ht="21.75" customHeight="1" x14ac:dyDescent="0.15">
      <c r="A342" s="151" t="s">
        <v>5167</v>
      </c>
      <c r="B342" s="20" t="s">
        <v>5174</v>
      </c>
      <c r="C342" s="279" t="s">
        <v>3351</v>
      </c>
      <c r="D342" s="279" t="s">
        <v>3352</v>
      </c>
      <c r="E342" s="236" t="s">
        <v>2784</v>
      </c>
      <c r="F342" s="599" t="s">
        <v>3328</v>
      </c>
      <c r="G342" s="242" t="s">
        <v>3381</v>
      </c>
      <c r="H342" s="638">
        <v>20071</v>
      </c>
      <c r="I342" s="194">
        <v>0</v>
      </c>
      <c r="J342" s="194">
        <v>35000</v>
      </c>
      <c r="K342" s="185">
        <v>0.5</v>
      </c>
      <c r="L342" s="183" t="s">
        <v>4706</v>
      </c>
      <c r="M342" s="279" t="s">
        <v>4699</v>
      </c>
      <c r="N342" s="596" t="s">
        <v>3726</v>
      </c>
      <c r="O342" s="639"/>
    </row>
    <row r="343" spans="1:15" s="182" customFormat="1" ht="21.75" customHeight="1" x14ac:dyDescent="0.15">
      <c r="A343" s="151" t="s">
        <v>5167</v>
      </c>
      <c r="B343" s="20" t="s">
        <v>5174</v>
      </c>
      <c r="C343" s="279" t="s">
        <v>3351</v>
      </c>
      <c r="D343" s="279" t="s">
        <v>3352</v>
      </c>
      <c r="E343" s="236" t="s">
        <v>2784</v>
      </c>
      <c r="F343" s="599" t="s">
        <v>3328</v>
      </c>
      <c r="G343" s="242" t="s">
        <v>5172</v>
      </c>
      <c r="H343" s="610">
        <v>21039</v>
      </c>
      <c r="I343" s="194">
        <v>0</v>
      </c>
      <c r="J343" s="194">
        <v>14000</v>
      </c>
      <c r="K343" s="185">
        <v>0.7</v>
      </c>
      <c r="L343" s="183" t="s">
        <v>4706</v>
      </c>
      <c r="M343" s="279" t="s">
        <v>4699</v>
      </c>
      <c r="N343" s="596" t="s">
        <v>3726</v>
      </c>
      <c r="O343" s="639"/>
    </row>
    <row r="344" spans="1:15" s="182" customFormat="1" ht="21.75" customHeight="1" x14ac:dyDescent="0.15">
      <c r="A344" s="151" t="s">
        <v>5167</v>
      </c>
      <c r="B344" s="20" t="s">
        <v>5175</v>
      </c>
      <c r="C344" s="241" t="s">
        <v>3334</v>
      </c>
      <c r="D344" s="241" t="s">
        <v>3326</v>
      </c>
      <c r="E344" s="241" t="s">
        <v>3942</v>
      </c>
      <c r="F344" s="292" t="s">
        <v>3328</v>
      </c>
      <c r="G344" s="242" t="s">
        <v>3341</v>
      </c>
      <c r="H344" s="610">
        <v>19051</v>
      </c>
      <c r="I344" s="194">
        <v>0</v>
      </c>
      <c r="J344" s="194">
        <v>148950</v>
      </c>
      <c r="K344" s="185">
        <v>0.75</v>
      </c>
      <c r="L344" s="183" t="s">
        <v>4706</v>
      </c>
      <c r="M344" s="279" t="s">
        <v>4708</v>
      </c>
      <c r="N344" s="596" t="s">
        <v>4708</v>
      </c>
      <c r="O344" s="639"/>
    </row>
    <row r="345" spans="1:15" s="182" customFormat="1" ht="21.75" customHeight="1" x14ac:dyDescent="0.15">
      <c r="A345" s="151" t="s">
        <v>5167</v>
      </c>
      <c r="B345" s="20" t="s">
        <v>5176</v>
      </c>
      <c r="C345" s="279" t="s">
        <v>3351</v>
      </c>
      <c r="D345" s="279" t="s">
        <v>3352</v>
      </c>
      <c r="E345" s="241" t="s">
        <v>2795</v>
      </c>
      <c r="F345" s="599" t="s">
        <v>3328</v>
      </c>
      <c r="G345" s="242" t="s">
        <v>3349</v>
      </c>
      <c r="H345" s="541">
        <v>22087</v>
      </c>
      <c r="I345" s="194">
        <v>0</v>
      </c>
      <c r="J345" s="194">
        <v>35000</v>
      </c>
      <c r="K345" s="185">
        <v>0.5</v>
      </c>
      <c r="L345" s="183" t="s">
        <v>4706</v>
      </c>
      <c r="M345" s="183" t="s">
        <v>4699</v>
      </c>
      <c r="N345" s="183" t="s">
        <v>3726</v>
      </c>
      <c r="O345" s="541"/>
    </row>
    <row r="346" spans="1:15" s="182" customFormat="1" ht="21.75" customHeight="1" x14ac:dyDescent="0.15">
      <c r="A346" s="151" t="s">
        <v>5167</v>
      </c>
      <c r="B346" s="20" t="s">
        <v>5177</v>
      </c>
      <c r="C346" s="279" t="s">
        <v>3351</v>
      </c>
      <c r="D346" s="279" t="s">
        <v>3352</v>
      </c>
      <c r="E346" s="236" t="s">
        <v>2794</v>
      </c>
      <c r="F346" s="599" t="s">
        <v>3340</v>
      </c>
      <c r="G346" s="242" t="s">
        <v>3381</v>
      </c>
      <c r="H346" s="541">
        <v>20072</v>
      </c>
      <c r="I346" s="194">
        <v>0</v>
      </c>
      <c r="J346" s="194">
        <v>35000</v>
      </c>
      <c r="K346" s="185">
        <v>0.5</v>
      </c>
      <c r="L346" s="183" t="s">
        <v>4706</v>
      </c>
      <c r="M346" s="183" t="s">
        <v>4699</v>
      </c>
      <c r="N346" s="183" t="s">
        <v>3726</v>
      </c>
      <c r="O346" s="541"/>
    </row>
    <row r="347" spans="1:15" s="182" customFormat="1" ht="21.75" customHeight="1" x14ac:dyDescent="0.15">
      <c r="A347" s="151" t="s">
        <v>5178</v>
      </c>
      <c r="B347" s="226" t="s">
        <v>5180</v>
      </c>
      <c r="C347" s="640" t="s">
        <v>4982</v>
      </c>
      <c r="D347" s="640" t="s">
        <v>5098</v>
      </c>
      <c r="E347" s="640" t="s">
        <v>5181</v>
      </c>
      <c r="F347" s="184" t="s">
        <v>5078</v>
      </c>
      <c r="G347" s="235" t="s">
        <v>3329</v>
      </c>
      <c r="H347" s="638" t="s">
        <v>5182</v>
      </c>
      <c r="I347" s="194">
        <v>196200</v>
      </c>
      <c r="J347" s="194">
        <v>0</v>
      </c>
      <c r="K347" s="185">
        <v>0.6</v>
      </c>
      <c r="L347" s="183" t="s">
        <v>4694</v>
      </c>
      <c r="M347" s="183" t="s">
        <v>3434</v>
      </c>
      <c r="N347" s="183" t="s">
        <v>3434</v>
      </c>
      <c r="O347" s="640" t="s">
        <v>5184</v>
      </c>
    </row>
    <row r="348" spans="1:15" s="182" customFormat="1" ht="21.75" customHeight="1" x14ac:dyDescent="0.15">
      <c r="A348" s="151" t="s">
        <v>5178</v>
      </c>
      <c r="B348" s="226" t="s">
        <v>5180</v>
      </c>
      <c r="C348" s="640" t="s">
        <v>4982</v>
      </c>
      <c r="D348" s="640" t="s">
        <v>5098</v>
      </c>
      <c r="E348" s="640" t="s">
        <v>5181</v>
      </c>
      <c r="F348" s="184" t="s">
        <v>3400</v>
      </c>
      <c r="G348" s="235" t="s">
        <v>5086</v>
      </c>
      <c r="H348" s="638" t="s">
        <v>5183</v>
      </c>
      <c r="I348" s="194">
        <v>16800</v>
      </c>
      <c r="J348" s="194">
        <v>0</v>
      </c>
      <c r="K348" s="185">
        <v>0.6</v>
      </c>
      <c r="L348" s="183" t="s">
        <v>4694</v>
      </c>
      <c r="M348" s="183" t="s">
        <v>3434</v>
      </c>
      <c r="N348" s="183" t="s">
        <v>3434</v>
      </c>
      <c r="O348" s="640" t="s">
        <v>5184</v>
      </c>
    </row>
    <row r="349" spans="1:15" s="182" customFormat="1" ht="21.75" customHeight="1" x14ac:dyDescent="0.15">
      <c r="A349" s="151" t="s">
        <v>5185</v>
      </c>
      <c r="B349" s="226" t="s">
        <v>5187</v>
      </c>
      <c r="C349" s="241" t="s">
        <v>3351</v>
      </c>
      <c r="D349" s="241" t="s">
        <v>3352</v>
      </c>
      <c r="E349" s="241" t="s">
        <v>5194</v>
      </c>
      <c r="F349" s="241" t="s">
        <v>3328</v>
      </c>
      <c r="G349" s="242" t="s">
        <v>4065</v>
      </c>
      <c r="H349" s="638">
        <v>21036</v>
      </c>
      <c r="I349" s="194">
        <v>0</v>
      </c>
      <c r="J349" s="194">
        <v>42000</v>
      </c>
      <c r="K349" s="185">
        <v>0.6</v>
      </c>
      <c r="L349" s="183" t="s">
        <v>285</v>
      </c>
      <c r="M349" s="183" t="s">
        <v>1784</v>
      </c>
      <c r="N349" s="183" t="s">
        <v>1784</v>
      </c>
      <c r="O349" s="641"/>
    </row>
    <row r="350" spans="1:15" s="182" customFormat="1" ht="21.75" customHeight="1" x14ac:dyDescent="0.15">
      <c r="A350" s="151" t="s">
        <v>5185</v>
      </c>
      <c r="B350" s="226" t="s">
        <v>5187</v>
      </c>
      <c r="C350" s="279" t="s">
        <v>3351</v>
      </c>
      <c r="D350" s="279" t="s">
        <v>3352</v>
      </c>
      <c r="E350" s="236" t="s">
        <v>4451</v>
      </c>
      <c r="F350" s="599" t="s">
        <v>3328</v>
      </c>
      <c r="G350" s="242" t="s">
        <v>3381</v>
      </c>
      <c r="H350" s="638">
        <v>20078</v>
      </c>
      <c r="I350" s="194">
        <v>0</v>
      </c>
      <c r="J350" s="194">
        <v>35000</v>
      </c>
      <c r="K350" s="185">
        <v>0.5</v>
      </c>
      <c r="L350" s="183" t="s">
        <v>285</v>
      </c>
      <c r="M350" s="183" t="s">
        <v>158</v>
      </c>
      <c r="N350" s="183" t="s">
        <v>1784</v>
      </c>
      <c r="O350" s="641"/>
    </row>
    <row r="351" spans="1:15" s="182" customFormat="1" ht="21.75" customHeight="1" x14ac:dyDescent="0.15">
      <c r="A351" s="151" t="s">
        <v>5185</v>
      </c>
      <c r="B351" s="226" t="s">
        <v>5187</v>
      </c>
      <c r="C351" s="279" t="s">
        <v>3351</v>
      </c>
      <c r="D351" s="279" t="s">
        <v>3352</v>
      </c>
      <c r="E351" s="279" t="s">
        <v>3644</v>
      </c>
      <c r="F351" s="599" t="s">
        <v>3328</v>
      </c>
      <c r="G351" s="242" t="s">
        <v>3381</v>
      </c>
      <c r="H351" s="638">
        <v>20079</v>
      </c>
      <c r="I351" s="194">
        <v>0</v>
      </c>
      <c r="J351" s="194">
        <v>35000</v>
      </c>
      <c r="K351" s="185">
        <v>0.5</v>
      </c>
      <c r="L351" s="183" t="s">
        <v>285</v>
      </c>
      <c r="M351" s="183" t="s">
        <v>158</v>
      </c>
      <c r="N351" s="183" t="s">
        <v>1784</v>
      </c>
      <c r="O351" s="641"/>
    </row>
    <row r="352" spans="1:15" s="182" customFormat="1" ht="21.75" customHeight="1" x14ac:dyDescent="0.15">
      <c r="A352" s="151" t="s">
        <v>5185</v>
      </c>
      <c r="B352" s="226" t="s">
        <v>5187</v>
      </c>
      <c r="C352" s="279" t="s">
        <v>3351</v>
      </c>
      <c r="D352" s="279" t="s">
        <v>3352</v>
      </c>
      <c r="E352" s="236" t="s">
        <v>4451</v>
      </c>
      <c r="F352" s="599" t="s">
        <v>3328</v>
      </c>
      <c r="G352" s="242" t="s">
        <v>5172</v>
      </c>
      <c r="H352" s="610" t="s">
        <v>5195</v>
      </c>
      <c r="I352" s="194">
        <v>0</v>
      </c>
      <c r="J352" s="194">
        <v>14000</v>
      </c>
      <c r="K352" s="185">
        <v>0.7</v>
      </c>
      <c r="L352" s="183" t="s">
        <v>285</v>
      </c>
      <c r="M352" s="183" t="s">
        <v>158</v>
      </c>
      <c r="N352" s="183" t="s">
        <v>1784</v>
      </c>
      <c r="O352" s="641"/>
    </row>
    <row r="353" spans="1:15" s="182" customFormat="1" ht="21.75" customHeight="1" x14ac:dyDescent="0.15">
      <c r="A353" s="151" t="s">
        <v>5185</v>
      </c>
      <c r="B353" s="226" t="s">
        <v>5187</v>
      </c>
      <c r="C353" s="279" t="s">
        <v>3351</v>
      </c>
      <c r="D353" s="279" t="s">
        <v>3352</v>
      </c>
      <c r="E353" s="279" t="s">
        <v>3644</v>
      </c>
      <c r="F353" s="599" t="s">
        <v>3328</v>
      </c>
      <c r="G353" s="242" t="s">
        <v>5172</v>
      </c>
      <c r="H353" s="610" t="s">
        <v>5196</v>
      </c>
      <c r="I353" s="194">
        <v>0</v>
      </c>
      <c r="J353" s="194">
        <v>14000</v>
      </c>
      <c r="K353" s="185">
        <v>0.7</v>
      </c>
      <c r="L353" s="183" t="s">
        <v>285</v>
      </c>
      <c r="M353" s="183" t="s">
        <v>158</v>
      </c>
      <c r="N353" s="183" t="s">
        <v>1784</v>
      </c>
      <c r="O353" s="641"/>
    </row>
    <row r="354" spans="1:15" s="182" customFormat="1" ht="21.75" customHeight="1" x14ac:dyDescent="0.15">
      <c r="A354" s="151" t="s">
        <v>5185</v>
      </c>
      <c r="B354" s="226" t="s">
        <v>5188</v>
      </c>
      <c r="C354" s="279" t="s">
        <v>3351</v>
      </c>
      <c r="D354" s="279" t="s">
        <v>3352</v>
      </c>
      <c r="E354" s="236" t="s">
        <v>3643</v>
      </c>
      <c r="F354" s="599" t="s">
        <v>3340</v>
      </c>
      <c r="G354" s="242" t="s">
        <v>3381</v>
      </c>
      <c r="H354" s="638">
        <v>20077</v>
      </c>
      <c r="I354" s="194">
        <v>0</v>
      </c>
      <c r="J354" s="194">
        <v>35000</v>
      </c>
      <c r="K354" s="185">
        <v>0.5</v>
      </c>
      <c r="L354" s="183" t="s">
        <v>285</v>
      </c>
      <c r="M354" s="183" t="s">
        <v>158</v>
      </c>
      <c r="N354" s="183" t="s">
        <v>1784</v>
      </c>
      <c r="O354" s="641"/>
    </row>
    <row r="355" spans="1:15" s="182" customFormat="1" ht="21.75" customHeight="1" x14ac:dyDescent="0.15">
      <c r="A355" s="151" t="s">
        <v>5185</v>
      </c>
      <c r="B355" s="226" t="s">
        <v>5189</v>
      </c>
      <c r="C355" s="241" t="s">
        <v>3363</v>
      </c>
      <c r="D355" s="241" t="s">
        <v>3354</v>
      </c>
      <c r="E355" s="241" t="s">
        <v>4049</v>
      </c>
      <c r="F355" s="241" t="s">
        <v>3328</v>
      </c>
      <c r="G355" s="242" t="s">
        <v>4375</v>
      </c>
      <c r="H355" s="638">
        <v>20027</v>
      </c>
      <c r="I355" s="194">
        <v>0</v>
      </c>
      <c r="J355" s="194">
        <v>16500</v>
      </c>
      <c r="K355" s="185">
        <v>0.1</v>
      </c>
      <c r="L355" s="183" t="s">
        <v>1948</v>
      </c>
      <c r="M355" s="183" t="s">
        <v>2660</v>
      </c>
      <c r="N355" s="183" t="s">
        <v>2660</v>
      </c>
      <c r="O355" s="641"/>
    </row>
    <row r="356" spans="1:15" s="182" customFormat="1" ht="21.75" customHeight="1" x14ac:dyDescent="0.15">
      <c r="A356" s="151" t="s">
        <v>5185</v>
      </c>
      <c r="B356" s="226" t="s">
        <v>5180</v>
      </c>
      <c r="C356" s="641" t="s">
        <v>4982</v>
      </c>
      <c r="D356" s="641" t="s">
        <v>5098</v>
      </c>
      <c r="E356" s="641" t="s">
        <v>5181</v>
      </c>
      <c r="F356" s="184" t="s">
        <v>5078</v>
      </c>
      <c r="G356" s="235" t="s">
        <v>3329</v>
      </c>
      <c r="H356" s="638" t="s">
        <v>5182</v>
      </c>
      <c r="I356" s="194">
        <v>0</v>
      </c>
      <c r="J356" s="194">
        <v>196200</v>
      </c>
      <c r="K356" s="185">
        <v>0.6</v>
      </c>
      <c r="L356" s="183" t="s">
        <v>4694</v>
      </c>
      <c r="M356" s="183" t="s">
        <v>3434</v>
      </c>
      <c r="N356" s="183" t="s">
        <v>3434</v>
      </c>
      <c r="O356" s="226" t="s">
        <v>4522</v>
      </c>
    </row>
    <row r="357" spans="1:15" s="182" customFormat="1" ht="21.75" customHeight="1" x14ac:dyDescent="0.15">
      <c r="A357" s="151" t="s">
        <v>5185</v>
      </c>
      <c r="B357" s="226" t="s">
        <v>5180</v>
      </c>
      <c r="C357" s="641" t="s">
        <v>4982</v>
      </c>
      <c r="D357" s="641" t="s">
        <v>5098</v>
      </c>
      <c r="E357" s="641" t="s">
        <v>5181</v>
      </c>
      <c r="F357" s="184" t="s">
        <v>3400</v>
      </c>
      <c r="G357" s="235" t="s">
        <v>5086</v>
      </c>
      <c r="H357" s="638" t="s">
        <v>5183</v>
      </c>
      <c r="I357" s="194">
        <v>0</v>
      </c>
      <c r="J357" s="194">
        <v>16800</v>
      </c>
      <c r="K357" s="185">
        <v>0.6</v>
      </c>
      <c r="L357" s="183" t="s">
        <v>4694</v>
      </c>
      <c r="M357" s="183" t="s">
        <v>3434</v>
      </c>
      <c r="N357" s="183" t="s">
        <v>3434</v>
      </c>
      <c r="O357" s="226" t="s">
        <v>4522</v>
      </c>
    </row>
    <row r="358" spans="1:15" s="182" customFormat="1" ht="21.75" customHeight="1" x14ac:dyDescent="0.15">
      <c r="A358" s="151" t="s">
        <v>5185</v>
      </c>
      <c r="B358" s="226" t="s">
        <v>5190</v>
      </c>
      <c r="C358" s="184" t="s">
        <v>4963</v>
      </c>
      <c r="D358" s="184" t="s">
        <v>5018</v>
      </c>
      <c r="E358" s="184" t="s">
        <v>5197</v>
      </c>
      <c r="F358" s="184" t="s">
        <v>5198</v>
      </c>
      <c r="G358" s="235" t="s">
        <v>5199</v>
      </c>
      <c r="H358" s="638">
        <v>21165</v>
      </c>
      <c r="I358" s="194">
        <v>0</v>
      </c>
      <c r="J358" s="194">
        <v>204181</v>
      </c>
      <c r="K358" s="185">
        <v>1</v>
      </c>
      <c r="L358" s="183" t="s">
        <v>1948</v>
      </c>
      <c r="M358" s="183" t="s">
        <v>1784</v>
      </c>
      <c r="N358" s="183" t="s">
        <v>1784</v>
      </c>
      <c r="O358" s="641"/>
    </row>
    <row r="359" spans="1:15" s="182" customFormat="1" ht="21.75" customHeight="1" x14ac:dyDescent="0.15">
      <c r="A359" s="151" t="s">
        <v>5185</v>
      </c>
      <c r="B359" s="226" t="s">
        <v>5191</v>
      </c>
      <c r="C359" s="241" t="s">
        <v>3351</v>
      </c>
      <c r="D359" s="241" t="s">
        <v>3352</v>
      </c>
      <c r="E359" s="241" t="s">
        <v>3757</v>
      </c>
      <c r="F359" s="241" t="s">
        <v>3328</v>
      </c>
      <c r="G359" s="242" t="s">
        <v>3349</v>
      </c>
      <c r="H359" s="638">
        <v>21055</v>
      </c>
      <c r="I359" s="194">
        <v>0</v>
      </c>
      <c r="J359" s="194">
        <v>40000</v>
      </c>
      <c r="K359" s="185">
        <v>0.5</v>
      </c>
      <c r="L359" s="183" t="s">
        <v>285</v>
      </c>
      <c r="M359" s="183" t="s">
        <v>158</v>
      </c>
      <c r="N359" s="183" t="s">
        <v>1784</v>
      </c>
      <c r="O359" s="641"/>
    </row>
    <row r="360" spans="1:15" s="182" customFormat="1" ht="21.75" customHeight="1" x14ac:dyDescent="0.15">
      <c r="A360" s="151" t="s">
        <v>5185</v>
      </c>
      <c r="B360" s="226" t="s">
        <v>5192</v>
      </c>
      <c r="C360" s="241" t="s">
        <v>3346</v>
      </c>
      <c r="D360" s="241" t="s">
        <v>3439</v>
      </c>
      <c r="E360" s="241" t="s">
        <v>3843</v>
      </c>
      <c r="F360" s="241" t="s">
        <v>3340</v>
      </c>
      <c r="G360" s="242" t="s">
        <v>3349</v>
      </c>
      <c r="H360" s="638">
        <v>20138</v>
      </c>
      <c r="I360" s="194">
        <v>0</v>
      </c>
      <c r="J360" s="194">
        <v>96000</v>
      </c>
      <c r="K360" s="185">
        <v>1</v>
      </c>
      <c r="L360" s="183" t="s">
        <v>285</v>
      </c>
      <c r="M360" s="183" t="s">
        <v>3433</v>
      </c>
      <c r="N360" s="183" t="s">
        <v>3433</v>
      </c>
      <c r="O360" s="641"/>
    </row>
    <row r="361" spans="1:15" s="182" customFormat="1" ht="21.75" customHeight="1" x14ac:dyDescent="0.15">
      <c r="A361" s="151" t="s">
        <v>5186</v>
      </c>
      <c r="B361" s="226" t="s">
        <v>5193</v>
      </c>
      <c r="C361" s="241" t="s">
        <v>3371</v>
      </c>
      <c r="D361" s="241" t="s">
        <v>3572</v>
      </c>
      <c r="E361" s="599" t="s">
        <v>2909</v>
      </c>
      <c r="F361" s="241" t="s">
        <v>3355</v>
      </c>
      <c r="G361" s="242" t="s">
        <v>3580</v>
      </c>
      <c r="H361" s="638">
        <v>18023</v>
      </c>
      <c r="I361" s="194">
        <v>0</v>
      </c>
      <c r="J361" s="194">
        <v>13200</v>
      </c>
      <c r="K361" s="185">
        <v>0.1</v>
      </c>
      <c r="L361" s="183" t="s">
        <v>1143</v>
      </c>
      <c r="M361" s="183" t="s">
        <v>3433</v>
      </c>
      <c r="N361" s="183" t="s">
        <v>3433</v>
      </c>
      <c r="O361" s="641"/>
    </row>
    <row r="362" spans="1:15" s="182" customFormat="1" ht="21.75" customHeight="1" x14ac:dyDescent="0.15">
      <c r="A362" s="151" t="s">
        <v>5200</v>
      </c>
      <c r="B362" s="226" t="s">
        <v>5201</v>
      </c>
      <c r="C362" s="643" t="s">
        <v>5213</v>
      </c>
      <c r="D362" s="643" t="s">
        <v>5214</v>
      </c>
      <c r="E362" s="643" t="s">
        <v>5215</v>
      </c>
      <c r="F362" s="184" t="s">
        <v>3340</v>
      </c>
      <c r="G362" s="235" t="s">
        <v>3386</v>
      </c>
      <c r="H362" s="638">
        <v>21186</v>
      </c>
      <c r="I362" s="194">
        <v>0</v>
      </c>
      <c r="J362" s="194">
        <v>30000</v>
      </c>
      <c r="K362" s="185">
        <v>1</v>
      </c>
      <c r="L362" s="183" t="s">
        <v>5216</v>
      </c>
      <c r="M362" s="183" t="s">
        <v>5217</v>
      </c>
      <c r="N362" s="183" t="s">
        <v>5217</v>
      </c>
      <c r="O362" s="642"/>
    </row>
    <row r="363" spans="1:15" s="182" customFormat="1" ht="21.75" customHeight="1" x14ac:dyDescent="0.15">
      <c r="A363" s="151" t="s">
        <v>5200</v>
      </c>
      <c r="B363" s="226" t="s">
        <v>5201</v>
      </c>
      <c r="C363" s="241" t="s">
        <v>3337</v>
      </c>
      <c r="D363" s="241" t="s">
        <v>3338</v>
      </c>
      <c r="E363" s="241" t="s">
        <v>3339</v>
      </c>
      <c r="F363" s="241" t="s">
        <v>3340</v>
      </c>
      <c r="G363" s="242" t="s">
        <v>3349</v>
      </c>
      <c r="H363" s="638">
        <v>21064</v>
      </c>
      <c r="I363" s="194">
        <v>0</v>
      </c>
      <c r="J363" s="194">
        <v>37500</v>
      </c>
      <c r="K363" s="185">
        <v>0.5</v>
      </c>
      <c r="L363" s="183" t="s">
        <v>5205</v>
      </c>
      <c r="M363" s="183" t="s">
        <v>5206</v>
      </c>
      <c r="N363" s="183" t="s">
        <v>5207</v>
      </c>
      <c r="O363" s="642"/>
    </row>
    <row r="364" spans="1:15" s="182" customFormat="1" ht="21.75" customHeight="1" x14ac:dyDescent="0.15">
      <c r="A364" s="151" t="s">
        <v>5200</v>
      </c>
      <c r="B364" s="226" t="s">
        <v>5202</v>
      </c>
      <c r="C364" s="241" t="s">
        <v>3363</v>
      </c>
      <c r="D364" s="241" t="s">
        <v>3463</v>
      </c>
      <c r="E364" s="241" t="s">
        <v>3954</v>
      </c>
      <c r="F364" s="292" t="s">
        <v>3328</v>
      </c>
      <c r="G364" s="242" t="s">
        <v>3829</v>
      </c>
      <c r="H364" s="638">
        <v>19076</v>
      </c>
      <c r="I364" s="194">
        <v>0</v>
      </c>
      <c r="J364" s="194">
        <v>120000</v>
      </c>
      <c r="K364" s="185" t="s">
        <v>5208</v>
      </c>
      <c r="L364" s="183" t="s">
        <v>5209</v>
      </c>
      <c r="M364" s="183" t="s">
        <v>5210</v>
      </c>
      <c r="N364" s="183" t="s">
        <v>5211</v>
      </c>
      <c r="O364" s="642"/>
    </row>
    <row r="365" spans="1:15" s="182" customFormat="1" ht="21.75" customHeight="1" x14ac:dyDescent="0.15">
      <c r="A365" s="151" t="s">
        <v>5204</v>
      </c>
      <c r="B365" s="226" t="s">
        <v>5203</v>
      </c>
      <c r="C365" s="275" t="s">
        <v>3664</v>
      </c>
      <c r="D365" s="241" t="s">
        <v>4115</v>
      </c>
      <c r="E365" s="275" t="s">
        <v>4299</v>
      </c>
      <c r="F365" s="599" t="s">
        <v>3328</v>
      </c>
      <c r="G365" s="242" t="s">
        <v>3378</v>
      </c>
      <c r="H365" s="638">
        <v>17147</v>
      </c>
      <c r="I365" s="194">
        <v>0</v>
      </c>
      <c r="J365" s="194">
        <v>113000</v>
      </c>
      <c r="K365" s="185">
        <v>0.3</v>
      </c>
      <c r="L365" s="183" t="s">
        <v>5212</v>
      </c>
      <c r="M365" s="183" t="s">
        <v>4708</v>
      </c>
      <c r="N365" s="183" t="s">
        <v>4708</v>
      </c>
      <c r="O365" s="642"/>
    </row>
    <row r="366" spans="1:15" s="182" customFormat="1" ht="21.75" customHeight="1" x14ac:dyDescent="0.15">
      <c r="A366" s="151"/>
      <c r="B366" s="20"/>
      <c r="C366" s="224"/>
      <c r="D366" s="224"/>
      <c r="E366" s="224"/>
      <c r="F366" s="403"/>
      <c r="G366" s="235"/>
      <c r="H366" s="541"/>
      <c r="I366" s="194"/>
      <c r="J366" s="194"/>
      <c r="K366" s="185"/>
      <c r="L366" s="183"/>
      <c r="M366" s="183"/>
      <c r="N366" s="183"/>
      <c r="O366" s="541"/>
    </row>
    <row r="367" spans="1:15" s="182" customFormat="1" ht="21.75" customHeight="1" x14ac:dyDescent="0.15">
      <c r="A367" s="151"/>
      <c r="B367" s="20"/>
      <c r="C367" s="184"/>
      <c r="D367" s="184"/>
      <c r="E367" s="184"/>
      <c r="F367" s="184"/>
      <c r="G367" s="235"/>
      <c r="H367" s="541"/>
      <c r="I367" s="194"/>
      <c r="J367" s="194"/>
      <c r="K367" s="185"/>
      <c r="L367" s="183"/>
      <c r="M367" s="183"/>
      <c r="N367" s="183"/>
      <c r="O367" s="541"/>
    </row>
    <row r="368" spans="1:15" s="182" customFormat="1" ht="21.75" customHeight="1" x14ac:dyDescent="0.15">
      <c r="A368" s="151"/>
      <c r="B368" s="20"/>
      <c r="C368" s="184"/>
      <c r="D368" s="184"/>
      <c r="E368" s="184"/>
      <c r="F368" s="224"/>
      <c r="G368" s="235"/>
      <c r="H368" s="541"/>
      <c r="I368" s="194"/>
      <c r="J368" s="194"/>
      <c r="K368" s="185"/>
      <c r="L368" s="183"/>
      <c r="M368" s="183"/>
      <c r="N368" s="183"/>
      <c r="O368" s="541"/>
    </row>
    <row r="369" spans="1:15" s="182" customFormat="1" ht="21.75" customHeight="1" x14ac:dyDescent="0.15">
      <c r="A369" s="151"/>
      <c r="B369" s="20"/>
      <c r="C369" s="224"/>
      <c r="D369" s="224"/>
      <c r="E369" s="394"/>
      <c r="F369" s="224"/>
      <c r="G369" s="239"/>
      <c r="H369" s="541"/>
      <c r="I369" s="194"/>
      <c r="J369" s="194"/>
      <c r="K369" s="185"/>
      <c r="L369" s="183"/>
      <c r="M369" s="183"/>
      <c r="N369" s="183"/>
      <c r="O369" s="541"/>
    </row>
    <row r="370" spans="1:15" s="182" customFormat="1" ht="21.75" customHeight="1" x14ac:dyDescent="0.15">
      <c r="A370" s="151"/>
      <c r="B370" s="20"/>
      <c r="C370" s="224"/>
      <c r="D370" s="224"/>
      <c r="E370" s="30"/>
      <c r="F370" s="184"/>
      <c r="G370" s="235"/>
      <c r="H370" s="541"/>
      <c r="I370" s="194"/>
      <c r="J370" s="194"/>
      <c r="K370" s="185"/>
      <c r="L370" s="183"/>
      <c r="M370" s="183"/>
      <c r="N370" s="183"/>
      <c r="O370" s="541"/>
    </row>
    <row r="371" spans="1:15" s="182" customFormat="1" ht="21.75" customHeight="1" x14ac:dyDescent="0.15">
      <c r="A371" s="151"/>
      <c r="B371" s="20"/>
      <c r="C371" s="224"/>
      <c r="D371" s="224"/>
      <c r="E371" s="30"/>
      <c r="F371" s="184"/>
      <c r="G371" s="235"/>
      <c r="H371" s="541"/>
      <c r="I371" s="194"/>
      <c r="J371" s="194"/>
      <c r="K371" s="185"/>
      <c r="L371" s="183"/>
      <c r="M371" s="183"/>
      <c r="N371" s="183"/>
      <c r="O371" s="541"/>
    </row>
    <row r="372" spans="1:15" s="182" customFormat="1" ht="21.75" customHeight="1" x14ac:dyDescent="0.15">
      <c r="A372" s="151"/>
      <c r="B372" s="20"/>
      <c r="C372" s="20"/>
      <c r="D372" s="20"/>
      <c r="E372" s="30"/>
      <c r="F372" s="30"/>
      <c r="G372" s="30"/>
      <c r="H372" s="541"/>
      <c r="I372" s="194"/>
      <c r="J372" s="194"/>
      <c r="K372" s="185"/>
      <c r="L372" s="183"/>
      <c r="M372" s="183"/>
      <c r="N372" s="183"/>
      <c r="O372" s="541"/>
    </row>
    <row r="373" spans="1:15" s="182" customFormat="1" ht="21.75" customHeight="1" x14ac:dyDescent="0.15">
      <c r="A373" s="1165" t="s">
        <v>4455</v>
      </c>
      <c r="B373" s="1166"/>
      <c r="C373" s="1166"/>
      <c r="D373" s="1166"/>
      <c r="E373" s="1166"/>
      <c r="F373" s="1166"/>
      <c r="G373" s="1166"/>
      <c r="H373" s="1167"/>
      <c r="I373" s="230">
        <f>SUM(I3:I372)</f>
        <v>3177250</v>
      </c>
      <c r="J373" s="230">
        <f>SUM(J3:J372)</f>
        <v>23237315.350000001</v>
      </c>
      <c r="K373" s="231"/>
      <c r="L373" s="232"/>
      <c r="M373" s="232"/>
      <c r="N373" s="232"/>
      <c r="O373" s="233"/>
    </row>
  </sheetData>
  <autoFilter ref="A2:O371" xr:uid="{942BD51C-DD4D-41F8-8B6A-3CAFDCE8D5C7}"/>
  <mergeCells count="2">
    <mergeCell ref="A1:O1"/>
    <mergeCell ref="A373:H373"/>
  </mergeCells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94774-56C2-415B-BC85-B49A3F896835}">
  <dimension ref="A1:O321"/>
  <sheetViews>
    <sheetView topLeftCell="A297" zoomScaleNormal="100" workbookViewId="0">
      <selection activeCell="C207" sqref="C207:G207"/>
    </sheetView>
  </sheetViews>
  <sheetFormatPr defaultRowHeight="13.5" x14ac:dyDescent="0.15"/>
  <cols>
    <col min="1" max="1" width="10.75" customWidth="1"/>
    <col min="2" max="2" width="24.625" customWidth="1"/>
    <col min="3" max="4" width="10.625" customWidth="1"/>
    <col min="5" max="5" width="17.5" customWidth="1"/>
    <col min="6" max="6" width="15" customWidth="1"/>
    <col min="7" max="7" width="24.875" customWidth="1"/>
    <col min="8" max="11" width="15.375" customWidth="1"/>
    <col min="12" max="12" width="18.625" customWidth="1"/>
    <col min="13" max="14" width="15.375" customWidth="1"/>
    <col min="15" max="15" width="45.625" customWidth="1"/>
  </cols>
  <sheetData>
    <row r="1" spans="1:15" s="176" customFormat="1" ht="40.5" customHeight="1" x14ac:dyDescent="0.15">
      <c r="A1" s="1164" t="s">
        <v>4010</v>
      </c>
      <c r="B1" s="1164"/>
      <c r="C1" s="1164"/>
      <c r="D1" s="1164"/>
      <c r="E1" s="1164"/>
      <c r="F1" s="1164"/>
      <c r="G1" s="1164"/>
      <c r="H1" s="1164"/>
      <c r="I1" s="1164"/>
      <c r="J1" s="1164"/>
      <c r="K1" s="1164"/>
      <c r="L1" s="1164"/>
      <c r="M1" s="1164"/>
      <c r="N1" s="1164"/>
      <c r="O1" s="1164"/>
    </row>
    <row r="2" spans="1:15" s="176" customFormat="1" ht="21.75" customHeight="1" x14ac:dyDescent="0.15">
      <c r="A2" s="16" t="s">
        <v>1755</v>
      </c>
      <c r="B2" s="16" t="s">
        <v>128</v>
      </c>
      <c r="C2" s="245" t="s">
        <v>3322</v>
      </c>
      <c r="D2" s="245" t="s">
        <v>3321</v>
      </c>
      <c r="E2" s="245" t="s">
        <v>1756</v>
      </c>
      <c r="F2" s="245" t="s">
        <v>3323</v>
      </c>
      <c r="G2" s="245" t="s">
        <v>3324</v>
      </c>
      <c r="H2" s="16" t="s">
        <v>130</v>
      </c>
      <c r="I2" s="193" t="s">
        <v>1757</v>
      </c>
      <c r="J2" s="193" t="s">
        <v>1758</v>
      </c>
      <c r="K2" s="16" t="s">
        <v>1759</v>
      </c>
      <c r="L2" s="16" t="s">
        <v>1760</v>
      </c>
      <c r="M2" s="16" t="s">
        <v>3243</v>
      </c>
      <c r="N2" s="16" t="s">
        <v>3244</v>
      </c>
      <c r="O2" s="16" t="s">
        <v>509</v>
      </c>
    </row>
    <row r="3" spans="1:15" s="176" customFormat="1" ht="21.75" customHeight="1" x14ac:dyDescent="0.15">
      <c r="A3" s="151" t="s">
        <v>4011</v>
      </c>
      <c r="B3" s="11" t="s">
        <v>248</v>
      </c>
      <c r="C3" s="438" t="s">
        <v>4003</v>
      </c>
      <c r="D3" s="438" t="s">
        <v>4004</v>
      </c>
      <c r="E3" s="438" t="s">
        <v>4005</v>
      </c>
      <c r="F3" s="438" t="s">
        <v>4006</v>
      </c>
      <c r="G3" s="439" t="s">
        <v>4007</v>
      </c>
      <c r="H3" s="440">
        <v>19140</v>
      </c>
      <c r="I3" s="194">
        <v>43182.34</v>
      </c>
      <c r="J3" s="194">
        <v>0</v>
      </c>
      <c r="K3" s="159" t="s">
        <v>4012</v>
      </c>
      <c r="L3" s="159" t="s">
        <v>285</v>
      </c>
      <c r="M3" s="440" t="s">
        <v>2660</v>
      </c>
      <c r="N3" s="440" t="s">
        <v>2660</v>
      </c>
      <c r="O3" s="440" t="s">
        <v>4013</v>
      </c>
    </row>
    <row r="4" spans="1:15" s="176" customFormat="1" ht="21.75" customHeight="1" x14ac:dyDescent="0.15">
      <c r="A4" s="151" t="s">
        <v>4014</v>
      </c>
      <c r="B4" s="20" t="s">
        <v>4015</v>
      </c>
      <c r="C4" s="441" t="s">
        <v>3371</v>
      </c>
      <c r="D4" s="399" t="s">
        <v>3572</v>
      </c>
      <c r="E4" s="441" t="s">
        <v>4016</v>
      </c>
      <c r="F4" s="442" t="s">
        <v>3355</v>
      </c>
      <c r="G4" s="235" t="s">
        <v>4017</v>
      </c>
      <c r="H4" s="440">
        <v>17135</v>
      </c>
      <c r="I4" s="194">
        <v>0</v>
      </c>
      <c r="J4" s="194">
        <v>270000</v>
      </c>
      <c r="K4" s="159">
        <v>1</v>
      </c>
      <c r="L4" s="159" t="s">
        <v>1948</v>
      </c>
      <c r="M4" s="440" t="s">
        <v>155</v>
      </c>
      <c r="N4" s="440" t="s">
        <v>1880</v>
      </c>
      <c r="O4" s="440"/>
    </row>
    <row r="5" spans="1:15" s="176" customFormat="1" ht="21.75" customHeight="1" x14ac:dyDescent="0.15">
      <c r="A5" s="151" t="s">
        <v>4022</v>
      </c>
      <c r="B5" s="20" t="s">
        <v>4018</v>
      </c>
      <c r="C5" s="184" t="s">
        <v>3346</v>
      </c>
      <c r="D5" s="184" t="s">
        <v>3481</v>
      </c>
      <c r="E5" s="184" t="s">
        <v>4019</v>
      </c>
      <c r="F5" s="184" t="s">
        <v>3355</v>
      </c>
      <c r="G5" s="235" t="s">
        <v>4017</v>
      </c>
      <c r="H5" s="152">
        <v>19046</v>
      </c>
      <c r="I5" s="194">
        <v>0</v>
      </c>
      <c r="J5" s="195">
        <v>97500</v>
      </c>
      <c r="K5" s="159">
        <v>1</v>
      </c>
      <c r="L5" s="159" t="s">
        <v>1948</v>
      </c>
      <c r="M5" s="440" t="s">
        <v>1880</v>
      </c>
      <c r="N5" s="440" t="s">
        <v>1880</v>
      </c>
      <c r="O5" s="152"/>
    </row>
    <row r="6" spans="1:15" s="176" customFormat="1" ht="21.75" customHeight="1" x14ac:dyDescent="0.15">
      <c r="A6" s="151" t="s">
        <v>4020</v>
      </c>
      <c r="B6" s="11" t="s">
        <v>4021</v>
      </c>
      <c r="C6" s="399" t="s">
        <v>3346</v>
      </c>
      <c r="D6" s="399" t="s">
        <v>3712</v>
      </c>
      <c r="E6" s="399" t="s">
        <v>3713</v>
      </c>
      <c r="F6" s="184" t="s">
        <v>3328</v>
      </c>
      <c r="G6" s="235" t="s">
        <v>3336</v>
      </c>
      <c r="H6" s="152">
        <v>19022</v>
      </c>
      <c r="I6" s="194">
        <v>0</v>
      </c>
      <c r="J6" s="195">
        <v>3000</v>
      </c>
      <c r="K6" s="154">
        <v>1</v>
      </c>
      <c r="L6" s="154" t="s">
        <v>1948</v>
      </c>
      <c r="M6" s="443" t="s">
        <v>1880</v>
      </c>
      <c r="N6" s="443" t="s">
        <v>1880</v>
      </c>
      <c r="O6" s="152"/>
    </row>
    <row r="7" spans="1:15" s="176" customFormat="1" ht="21.75" customHeight="1" x14ac:dyDescent="0.15">
      <c r="A7" s="151" t="s">
        <v>4023</v>
      </c>
      <c r="B7" s="11" t="s">
        <v>4024</v>
      </c>
      <c r="C7" s="399" t="s">
        <v>3346</v>
      </c>
      <c r="D7" s="391" t="s">
        <v>3354</v>
      </c>
      <c r="E7" s="405" t="s">
        <v>925</v>
      </c>
      <c r="F7" s="419" t="s">
        <v>3355</v>
      </c>
      <c r="G7" s="235" t="s">
        <v>3775</v>
      </c>
      <c r="H7" s="152">
        <v>19072</v>
      </c>
      <c r="I7" s="194">
        <v>0</v>
      </c>
      <c r="J7" s="195">
        <v>145025.1</v>
      </c>
      <c r="K7" s="154">
        <v>0.9</v>
      </c>
      <c r="L7" s="154" t="s">
        <v>1147</v>
      </c>
      <c r="M7" s="440" t="s">
        <v>162</v>
      </c>
      <c r="N7" s="440" t="s">
        <v>1784</v>
      </c>
      <c r="O7" s="152"/>
    </row>
    <row r="8" spans="1:15" s="176" customFormat="1" ht="21.75" customHeight="1" x14ac:dyDescent="0.15">
      <c r="A8" s="151" t="s">
        <v>4023</v>
      </c>
      <c r="B8" s="11" t="s">
        <v>3711</v>
      </c>
      <c r="C8" s="399" t="s">
        <v>3346</v>
      </c>
      <c r="D8" s="399" t="s">
        <v>3712</v>
      </c>
      <c r="E8" s="399" t="s">
        <v>3713</v>
      </c>
      <c r="F8" s="184" t="s">
        <v>3328</v>
      </c>
      <c r="G8" s="235" t="s">
        <v>3349</v>
      </c>
      <c r="H8" s="152">
        <v>19023</v>
      </c>
      <c r="I8" s="194">
        <v>0</v>
      </c>
      <c r="J8" s="195">
        <v>90000</v>
      </c>
      <c r="K8" s="154">
        <v>1</v>
      </c>
      <c r="L8" s="154" t="s">
        <v>285</v>
      </c>
      <c r="M8" s="444" t="s">
        <v>1880</v>
      </c>
      <c r="N8" s="444" t="s">
        <v>1880</v>
      </c>
      <c r="O8" s="152"/>
    </row>
    <row r="9" spans="1:15" s="176" customFormat="1" ht="21.75" customHeight="1" x14ac:dyDescent="0.15">
      <c r="A9" s="151" t="s">
        <v>4025</v>
      </c>
      <c r="B9" s="11" t="s">
        <v>3267</v>
      </c>
      <c r="C9" s="224" t="s">
        <v>3364</v>
      </c>
      <c r="D9" s="224" t="s">
        <v>3326</v>
      </c>
      <c r="E9" s="394" t="s">
        <v>3268</v>
      </c>
      <c r="F9" s="224" t="s">
        <v>3328</v>
      </c>
      <c r="G9" s="239" t="s">
        <v>3349</v>
      </c>
      <c r="H9" s="413">
        <v>18174</v>
      </c>
      <c r="I9" s="194">
        <v>0</v>
      </c>
      <c r="J9" s="195">
        <v>100000</v>
      </c>
      <c r="K9" s="154">
        <v>0.4</v>
      </c>
      <c r="L9" s="154" t="s">
        <v>1143</v>
      </c>
      <c r="M9" s="154" t="s">
        <v>190</v>
      </c>
      <c r="N9" s="152" t="s">
        <v>190</v>
      </c>
      <c r="O9" s="152"/>
    </row>
    <row r="10" spans="1:15" s="176" customFormat="1" ht="21.75" customHeight="1" x14ac:dyDescent="0.15">
      <c r="A10" s="151" t="s">
        <v>4025</v>
      </c>
      <c r="B10" s="11" t="s">
        <v>3257</v>
      </c>
      <c r="C10" s="224" t="s">
        <v>3364</v>
      </c>
      <c r="D10" s="224" t="s">
        <v>3326</v>
      </c>
      <c r="E10" s="394" t="s">
        <v>3269</v>
      </c>
      <c r="F10" s="224" t="s">
        <v>3328</v>
      </c>
      <c r="G10" s="239" t="s">
        <v>3349</v>
      </c>
      <c r="H10" s="413">
        <v>18175</v>
      </c>
      <c r="I10" s="194">
        <v>0</v>
      </c>
      <c r="J10" s="195">
        <v>100000</v>
      </c>
      <c r="K10" s="154">
        <v>0.4</v>
      </c>
      <c r="L10" s="154" t="s">
        <v>1143</v>
      </c>
      <c r="M10" s="154" t="s">
        <v>190</v>
      </c>
      <c r="N10" s="152" t="s">
        <v>190</v>
      </c>
      <c r="O10" s="152"/>
    </row>
    <row r="11" spans="1:15" s="176" customFormat="1" ht="21.75" customHeight="1" x14ac:dyDescent="0.15">
      <c r="A11" s="151" t="s">
        <v>4026</v>
      </c>
      <c r="B11" s="11" t="s">
        <v>4024</v>
      </c>
      <c r="C11" s="184" t="s">
        <v>3346</v>
      </c>
      <c r="D11" s="184" t="s">
        <v>3354</v>
      </c>
      <c r="E11" s="184" t="s">
        <v>846</v>
      </c>
      <c r="F11" s="419" t="s">
        <v>3355</v>
      </c>
      <c r="G11" s="235" t="s">
        <v>3775</v>
      </c>
      <c r="H11" s="152">
        <v>19074</v>
      </c>
      <c r="I11" s="194">
        <v>0</v>
      </c>
      <c r="J11" s="195">
        <v>145025.1</v>
      </c>
      <c r="K11" s="154">
        <v>0.9</v>
      </c>
      <c r="L11" s="154" t="s">
        <v>1147</v>
      </c>
      <c r="M11" s="445" t="s">
        <v>162</v>
      </c>
      <c r="N11" s="445" t="s">
        <v>1784</v>
      </c>
      <c r="O11" s="152"/>
    </row>
    <row r="12" spans="1:15" s="176" customFormat="1" ht="21.75" customHeight="1" x14ac:dyDescent="0.15">
      <c r="A12" s="151" t="s">
        <v>4027</v>
      </c>
      <c r="B12" s="11" t="s">
        <v>624</v>
      </c>
      <c r="C12" s="224" t="s">
        <v>3346</v>
      </c>
      <c r="D12" s="224" t="s">
        <v>3463</v>
      </c>
      <c r="E12" s="224" t="s">
        <v>3806</v>
      </c>
      <c r="F12" s="224" t="s">
        <v>3328</v>
      </c>
      <c r="G12" s="239" t="s">
        <v>3336</v>
      </c>
      <c r="H12" s="152">
        <v>19141</v>
      </c>
      <c r="I12" s="194">
        <v>0</v>
      </c>
      <c r="J12" s="195">
        <v>4900</v>
      </c>
      <c r="K12" s="154" t="s">
        <v>4059</v>
      </c>
      <c r="L12" s="154" t="s">
        <v>1948</v>
      </c>
      <c r="M12" s="456" t="s">
        <v>162</v>
      </c>
      <c r="N12" s="456" t="s">
        <v>1784</v>
      </c>
      <c r="O12" s="152"/>
    </row>
    <row r="13" spans="1:15" s="176" customFormat="1" ht="21.75" customHeight="1" x14ac:dyDescent="0.15">
      <c r="A13" s="151" t="s">
        <v>4027</v>
      </c>
      <c r="B13" s="11" t="s">
        <v>342</v>
      </c>
      <c r="C13" s="224" t="s">
        <v>3346</v>
      </c>
      <c r="D13" s="224" t="s">
        <v>3463</v>
      </c>
      <c r="E13" s="180" t="s">
        <v>3799</v>
      </c>
      <c r="F13" s="184" t="s">
        <v>3328</v>
      </c>
      <c r="G13" s="235" t="s">
        <v>3336</v>
      </c>
      <c r="H13" s="152">
        <v>20002</v>
      </c>
      <c r="I13" s="194">
        <v>0</v>
      </c>
      <c r="J13" s="195">
        <v>4900</v>
      </c>
      <c r="K13" s="154">
        <v>1</v>
      </c>
      <c r="L13" s="154" t="s">
        <v>4029</v>
      </c>
      <c r="M13" s="154" t="s">
        <v>162</v>
      </c>
      <c r="N13" s="152" t="s">
        <v>4030</v>
      </c>
      <c r="O13" s="152"/>
    </row>
    <row r="14" spans="1:15" s="182" customFormat="1" ht="21.75" customHeight="1" x14ac:dyDescent="0.15">
      <c r="A14" s="151" t="s">
        <v>4027</v>
      </c>
      <c r="B14" s="11" t="s">
        <v>269</v>
      </c>
      <c r="C14" s="399" t="s">
        <v>3346</v>
      </c>
      <c r="D14" s="399" t="s">
        <v>3347</v>
      </c>
      <c r="E14" s="405" t="s">
        <v>3542</v>
      </c>
      <c r="F14" s="184" t="s">
        <v>3328</v>
      </c>
      <c r="G14" s="235" t="s">
        <v>3349</v>
      </c>
      <c r="H14" s="440">
        <v>19004</v>
      </c>
      <c r="I14" s="194">
        <v>0</v>
      </c>
      <c r="J14" s="194">
        <v>40000</v>
      </c>
      <c r="K14" s="185">
        <v>0.25</v>
      </c>
      <c r="L14" s="183" t="s">
        <v>4031</v>
      </c>
      <c r="M14" s="154" t="s">
        <v>162</v>
      </c>
      <c r="N14" s="152" t="s">
        <v>4030</v>
      </c>
      <c r="O14" s="440"/>
    </row>
    <row r="15" spans="1:15" s="182" customFormat="1" ht="21.75" customHeight="1" x14ac:dyDescent="0.15">
      <c r="A15" s="151" t="s">
        <v>4027</v>
      </c>
      <c r="B15" s="11" t="s">
        <v>358</v>
      </c>
      <c r="C15" s="399" t="s">
        <v>3346</v>
      </c>
      <c r="D15" s="399" t="s">
        <v>3347</v>
      </c>
      <c r="E15" s="399" t="s">
        <v>3348</v>
      </c>
      <c r="F15" s="184" t="s">
        <v>3328</v>
      </c>
      <c r="G15" s="235" t="s">
        <v>3349</v>
      </c>
      <c r="H15" s="440" t="s">
        <v>4032</v>
      </c>
      <c r="I15" s="194">
        <v>0</v>
      </c>
      <c r="J15" s="194">
        <v>40000</v>
      </c>
      <c r="K15" s="185">
        <v>0.25</v>
      </c>
      <c r="L15" s="183" t="s">
        <v>4031</v>
      </c>
      <c r="M15" s="154" t="s">
        <v>162</v>
      </c>
      <c r="N15" s="152" t="s">
        <v>4030</v>
      </c>
      <c r="O15" s="440"/>
    </row>
    <row r="16" spans="1:15" s="182" customFormat="1" ht="21.75" customHeight="1" x14ac:dyDescent="0.15">
      <c r="A16" s="151" t="s">
        <v>4027</v>
      </c>
      <c r="B16" s="11" t="s">
        <v>358</v>
      </c>
      <c r="C16" s="399" t="s">
        <v>3346</v>
      </c>
      <c r="D16" s="399" t="s">
        <v>3347</v>
      </c>
      <c r="E16" s="399" t="s">
        <v>3350</v>
      </c>
      <c r="F16" s="184" t="s">
        <v>3328</v>
      </c>
      <c r="G16" s="235" t="s">
        <v>3349</v>
      </c>
      <c r="H16" s="446" t="s">
        <v>4033</v>
      </c>
      <c r="I16" s="194">
        <v>0</v>
      </c>
      <c r="J16" s="194">
        <v>40000</v>
      </c>
      <c r="K16" s="185">
        <v>0.25</v>
      </c>
      <c r="L16" s="183" t="s">
        <v>4031</v>
      </c>
      <c r="M16" s="154" t="s">
        <v>162</v>
      </c>
      <c r="N16" s="152" t="s">
        <v>4030</v>
      </c>
      <c r="O16" s="446"/>
    </row>
    <row r="17" spans="1:15" s="182" customFormat="1" ht="21.75" customHeight="1" x14ac:dyDescent="0.15">
      <c r="A17" s="151" t="s">
        <v>4028</v>
      </c>
      <c r="B17" s="11" t="s">
        <v>192</v>
      </c>
      <c r="C17" s="224" t="s">
        <v>3325</v>
      </c>
      <c r="D17" s="224" t="s">
        <v>3352</v>
      </c>
      <c r="E17" s="394" t="s">
        <v>3630</v>
      </c>
      <c r="F17" s="224" t="s">
        <v>3328</v>
      </c>
      <c r="G17" s="239" t="s">
        <v>3353</v>
      </c>
      <c r="H17" s="440">
        <v>18170</v>
      </c>
      <c r="I17" s="194">
        <v>0</v>
      </c>
      <c r="J17" s="194">
        <v>126367.2</v>
      </c>
      <c r="K17" s="185">
        <v>0.9</v>
      </c>
      <c r="L17" s="183" t="s">
        <v>4034</v>
      </c>
      <c r="M17" s="154" t="s">
        <v>4035</v>
      </c>
      <c r="N17" s="152" t="s">
        <v>4035</v>
      </c>
      <c r="O17" s="440"/>
    </row>
    <row r="18" spans="1:15" s="182" customFormat="1" ht="21.75" customHeight="1" x14ac:dyDescent="0.15">
      <c r="A18" s="151" t="s">
        <v>4036</v>
      </c>
      <c r="B18" s="11" t="s">
        <v>2976</v>
      </c>
      <c r="C18" s="224" t="s">
        <v>3368</v>
      </c>
      <c r="D18" s="224" t="s">
        <v>3369</v>
      </c>
      <c r="E18" s="224" t="s">
        <v>4046</v>
      </c>
      <c r="F18" s="224" t="s">
        <v>3355</v>
      </c>
      <c r="G18" s="243" t="s">
        <v>3467</v>
      </c>
      <c r="H18" s="440">
        <v>18159</v>
      </c>
      <c r="I18" s="194">
        <v>0</v>
      </c>
      <c r="J18" s="194">
        <v>8680</v>
      </c>
      <c r="K18" s="185">
        <v>0.1</v>
      </c>
      <c r="L18" s="183" t="s">
        <v>4047</v>
      </c>
      <c r="M18" s="154" t="s">
        <v>4048</v>
      </c>
      <c r="N18" s="152" t="s">
        <v>4048</v>
      </c>
      <c r="O18" s="440"/>
    </row>
    <row r="19" spans="1:15" s="182" customFormat="1" ht="21.75" customHeight="1" x14ac:dyDescent="0.15">
      <c r="A19" s="151" t="s">
        <v>4037</v>
      </c>
      <c r="B19" s="11" t="s">
        <v>4042</v>
      </c>
      <c r="C19" s="184" t="s">
        <v>3363</v>
      </c>
      <c r="D19" s="184" t="s">
        <v>3354</v>
      </c>
      <c r="E19" s="184" t="s">
        <v>4049</v>
      </c>
      <c r="F19" s="224" t="s">
        <v>3328</v>
      </c>
      <c r="G19" s="235" t="s">
        <v>3529</v>
      </c>
      <c r="H19" s="440">
        <v>19178</v>
      </c>
      <c r="I19" s="194">
        <v>0</v>
      </c>
      <c r="J19" s="194">
        <v>34800</v>
      </c>
      <c r="K19" s="185">
        <v>0.3</v>
      </c>
      <c r="L19" s="183" t="s">
        <v>4050</v>
      </c>
      <c r="M19" s="154" t="s">
        <v>162</v>
      </c>
      <c r="N19" s="152" t="s">
        <v>4051</v>
      </c>
      <c r="O19" s="440"/>
    </row>
    <row r="20" spans="1:15" s="182" customFormat="1" ht="21.75" customHeight="1" x14ac:dyDescent="0.15">
      <c r="A20" s="151" t="s">
        <v>4038</v>
      </c>
      <c r="B20" s="11" t="s">
        <v>497</v>
      </c>
      <c r="C20" s="399" t="s">
        <v>3346</v>
      </c>
      <c r="D20" s="399" t="s">
        <v>4052</v>
      </c>
      <c r="E20" s="399" t="s">
        <v>4053</v>
      </c>
      <c r="F20" s="224" t="s">
        <v>3328</v>
      </c>
      <c r="G20" s="235" t="s">
        <v>4054</v>
      </c>
      <c r="H20" s="440">
        <v>19087</v>
      </c>
      <c r="I20" s="194">
        <v>0</v>
      </c>
      <c r="J20" s="194">
        <v>33300</v>
      </c>
      <c r="K20" s="185">
        <v>0.9</v>
      </c>
      <c r="L20" s="183" t="s">
        <v>4055</v>
      </c>
      <c r="M20" s="154" t="s">
        <v>4056</v>
      </c>
      <c r="N20" s="152" t="s">
        <v>4056</v>
      </c>
      <c r="O20" s="440"/>
    </row>
    <row r="21" spans="1:15" s="182" customFormat="1" ht="21.75" customHeight="1" x14ac:dyDescent="0.15">
      <c r="A21" s="151" t="s">
        <v>4038</v>
      </c>
      <c r="B21" s="11" t="s">
        <v>4043</v>
      </c>
      <c r="C21" s="224" t="s">
        <v>3363</v>
      </c>
      <c r="D21" s="224" t="s">
        <v>3354</v>
      </c>
      <c r="E21" s="224" t="s">
        <v>4057</v>
      </c>
      <c r="F21" s="224" t="s">
        <v>3328</v>
      </c>
      <c r="G21" s="235" t="s">
        <v>3518</v>
      </c>
      <c r="H21" s="440">
        <v>19184</v>
      </c>
      <c r="I21" s="194">
        <v>0</v>
      </c>
      <c r="J21" s="194">
        <v>115200</v>
      </c>
      <c r="K21" s="185">
        <v>0.9</v>
      </c>
      <c r="L21" s="183" t="s">
        <v>4058</v>
      </c>
      <c r="M21" s="154" t="s">
        <v>162</v>
      </c>
      <c r="N21" s="152" t="s">
        <v>2660</v>
      </c>
      <c r="O21" s="440"/>
    </row>
    <row r="22" spans="1:15" s="182" customFormat="1" ht="21.75" customHeight="1" x14ac:dyDescent="0.15">
      <c r="A22" s="151" t="s">
        <v>4039</v>
      </c>
      <c r="B22" s="11" t="s">
        <v>2946</v>
      </c>
      <c r="C22" s="224" t="s">
        <v>3346</v>
      </c>
      <c r="D22" s="224" t="s">
        <v>3463</v>
      </c>
      <c r="E22" s="394" t="s">
        <v>3792</v>
      </c>
      <c r="F22" s="224" t="s">
        <v>3328</v>
      </c>
      <c r="G22" s="239" t="s">
        <v>3336</v>
      </c>
      <c r="H22" s="440">
        <v>19163</v>
      </c>
      <c r="I22" s="194">
        <v>0</v>
      </c>
      <c r="J22" s="194">
        <v>4900</v>
      </c>
      <c r="K22" s="185" t="s">
        <v>4059</v>
      </c>
      <c r="L22" s="183" t="s">
        <v>4060</v>
      </c>
      <c r="M22" s="154" t="s">
        <v>162</v>
      </c>
      <c r="N22" s="152" t="s">
        <v>4061</v>
      </c>
      <c r="O22" s="440"/>
    </row>
    <row r="23" spans="1:15" s="182" customFormat="1" ht="21.75" customHeight="1" x14ac:dyDescent="0.15">
      <c r="A23" s="151" t="s">
        <v>4039</v>
      </c>
      <c r="B23" s="11" t="s">
        <v>4044</v>
      </c>
      <c r="C23" s="184" t="s">
        <v>3363</v>
      </c>
      <c r="D23" s="184" t="s">
        <v>3463</v>
      </c>
      <c r="E23" s="184" t="s">
        <v>4062</v>
      </c>
      <c r="F23" s="419" t="s">
        <v>3328</v>
      </c>
      <c r="G23" s="235" t="s">
        <v>3829</v>
      </c>
      <c r="H23" s="440">
        <v>19077</v>
      </c>
      <c r="I23" s="194">
        <v>0</v>
      </c>
      <c r="J23" s="194">
        <v>147723.39000000001</v>
      </c>
      <c r="K23" s="185" t="s">
        <v>4063</v>
      </c>
      <c r="L23" s="183" t="s">
        <v>4060</v>
      </c>
      <c r="M23" s="154" t="s">
        <v>162</v>
      </c>
      <c r="N23" s="152" t="s">
        <v>2660</v>
      </c>
      <c r="O23" s="440"/>
    </row>
    <row r="24" spans="1:15" s="182" customFormat="1" ht="21.75" customHeight="1" x14ac:dyDescent="0.15">
      <c r="A24" s="151" t="s">
        <v>4040</v>
      </c>
      <c r="B24" s="11" t="s">
        <v>4045</v>
      </c>
      <c r="C24" s="184" t="s">
        <v>3351</v>
      </c>
      <c r="D24" s="184" t="s">
        <v>3463</v>
      </c>
      <c r="E24" s="399" t="s">
        <v>4064</v>
      </c>
      <c r="F24" s="224" t="s">
        <v>3328</v>
      </c>
      <c r="G24" s="235" t="s">
        <v>4065</v>
      </c>
      <c r="H24" s="440">
        <v>19146</v>
      </c>
      <c r="I24" s="194">
        <v>0</v>
      </c>
      <c r="J24" s="194">
        <v>25000</v>
      </c>
      <c r="K24" s="185">
        <v>0.25</v>
      </c>
      <c r="L24" s="183" t="s">
        <v>4066</v>
      </c>
      <c r="M24" s="183" t="s">
        <v>4067</v>
      </c>
      <c r="N24" s="183" t="s">
        <v>4067</v>
      </c>
      <c r="O24" s="440"/>
    </row>
    <row r="25" spans="1:15" s="182" customFormat="1" ht="21.75" customHeight="1" x14ac:dyDescent="0.15">
      <c r="A25" s="151" t="s">
        <v>4041</v>
      </c>
      <c r="B25" s="11" t="s">
        <v>3164</v>
      </c>
      <c r="C25" s="224" t="s">
        <v>3351</v>
      </c>
      <c r="D25" s="224" t="s">
        <v>3352</v>
      </c>
      <c r="E25" s="180" t="s">
        <v>4068</v>
      </c>
      <c r="F25" s="224" t="s">
        <v>3340</v>
      </c>
      <c r="G25" s="239" t="s">
        <v>3349</v>
      </c>
      <c r="H25" s="440">
        <v>19175</v>
      </c>
      <c r="I25" s="194">
        <v>0</v>
      </c>
      <c r="J25" s="194">
        <v>56000</v>
      </c>
      <c r="K25" s="185">
        <v>0.7</v>
      </c>
      <c r="L25" s="183" t="s">
        <v>4066</v>
      </c>
      <c r="M25" s="183" t="s">
        <v>4067</v>
      </c>
      <c r="N25" s="183" t="s">
        <v>4067</v>
      </c>
      <c r="O25" s="440"/>
    </row>
    <row r="26" spans="1:15" s="182" customFormat="1" ht="21.75" customHeight="1" x14ac:dyDescent="0.15">
      <c r="A26" s="151" t="s">
        <v>4041</v>
      </c>
      <c r="B26" s="11" t="s">
        <v>2373</v>
      </c>
      <c r="C26" s="184" t="s">
        <v>3346</v>
      </c>
      <c r="D26" s="184" t="s">
        <v>3326</v>
      </c>
      <c r="E26" s="184" t="s">
        <v>873</v>
      </c>
      <c r="F26" s="184" t="s">
        <v>3328</v>
      </c>
      <c r="G26" s="235" t="s">
        <v>3336</v>
      </c>
      <c r="H26" s="440">
        <v>19070</v>
      </c>
      <c r="I26" s="194">
        <v>0</v>
      </c>
      <c r="J26" s="194">
        <v>27000</v>
      </c>
      <c r="K26" s="185">
        <v>1</v>
      </c>
      <c r="L26" s="183" t="s">
        <v>4069</v>
      </c>
      <c r="M26" s="183" t="s">
        <v>4070</v>
      </c>
      <c r="N26" s="183" t="s">
        <v>4070</v>
      </c>
      <c r="O26" s="440"/>
    </row>
    <row r="27" spans="1:15" s="182" customFormat="1" ht="21.75" customHeight="1" x14ac:dyDescent="0.15">
      <c r="A27" s="151" t="s">
        <v>4041</v>
      </c>
      <c r="B27" s="11" t="s">
        <v>3687</v>
      </c>
      <c r="C27" s="224" t="s">
        <v>3351</v>
      </c>
      <c r="D27" s="224" t="s">
        <v>3352</v>
      </c>
      <c r="E27" s="180" t="s">
        <v>3688</v>
      </c>
      <c r="F27" s="224" t="s">
        <v>3328</v>
      </c>
      <c r="G27" s="239" t="s">
        <v>3349</v>
      </c>
      <c r="H27" s="440">
        <v>19173</v>
      </c>
      <c r="I27" s="194">
        <v>0</v>
      </c>
      <c r="J27" s="194">
        <v>56000</v>
      </c>
      <c r="K27" s="185">
        <v>0.7</v>
      </c>
      <c r="L27" s="183" t="s">
        <v>4066</v>
      </c>
      <c r="M27" s="183" t="s">
        <v>4067</v>
      </c>
      <c r="N27" s="183" t="s">
        <v>4067</v>
      </c>
      <c r="O27" s="440"/>
    </row>
    <row r="28" spans="1:15" s="182" customFormat="1" ht="21.75" customHeight="1" x14ac:dyDescent="0.15">
      <c r="A28" s="151" t="s">
        <v>4071</v>
      </c>
      <c r="B28" s="20" t="s">
        <v>2361</v>
      </c>
      <c r="C28" s="448" t="s">
        <v>4074</v>
      </c>
      <c r="D28" s="448" t="s">
        <v>4075</v>
      </c>
      <c r="E28" s="448" t="s">
        <v>4076</v>
      </c>
      <c r="F28" s="449" t="s">
        <v>4077</v>
      </c>
      <c r="G28" s="450" t="s">
        <v>4078</v>
      </c>
      <c r="H28" s="440">
        <v>19036</v>
      </c>
      <c r="I28" s="194">
        <v>0</v>
      </c>
      <c r="J28" s="194">
        <v>50000</v>
      </c>
      <c r="K28" s="185">
        <v>0.5</v>
      </c>
      <c r="L28" s="183" t="s">
        <v>285</v>
      </c>
      <c r="M28" s="183" t="s">
        <v>1880</v>
      </c>
      <c r="N28" s="183" t="s">
        <v>1880</v>
      </c>
      <c r="O28" s="440"/>
    </row>
    <row r="29" spans="1:15" s="182" customFormat="1" ht="21.75" customHeight="1" x14ac:dyDescent="0.15">
      <c r="A29" s="151" t="s">
        <v>4071</v>
      </c>
      <c r="B29" s="20" t="s">
        <v>4072</v>
      </c>
      <c r="C29" s="448" t="s">
        <v>4074</v>
      </c>
      <c r="D29" s="448" t="s">
        <v>4075</v>
      </c>
      <c r="E29" s="448" t="s">
        <v>4076</v>
      </c>
      <c r="F29" s="449" t="s">
        <v>4077</v>
      </c>
      <c r="G29" s="450" t="s">
        <v>4078</v>
      </c>
      <c r="H29" s="447">
        <v>19036</v>
      </c>
      <c r="I29" s="194">
        <v>0</v>
      </c>
      <c r="J29" s="194">
        <v>50000</v>
      </c>
      <c r="K29" s="185">
        <v>0.5</v>
      </c>
      <c r="L29" s="183" t="s">
        <v>285</v>
      </c>
      <c r="M29" s="183" t="s">
        <v>1880</v>
      </c>
      <c r="N29" s="183" t="s">
        <v>1880</v>
      </c>
      <c r="O29" s="440"/>
    </row>
    <row r="30" spans="1:15" s="182" customFormat="1" ht="21.75" customHeight="1" x14ac:dyDescent="0.15">
      <c r="A30" s="151" t="s">
        <v>4073</v>
      </c>
      <c r="B30" s="20" t="s">
        <v>4079</v>
      </c>
      <c r="C30" s="399" t="s">
        <v>3346</v>
      </c>
      <c r="D30" s="399" t="s">
        <v>3457</v>
      </c>
      <c r="E30" s="399" t="s">
        <v>4080</v>
      </c>
      <c r="F30" s="403" t="s">
        <v>3340</v>
      </c>
      <c r="G30" s="239" t="s">
        <v>3574</v>
      </c>
      <c r="H30" s="440">
        <v>19126</v>
      </c>
      <c r="I30" s="194">
        <v>0</v>
      </c>
      <c r="J30" s="194">
        <v>148000</v>
      </c>
      <c r="K30" s="185">
        <v>1</v>
      </c>
      <c r="L30" s="183" t="s">
        <v>1948</v>
      </c>
      <c r="M30" s="183" t="s">
        <v>1880</v>
      </c>
      <c r="N30" s="183" t="s">
        <v>1880</v>
      </c>
      <c r="O30" s="440"/>
    </row>
    <row r="31" spans="1:15" s="182" customFormat="1" ht="21.75" customHeight="1" x14ac:dyDescent="0.15">
      <c r="A31" s="151" t="s">
        <v>4081</v>
      </c>
      <c r="B31" s="20" t="s">
        <v>184</v>
      </c>
      <c r="C31" s="399" t="s">
        <v>4082</v>
      </c>
      <c r="D31" s="399" t="s">
        <v>3439</v>
      </c>
      <c r="E31" s="403" t="s">
        <v>4083</v>
      </c>
      <c r="F31" s="224" t="s">
        <v>3328</v>
      </c>
      <c r="G31" s="239" t="s">
        <v>3566</v>
      </c>
      <c r="H31" s="440">
        <v>18086</v>
      </c>
      <c r="I31" s="194">
        <v>0</v>
      </c>
      <c r="J31" s="194">
        <v>100000</v>
      </c>
      <c r="K31" s="185" t="s">
        <v>3105</v>
      </c>
      <c r="L31" s="183" t="s">
        <v>285</v>
      </c>
      <c r="M31" s="183" t="s">
        <v>155</v>
      </c>
      <c r="N31" s="183" t="s">
        <v>2660</v>
      </c>
      <c r="O31" s="440"/>
    </row>
    <row r="32" spans="1:15" s="182" customFormat="1" ht="21.75" customHeight="1" x14ac:dyDescent="0.15">
      <c r="A32" s="151" t="s">
        <v>4084</v>
      </c>
      <c r="B32" s="20" t="s">
        <v>1428</v>
      </c>
      <c r="C32" s="391" t="s">
        <v>3351</v>
      </c>
      <c r="D32" s="391" t="s">
        <v>3352</v>
      </c>
      <c r="E32" s="391" t="s">
        <v>2787</v>
      </c>
      <c r="F32" s="224" t="s">
        <v>3328</v>
      </c>
      <c r="G32" s="239" t="s">
        <v>3336</v>
      </c>
      <c r="H32" s="440">
        <v>19167</v>
      </c>
      <c r="I32" s="194">
        <v>0</v>
      </c>
      <c r="J32" s="194">
        <v>12500</v>
      </c>
      <c r="K32" s="185">
        <v>1</v>
      </c>
      <c r="L32" s="183" t="s">
        <v>1948</v>
      </c>
      <c r="M32" s="183" t="s">
        <v>158</v>
      </c>
      <c r="N32" s="183" t="s">
        <v>158</v>
      </c>
      <c r="O32" s="440"/>
    </row>
    <row r="33" spans="1:15" s="182" customFormat="1" ht="21.75" customHeight="1" x14ac:dyDescent="0.15">
      <c r="A33" s="151" t="s">
        <v>4085</v>
      </c>
      <c r="B33" s="20" t="s">
        <v>331</v>
      </c>
      <c r="C33" s="399" t="s">
        <v>3346</v>
      </c>
      <c r="D33" s="391" t="s">
        <v>3354</v>
      </c>
      <c r="E33" s="405" t="s">
        <v>846</v>
      </c>
      <c r="F33" s="184" t="s">
        <v>3328</v>
      </c>
      <c r="G33" s="235" t="s">
        <v>3349</v>
      </c>
      <c r="H33" s="440">
        <v>19017</v>
      </c>
      <c r="I33" s="194">
        <v>0</v>
      </c>
      <c r="J33" s="194">
        <v>75000</v>
      </c>
      <c r="K33" s="185">
        <v>0.5</v>
      </c>
      <c r="L33" s="183" t="s">
        <v>285</v>
      </c>
      <c r="M33" s="154" t="s">
        <v>162</v>
      </c>
      <c r="N33" s="152" t="s">
        <v>1784</v>
      </c>
      <c r="O33" s="440"/>
    </row>
    <row r="34" spans="1:15" s="182" customFormat="1" ht="21.75" customHeight="1" x14ac:dyDescent="0.15">
      <c r="A34" s="151" t="s">
        <v>4085</v>
      </c>
      <c r="B34" s="20" t="s">
        <v>515</v>
      </c>
      <c r="C34" s="399" t="s">
        <v>3346</v>
      </c>
      <c r="D34" s="399" t="s">
        <v>3354</v>
      </c>
      <c r="E34" s="399" t="s">
        <v>3565</v>
      </c>
      <c r="F34" s="184" t="s">
        <v>3328</v>
      </c>
      <c r="G34" s="235" t="s">
        <v>3566</v>
      </c>
      <c r="H34" s="440">
        <v>19009</v>
      </c>
      <c r="I34" s="194">
        <v>0</v>
      </c>
      <c r="J34" s="194">
        <v>30000</v>
      </c>
      <c r="K34" s="185" t="s">
        <v>4091</v>
      </c>
      <c r="L34" s="183" t="s">
        <v>285</v>
      </c>
      <c r="M34" s="154" t="s">
        <v>1784</v>
      </c>
      <c r="N34" s="152" t="s">
        <v>1784</v>
      </c>
      <c r="O34" s="440"/>
    </row>
    <row r="35" spans="1:15" s="182" customFormat="1" ht="21.75" customHeight="1" x14ac:dyDescent="0.15">
      <c r="A35" s="151" t="s">
        <v>4085</v>
      </c>
      <c r="B35" s="20" t="s">
        <v>515</v>
      </c>
      <c r="C35" s="399" t="s">
        <v>3346</v>
      </c>
      <c r="D35" s="399" t="s">
        <v>3354</v>
      </c>
      <c r="E35" s="399" t="s">
        <v>3675</v>
      </c>
      <c r="F35" s="184" t="s">
        <v>3328</v>
      </c>
      <c r="G35" s="235" t="s">
        <v>3566</v>
      </c>
      <c r="H35" s="440">
        <v>19010</v>
      </c>
      <c r="I35" s="194">
        <v>0</v>
      </c>
      <c r="J35" s="194">
        <v>30000</v>
      </c>
      <c r="K35" s="185" t="s">
        <v>4091</v>
      </c>
      <c r="L35" s="183" t="s">
        <v>285</v>
      </c>
      <c r="M35" s="154" t="s">
        <v>1784</v>
      </c>
      <c r="N35" s="152" t="s">
        <v>1784</v>
      </c>
      <c r="O35" s="440"/>
    </row>
    <row r="36" spans="1:15" s="182" customFormat="1" ht="21.75" customHeight="1" x14ac:dyDescent="0.15">
      <c r="A36" s="151" t="s">
        <v>4085</v>
      </c>
      <c r="B36" s="20" t="s">
        <v>254</v>
      </c>
      <c r="C36" s="399" t="s">
        <v>3346</v>
      </c>
      <c r="D36" s="391" t="s">
        <v>3354</v>
      </c>
      <c r="E36" s="405" t="s">
        <v>921</v>
      </c>
      <c r="F36" s="184" t="s">
        <v>3328</v>
      </c>
      <c r="G36" s="235" t="s">
        <v>3349</v>
      </c>
      <c r="H36" s="440">
        <v>19012</v>
      </c>
      <c r="I36" s="194">
        <v>0</v>
      </c>
      <c r="J36" s="194">
        <v>75000</v>
      </c>
      <c r="K36" s="185">
        <v>0.5</v>
      </c>
      <c r="L36" s="183" t="s">
        <v>285</v>
      </c>
      <c r="M36" s="154" t="s">
        <v>162</v>
      </c>
      <c r="N36" s="152" t="s">
        <v>1784</v>
      </c>
      <c r="O36" s="226"/>
    </row>
    <row r="37" spans="1:15" s="182" customFormat="1" ht="21.75" customHeight="1" x14ac:dyDescent="0.15">
      <c r="A37" s="151" t="s">
        <v>4085</v>
      </c>
      <c r="B37" s="20" t="s">
        <v>3</v>
      </c>
      <c r="C37" s="399" t="s">
        <v>3346</v>
      </c>
      <c r="D37" s="391" t="s">
        <v>3354</v>
      </c>
      <c r="E37" s="405" t="s">
        <v>925</v>
      </c>
      <c r="F37" s="184" t="s">
        <v>3328</v>
      </c>
      <c r="G37" s="235" t="s">
        <v>3349</v>
      </c>
      <c r="H37" s="440">
        <v>19013</v>
      </c>
      <c r="I37" s="194">
        <v>0</v>
      </c>
      <c r="J37" s="194">
        <v>75000</v>
      </c>
      <c r="K37" s="185">
        <v>0.5</v>
      </c>
      <c r="L37" s="183" t="s">
        <v>285</v>
      </c>
      <c r="M37" s="154" t="s">
        <v>162</v>
      </c>
      <c r="N37" s="152" t="s">
        <v>1784</v>
      </c>
      <c r="O37" s="440"/>
    </row>
    <row r="38" spans="1:15" s="182" customFormat="1" ht="21.75" customHeight="1" x14ac:dyDescent="0.15">
      <c r="A38" s="151" t="s">
        <v>4086</v>
      </c>
      <c r="B38" s="20" t="s">
        <v>4087</v>
      </c>
      <c r="C38" s="399" t="s">
        <v>3346</v>
      </c>
      <c r="D38" s="391" t="s">
        <v>3354</v>
      </c>
      <c r="E38" s="405" t="s">
        <v>3562</v>
      </c>
      <c r="F38" s="184" t="s">
        <v>3328</v>
      </c>
      <c r="G38" s="235" t="s">
        <v>3349</v>
      </c>
      <c r="H38" s="440">
        <v>19014</v>
      </c>
      <c r="I38" s="194">
        <v>0</v>
      </c>
      <c r="J38" s="194">
        <v>75000</v>
      </c>
      <c r="K38" s="185">
        <v>0.5</v>
      </c>
      <c r="L38" s="183" t="s">
        <v>285</v>
      </c>
      <c r="M38" s="154" t="s">
        <v>162</v>
      </c>
      <c r="N38" s="152" t="s">
        <v>1784</v>
      </c>
      <c r="O38" s="440"/>
    </row>
    <row r="39" spans="1:15" s="182" customFormat="1" ht="21.75" customHeight="1" x14ac:dyDescent="0.15">
      <c r="A39" s="151" t="s">
        <v>4086</v>
      </c>
      <c r="B39" s="20" t="s">
        <v>2060</v>
      </c>
      <c r="C39" s="399" t="s">
        <v>3334</v>
      </c>
      <c r="D39" s="399" t="s">
        <v>3326</v>
      </c>
      <c r="E39" s="403" t="s">
        <v>3335</v>
      </c>
      <c r="F39" s="184" t="s">
        <v>3332</v>
      </c>
      <c r="G39" s="235" t="s">
        <v>3341</v>
      </c>
      <c r="H39" s="440">
        <v>18001</v>
      </c>
      <c r="I39" s="194">
        <v>0</v>
      </c>
      <c r="J39" s="194">
        <v>112500</v>
      </c>
      <c r="K39" s="185">
        <v>0.25</v>
      </c>
      <c r="L39" s="183" t="s">
        <v>285</v>
      </c>
      <c r="M39" s="183" t="s">
        <v>170</v>
      </c>
      <c r="N39" s="183" t="s">
        <v>170</v>
      </c>
      <c r="O39" s="226"/>
    </row>
    <row r="40" spans="1:15" s="182" customFormat="1" ht="21.75" customHeight="1" x14ac:dyDescent="0.15">
      <c r="A40" s="151" t="s">
        <v>4088</v>
      </c>
      <c r="B40" s="20" t="s">
        <v>3727</v>
      </c>
      <c r="C40" s="399" t="s">
        <v>3346</v>
      </c>
      <c r="D40" s="391" t="s">
        <v>3354</v>
      </c>
      <c r="E40" s="405" t="s">
        <v>845</v>
      </c>
      <c r="F40" s="184" t="s">
        <v>3328</v>
      </c>
      <c r="G40" s="235" t="s">
        <v>3349</v>
      </c>
      <c r="H40" s="440">
        <v>19015</v>
      </c>
      <c r="I40" s="194">
        <v>0</v>
      </c>
      <c r="J40" s="194">
        <v>75000</v>
      </c>
      <c r="K40" s="185">
        <v>0.5</v>
      </c>
      <c r="L40" s="183" t="s">
        <v>285</v>
      </c>
      <c r="M40" s="154" t="s">
        <v>162</v>
      </c>
      <c r="N40" s="152" t="s">
        <v>1784</v>
      </c>
      <c r="O40" s="440"/>
    </row>
    <row r="41" spans="1:15" s="182" customFormat="1" ht="21.75" customHeight="1" x14ac:dyDescent="0.15">
      <c r="A41" s="151" t="s">
        <v>4088</v>
      </c>
      <c r="B41" s="20" t="s">
        <v>3555</v>
      </c>
      <c r="C41" s="399" t="s">
        <v>3346</v>
      </c>
      <c r="D41" s="391" t="s">
        <v>3354</v>
      </c>
      <c r="E41" s="405" t="s">
        <v>844</v>
      </c>
      <c r="F41" s="184" t="s">
        <v>3328</v>
      </c>
      <c r="G41" s="235" t="s">
        <v>3349</v>
      </c>
      <c r="H41" s="440">
        <v>19016</v>
      </c>
      <c r="I41" s="194">
        <v>0</v>
      </c>
      <c r="J41" s="194">
        <v>75000</v>
      </c>
      <c r="K41" s="185">
        <v>0.5</v>
      </c>
      <c r="L41" s="183" t="s">
        <v>285</v>
      </c>
      <c r="M41" s="154" t="s">
        <v>162</v>
      </c>
      <c r="N41" s="152" t="s">
        <v>1784</v>
      </c>
      <c r="O41" s="440"/>
    </row>
    <row r="42" spans="1:15" s="182" customFormat="1" ht="21.75" customHeight="1" x14ac:dyDescent="0.15">
      <c r="A42" s="151" t="s">
        <v>4088</v>
      </c>
      <c r="B42" s="20" t="s">
        <v>3098</v>
      </c>
      <c r="C42" s="399" t="s">
        <v>3330</v>
      </c>
      <c r="D42" s="399" t="s">
        <v>4089</v>
      </c>
      <c r="E42" s="403" t="s">
        <v>4090</v>
      </c>
      <c r="F42" s="184" t="s">
        <v>3332</v>
      </c>
      <c r="G42" s="423" t="s">
        <v>3529</v>
      </c>
      <c r="H42" s="440">
        <v>18013</v>
      </c>
      <c r="I42" s="194">
        <v>0</v>
      </c>
      <c r="J42" s="194">
        <v>35250</v>
      </c>
      <c r="K42" s="185">
        <v>0.3</v>
      </c>
      <c r="L42" s="183" t="s">
        <v>3734</v>
      </c>
      <c r="M42" s="183" t="s">
        <v>158</v>
      </c>
      <c r="N42" s="183" t="s">
        <v>158</v>
      </c>
      <c r="O42" s="440"/>
    </row>
    <row r="43" spans="1:15" s="182" customFormat="1" ht="21.75" customHeight="1" x14ac:dyDescent="0.15">
      <c r="A43" s="151" t="s">
        <v>4092</v>
      </c>
      <c r="B43" s="20" t="s">
        <v>359</v>
      </c>
      <c r="C43" s="399" t="s">
        <v>3346</v>
      </c>
      <c r="D43" s="399" t="s">
        <v>3354</v>
      </c>
      <c r="E43" s="399" t="s">
        <v>3565</v>
      </c>
      <c r="F43" s="184" t="s">
        <v>3328</v>
      </c>
      <c r="G43" s="235" t="s">
        <v>3566</v>
      </c>
      <c r="H43" s="440">
        <v>19009</v>
      </c>
      <c r="I43" s="194">
        <v>0</v>
      </c>
      <c r="J43" s="194">
        <v>57868</v>
      </c>
      <c r="K43" s="185" t="s">
        <v>3632</v>
      </c>
      <c r="L43" s="183" t="s">
        <v>285</v>
      </c>
      <c r="M43" s="154" t="s">
        <v>1784</v>
      </c>
      <c r="N43" s="152" t="s">
        <v>1784</v>
      </c>
      <c r="O43" s="440"/>
    </row>
    <row r="44" spans="1:15" s="182" customFormat="1" ht="21.75" customHeight="1" x14ac:dyDescent="0.15">
      <c r="A44" s="151" t="s">
        <v>4092</v>
      </c>
      <c r="B44" s="20" t="s">
        <v>359</v>
      </c>
      <c r="C44" s="399" t="s">
        <v>3346</v>
      </c>
      <c r="D44" s="399" t="s">
        <v>3354</v>
      </c>
      <c r="E44" s="399" t="s">
        <v>3675</v>
      </c>
      <c r="F44" s="184" t="s">
        <v>3328</v>
      </c>
      <c r="G44" s="235" t="s">
        <v>3566</v>
      </c>
      <c r="H44" s="440">
        <v>19010</v>
      </c>
      <c r="I44" s="194">
        <v>0</v>
      </c>
      <c r="J44" s="194">
        <v>57868</v>
      </c>
      <c r="K44" s="185" t="s">
        <v>3632</v>
      </c>
      <c r="L44" s="183" t="s">
        <v>285</v>
      </c>
      <c r="M44" s="154" t="s">
        <v>1784</v>
      </c>
      <c r="N44" s="152" t="s">
        <v>1784</v>
      </c>
      <c r="O44" s="440"/>
    </row>
    <row r="45" spans="1:15" s="182" customFormat="1" ht="21.75" customHeight="1" x14ac:dyDescent="0.15">
      <c r="A45" s="151" t="s">
        <v>4092</v>
      </c>
      <c r="B45" s="20" t="s">
        <v>227</v>
      </c>
      <c r="C45" s="391" t="s">
        <v>3351</v>
      </c>
      <c r="D45" s="393" t="s">
        <v>3352</v>
      </c>
      <c r="E45" s="394" t="s">
        <v>2866</v>
      </c>
      <c r="F45" s="184" t="s">
        <v>3328</v>
      </c>
      <c r="G45" s="235" t="s">
        <v>3349</v>
      </c>
      <c r="H45" s="413" t="s">
        <v>4093</v>
      </c>
      <c r="I45" s="194">
        <v>0</v>
      </c>
      <c r="J45" s="194">
        <v>50000</v>
      </c>
      <c r="K45" s="185">
        <v>0.5</v>
      </c>
      <c r="L45" s="183" t="s">
        <v>285</v>
      </c>
      <c r="M45" s="249" t="s">
        <v>158</v>
      </c>
      <c r="N45" s="249" t="s">
        <v>158</v>
      </c>
      <c r="O45" s="440"/>
    </row>
    <row r="46" spans="1:15" s="182" customFormat="1" ht="21.75" customHeight="1" x14ac:dyDescent="0.15">
      <c r="A46" s="151" t="s">
        <v>4092</v>
      </c>
      <c r="B46" s="20" t="s">
        <v>227</v>
      </c>
      <c r="C46" s="391" t="s">
        <v>3351</v>
      </c>
      <c r="D46" s="393" t="s">
        <v>3352</v>
      </c>
      <c r="E46" s="394" t="s">
        <v>2867</v>
      </c>
      <c r="F46" s="184" t="s">
        <v>3332</v>
      </c>
      <c r="G46" s="235" t="s">
        <v>3381</v>
      </c>
      <c r="H46" s="413" t="s">
        <v>3924</v>
      </c>
      <c r="I46" s="194">
        <v>0</v>
      </c>
      <c r="J46" s="194">
        <v>50000</v>
      </c>
      <c r="K46" s="185">
        <v>0.5</v>
      </c>
      <c r="L46" s="183" t="s">
        <v>285</v>
      </c>
      <c r="M46" s="249" t="s">
        <v>158</v>
      </c>
      <c r="N46" s="249" t="s">
        <v>158</v>
      </c>
      <c r="O46" s="451"/>
    </row>
    <row r="47" spans="1:15" s="182" customFormat="1" ht="21.75" customHeight="1" x14ac:dyDescent="0.15">
      <c r="A47" s="151" t="s">
        <v>4092</v>
      </c>
      <c r="B47" s="20" t="s">
        <v>227</v>
      </c>
      <c r="C47" s="391" t="s">
        <v>3351</v>
      </c>
      <c r="D47" s="393" t="s">
        <v>3352</v>
      </c>
      <c r="E47" s="394" t="s">
        <v>2870</v>
      </c>
      <c r="F47" s="184" t="s">
        <v>3332</v>
      </c>
      <c r="G47" s="235" t="s">
        <v>3381</v>
      </c>
      <c r="H47" s="413" t="s">
        <v>3925</v>
      </c>
      <c r="I47" s="194">
        <v>0</v>
      </c>
      <c r="J47" s="194">
        <v>50000</v>
      </c>
      <c r="K47" s="185">
        <v>0.5</v>
      </c>
      <c r="L47" s="183" t="s">
        <v>285</v>
      </c>
      <c r="M47" s="249" t="s">
        <v>158</v>
      </c>
      <c r="N47" s="249" t="s">
        <v>158</v>
      </c>
      <c r="O47" s="451"/>
    </row>
    <row r="48" spans="1:15" s="182" customFormat="1" ht="21.75" customHeight="1" x14ac:dyDescent="0.15">
      <c r="A48" s="151" t="s">
        <v>4094</v>
      </c>
      <c r="B48" s="20" t="s">
        <v>176</v>
      </c>
      <c r="C48" s="452" t="s">
        <v>3414</v>
      </c>
      <c r="D48" s="368" t="s">
        <v>3347</v>
      </c>
      <c r="E48" s="30" t="s">
        <v>4095</v>
      </c>
      <c r="F48" s="184" t="s">
        <v>3328</v>
      </c>
      <c r="G48" s="235" t="s">
        <v>3353</v>
      </c>
      <c r="H48" s="440">
        <v>20004</v>
      </c>
      <c r="I48" s="194">
        <v>0</v>
      </c>
      <c r="J48" s="194">
        <v>61465</v>
      </c>
      <c r="K48" s="185">
        <v>0.95</v>
      </c>
      <c r="L48" s="183" t="s">
        <v>1147</v>
      </c>
      <c r="M48" s="224" t="s">
        <v>170</v>
      </c>
      <c r="N48" s="183" t="s">
        <v>170</v>
      </c>
      <c r="O48" s="440"/>
    </row>
    <row r="49" spans="1:15" s="182" customFormat="1" ht="21.75" customHeight="1" x14ac:dyDescent="0.15">
      <c r="A49" s="151" t="s">
        <v>4096</v>
      </c>
      <c r="B49" s="20" t="s">
        <v>1403</v>
      </c>
      <c r="C49" s="453" t="s">
        <v>3325</v>
      </c>
      <c r="D49" s="399" t="s">
        <v>4089</v>
      </c>
      <c r="E49" s="409" t="s">
        <v>4097</v>
      </c>
      <c r="F49" s="454" t="s">
        <v>4098</v>
      </c>
      <c r="G49" s="411" t="s">
        <v>4099</v>
      </c>
      <c r="H49" s="440">
        <v>14052</v>
      </c>
      <c r="I49" s="194">
        <v>0</v>
      </c>
      <c r="J49" s="194">
        <v>23500</v>
      </c>
      <c r="K49" s="185">
        <v>0.05</v>
      </c>
      <c r="L49" s="183" t="s">
        <v>1143</v>
      </c>
      <c r="M49" s="455" t="s">
        <v>4100</v>
      </c>
      <c r="N49" s="405" t="s">
        <v>4101</v>
      </c>
      <c r="O49" s="440"/>
    </row>
    <row r="50" spans="1:15" s="182" customFormat="1" ht="21.75" customHeight="1" x14ac:dyDescent="0.15">
      <c r="A50" s="151" t="s">
        <v>4096</v>
      </c>
      <c r="B50" s="20" t="s">
        <v>1403</v>
      </c>
      <c r="C50" s="224" t="s">
        <v>3325</v>
      </c>
      <c r="D50" s="224" t="s">
        <v>3439</v>
      </c>
      <c r="E50" s="394" t="s">
        <v>4102</v>
      </c>
      <c r="F50" s="224" t="s">
        <v>3340</v>
      </c>
      <c r="G50" s="239" t="s">
        <v>3566</v>
      </c>
      <c r="H50" s="440">
        <v>18096</v>
      </c>
      <c r="I50" s="194">
        <v>0</v>
      </c>
      <c r="J50" s="194">
        <v>200000</v>
      </c>
      <c r="K50" s="185" t="s">
        <v>4103</v>
      </c>
      <c r="L50" s="183" t="s">
        <v>285</v>
      </c>
      <c r="M50" s="224" t="s">
        <v>3433</v>
      </c>
      <c r="N50" s="405" t="s">
        <v>4101</v>
      </c>
      <c r="O50" s="440"/>
    </row>
    <row r="51" spans="1:15" s="182" customFormat="1" ht="21.75" customHeight="1" x14ac:dyDescent="0.15">
      <c r="A51" s="151" t="s">
        <v>4104</v>
      </c>
      <c r="B51" s="20" t="s">
        <v>4105</v>
      </c>
      <c r="C51" s="184" t="s">
        <v>3351</v>
      </c>
      <c r="D51" s="184" t="s">
        <v>3326</v>
      </c>
      <c r="E51" s="184" t="s">
        <v>4106</v>
      </c>
      <c r="F51" s="419" t="s">
        <v>3328</v>
      </c>
      <c r="G51" s="235" t="s">
        <v>3349</v>
      </c>
      <c r="H51" s="440">
        <v>19052</v>
      </c>
      <c r="I51" s="194">
        <v>0</v>
      </c>
      <c r="J51" s="194">
        <v>50000</v>
      </c>
      <c r="K51" s="185">
        <v>0.5</v>
      </c>
      <c r="L51" s="183" t="s">
        <v>285</v>
      </c>
      <c r="M51" s="183" t="s">
        <v>2712</v>
      </c>
      <c r="N51" s="183" t="s">
        <v>2712</v>
      </c>
      <c r="O51" s="440"/>
    </row>
    <row r="52" spans="1:15" s="182" customFormat="1" ht="21.75" customHeight="1" x14ac:dyDescent="0.15">
      <c r="A52" s="151" t="s">
        <v>4104</v>
      </c>
      <c r="B52" s="20" t="s">
        <v>195</v>
      </c>
      <c r="C52" s="399" t="s">
        <v>3363</v>
      </c>
      <c r="D52" s="399" t="s">
        <v>3702</v>
      </c>
      <c r="E52" s="399" t="s">
        <v>3986</v>
      </c>
      <c r="F52" s="184" t="s">
        <v>3328</v>
      </c>
      <c r="G52" s="235" t="s">
        <v>3349</v>
      </c>
      <c r="H52" s="440">
        <v>19037</v>
      </c>
      <c r="I52" s="194">
        <v>0</v>
      </c>
      <c r="J52" s="194">
        <v>50000</v>
      </c>
      <c r="K52" s="185">
        <v>0.5</v>
      </c>
      <c r="L52" s="183" t="s">
        <v>285</v>
      </c>
      <c r="M52" s="183" t="s">
        <v>1880</v>
      </c>
      <c r="N52" s="183" t="s">
        <v>1880</v>
      </c>
      <c r="O52" s="440"/>
    </row>
    <row r="53" spans="1:15" s="182" customFormat="1" ht="21.75" customHeight="1" x14ac:dyDescent="0.15">
      <c r="A53" s="151" t="s">
        <v>4104</v>
      </c>
      <c r="B53" s="20" t="s">
        <v>4042</v>
      </c>
      <c r="C53" s="184" t="s">
        <v>3363</v>
      </c>
      <c r="D53" s="184" t="s">
        <v>3354</v>
      </c>
      <c r="E53" s="184" t="s">
        <v>4049</v>
      </c>
      <c r="F53" s="224" t="s">
        <v>3328</v>
      </c>
      <c r="G53" s="235" t="s">
        <v>3529</v>
      </c>
      <c r="H53" s="440">
        <v>19178</v>
      </c>
      <c r="I53" s="194">
        <v>0</v>
      </c>
      <c r="J53" s="194">
        <v>69600</v>
      </c>
      <c r="K53" s="185">
        <v>0.6</v>
      </c>
      <c r="L53" s="183" t="s">
        <v>4107</v>
      </c>
      <c r="M53" s="183" t="s">
        <v>162</v>
      </c>
      <c r="N53" s="183" t="s">
        <v>2660</v>
      </c>
      <c r="O53" s="440"/>
    </row>
    <row r="54" spans="1:15" s="182" customFormat="1" ht="21.75" customHeight="1" x14ac:dyDescent="0.15">
      <c r="A54" s="151" t="s">
        <v>4111</v>
      </c>
      <c r="B54" s="20" t="s">
        <v>4112</v>
      </c>
      <c r="C54" s="453" t="s">
        <v>3337</v>
      </c>
      <c r="D54" s="453" t="s">
        <v>3380</v>
      </c>
      <c r="E54" s="428" t="s">
        <v>3874</v>
      </c>
      <c r="F54" s="184" t="s">
        <v>3340</v>
      </c>
      <c r="G54" s="235" t="s">
        <v>3566</v>
      </c>
      <c r="H54" s="456">
        <v>18037</v>
      </c>
      <c r="I54" s="194">
        <v>0</v>
      </c>
      <c r="J54" s="194">
        <v>126000</v>
      </c>
      <c r="K54" s="185" t="s">
        <v>3105</v>
      </c>
      <c r="L54" s="183" t="s">
        <v>285</v>
      </c>
      <c r="M54" s="183" t="s">
        <v>190</v>
      </c>
      <c r="N54" s="183" t="s">
        <v>190</v>
      </c>
      <c r="O54" s="456"/>
    </row>
    <row r="55" spans="1:15" s="182" customFormat="1" ht="21.75" customHeight="1" x14ac:dyDescent="0.15">
      <c r="A55" s="151" t="s">
        <v>4108</v>
      </c>
      <c r="B55" s="20" t="s">
        <v>3098</v>
      </c>
      <c r="C55" s="184" t="s">
        <v>3351</v>
      </c>
      <c r="D55" s="184" t="s">
        <v>3439</v>
      </c>
      <c r="E55" s="184" t="s">
        <v>4109</v>
      </c>
      <c r="F55" s="184" t="s">
        <v>3328</v>
      </c>
      <c r="G55" s="235" t="s">
        <v>3349</v>
      </c>
      <c r="H55" s="440">
        <v>19045</v>
      </c>
      <c r="I55" s="194">
        <v>0</v>
      </c>
      <c r="J55" s="194">
        <v>97000</v>
      </c>
      <c r="K55" s="185">
        <v>0.97</v>
      </c>
      <c r="L55" s="183" t="s">
        <v>285</v>
      </c>
      <c r="M55" s="183" t="s">
        <v>158</v>
      </c>
      <c r="N55" s="183" t="s">
        <v>158</v>
      </c>
      <c r="O55" s="440"/>
    </row>
    <row r="56" spans="1:15" s="182" customFormat="1" ht="21.75" customHeight="1" x14ac:dyDescent="0.15">
      <c r="A56" s="151" t="s">
        <v>4108</v>
      </c>
      <c r="B56" s="20" t="s">
        <v>4045</v>
      </c>
      <c r="C56" s="184" t="s">
        <v>3351</v>
      </c>
      <c r="D56" s="184" t="s">
        <v>3463</v>
      </c>
      <c r="E56" s="399" t="s">
        <v>4064</v>
      </c>
      <c r="F56" s="224" t="s">
        <v>3328</v>
      </c>
      <c r="G56" s="235" t="s">
        <v>4065</v>
      </c>
      <c r="H56" s="440">
        <v>19146</v>
      </c>
      <c r="I56" s="194">
        <v>0</v>
      </c>
      <c r="J56" s="194">
        <v>25000</v>
      </c>
      <c r="K56" s="185">
        <v>0.25</v>
      </c>
      <c r="L56" s="183" t="s">
        <v>285</v>
      </c>
      <c r="M56" s="183" t="s">
        <v>158</v>
      </c>
      <c r="N56" s="183" t="s">
        <v>158</v>
      </c>
      <c r="O56" s="440"/>
    </row>
    <row r="57" spans="1:15" s="182" customFormat="1" ht="21.75" customHeight="1" x14ac:dyDescent="0.15">
      <c r="A57" s="151" t="s">
        <v>4110</v>
      </c>
      <c r="B57" s="20" t="s">
        <v>331</v>
      </c>
      <c r="C57" s="224" t="s">
        <v>3346</v>
      </c>
      <c r="D57" s="224" t="s">
        <v>3354</v>
      </c>
      <c r="E57" s="224" t="s">
        <v>846</v>
      </c>
      <c r="F57" s="206" t="s">
        <v>3579</v>
      </c>
      <c r="G57" s="243" t="s">
        <v>3356</v>
      </c>
      <c r="H57" s="440">
        <v>18134</v>
      </c>
      <c r="I57" s="194">
        <v>0</v>
      </c>
      <c r="J57" s="194">
        <v>28737</v>
      </c>
      <c r="K57" s="185">
        <v>1</v>
      </c>
      <c r="L57" s="183" t="s">
        <v>4113</v>
      </c>
      <c r="M57" s="183" t="s">
        <v>162</v>
      </c>
      <c r="N57" s="183" t="s">
        <v>1784</v>
      </c>
      <c r="O57" s="440"/>
    </row>
    <row r="58" spans="1:15" s="182" customFormat="1" ht="21.75" customHeight="1" x14ac:dyDescent="0.15">
      <c r="A58" s="151" t="s">
        <v>4114</v>
      </c>
      <c r="B58" s="20" t="s">
        <v>3480</v>
      </c>
      <c r="C58" s="453" t="s">
        <v>3346</v>
      </c>
      <c r="D58" s="453" t="s">
        <v>3481</v>
      </c>
      <c r="E58" s="428" t="s">
        <v>3482</v>
      </c>
      <c r="F58" s="206" t="s">
        <v>3483</v>
      </c>
      <c r="G58" s="243" t="s">
        <v>3483</v>
      </c>
      <c r="H58" s="440">
        <v>18031</v>
      </c>
      <c r="I58" s="194">
        <v>0</v>
      </c>
      <c r="J58" s="194">
        <v>6000</v>
      </c>
      <c r="K58" s="185" t="s">
        <v>4117</v>
      </c>
      <c r="L58" s="183" t="s">
        <v>1948</v>
      </c>
      <c r="M58" s="183" t="s">
        <v>1880</v>
      </c>
      <c r="N58" s="183" t="s">
        <v>1880</v>
      </c>
      <c r="O58" s="440"/>
    </row>
    <row r="59" spans="1:15" s="182" customFormat="1" ht="21.75" customHeight="1" x14ac:dyDescent="0.15">
      <c r="A59" s="151" t="s">
        <v>4114</v>
      </c>
      <c r="B59" s="20" t="s">
        <v>2078</v>
      </c>
      <c r="C59" s="224" t="s">
        <v>3346</v>
      </c>
      <c r="D59" s="224" t="s">
        <v>3463</v>
      </c>
      <c r="E59" s="224" t="s">
        <v>4115</v>
      </c>
      <c r="F59" s="184" t="s">
        <v>4116</v>
      </c>
      <c r="G59" s="235" t="s">
        <v>4116</v>
      </c>
      <c r="H59" s="440">
        <v>20007</v>
      </c>
      <c r="I59" s="194">
        <v>0</v>
      </c>
      <c r="J59" s="194">
        <v>186606</v>
      </c>
      <c r="K59" s="185">
        <v>0.7</v>
      </c>
      <c r="L59" s="183" t="s">
        <v>1948</v>
      </c>
      <c r="M59" s="183" t="s">
        <v>162</v>
      </c>
      <c r="N59" s="183" t="s">
        <v>1784</v>
      </c>
      <c r="O59" s="440"/>
    </row>
    <row r="60" spans="1:15" s="182" customFormat="1" ht="21.75" customHeight="1" x14ac:dyDescent="0.15">
      <c r="A60" s="151" t="s">
        <v>4114</v>
      </c>
      <c r="B60" s="20" t="s">
        <v>284</v>
      </c>
      <c r="C60" s="399" t="s">
        <v>4120</v>
      </c>
      <c r="D60" s="399" t="s">
        <v>4121</v>
      </c>
      <c r="E60" s="394" t="s">
        <v>4122</v>
      </c>
      <c r="F60" s="403" t="s">
        <v>4123</v>
      </c>
      <c r="G60" s="459" t="s">
        <v>4124</v>
      </c>
      <c r="H60" s="413" t="s">
        <v>4119</v>
      </c>
      <c r="I60" s="194">
        <v>0</v>
      </c>
      <c r="J60" s="194">
        <v>120000</v>
      </c>
      <c r="K60" s="185">
        <v>1</v>
      </c>
      <c r="L60" s="183" t="s">
        <v>285</v>
      </c>
      <c r="M60" s="183" t="s">
        <v>158</v>
      </c>
      <c r="N60" s="183" t="s">
        <v>158</v>
      </c>
      <c r="O60" s="457"/>
    </row>
    <row r="61" spans="1:15" s="182" customFormat="1" ht="21.75" customHeight="1" x14ac:dyDescent="0.15">
      <c r="A61" s="151" t="s">
        <v>4118</v>
      </c>
      <c r="B61" s="20" t="s">
        <v>254</v>
      </c>
      <c r="C61" s="224" t="s">
        <v>3346</v>
      </c>
      <c r="D61" s="224" t="s">
        <v>3354</v>
      </c>
      <c r="E61" s="224" t="s">
        <v>921</v>
      </c>
      <c r="F61" s="206" t="s">
        <v>3579</v>
      </c>
      <c r="G61" s="243" t="s">
        <v>3356</v>
      </c>
      <c r="H61" s="440">
        <v>18132</v>
      </c>
      <c r="I61" s="194">
        <v>0</v>
      </c>
      <c r="J61" s="194">
        <v>28737</v>
      </c>
      <c r="K61" s="185">
        <v>1</v>
      </c>
      <c r="L61" s="183" t="s">
        <v>4113</v>
      </c>
      <c r="M61" s="183" t="s">
        <v>162</v>
      </c>
      <c r="N61" s="183" t="s">
        <v>1784</v>
      </c>
      <c r="O61" s="440"/>
    </row>
    <row r="62" spans="1:15" s="182" customFormat="1" ht="21.75" customHeight="1" x14ac:dyDescent="0.15">
      <c r="A62" s="151" t="s">
        <v>4118</v>
      </c>
      <c r="B62" s="20" t="s">
        <v>3</v>
      </c>
      <c r="C62" s="224" t="s">
        <v>3346</v>
      </c>
      <c r="D62" s="224" t="s">
        <v>3354</v>
      </c>
      <c r="E62" s="224" t="s">
        <v>925</v>
      </c>
      <c r="F62" s="206" t="s">
        <v>3579</v>
      </c>
      <c r="G62" s="243" t="s">
        <v>3356</v>
      </c>
      <c r="H62" s="440">
        <v>18133</v>
      </c>
      <c r="I62" s="194">
        <v>0</v>
      </c>
      <c r="J62" s="194">
        <v>28737</v>
      </c>
      <c r="K62" s="185">
        <v>1</v>
      </c>
      <c r="L62" s="183" t="s">
        <v>4113</v>
      </c>
      <c r="M62" s="183" t="s">
        <v>162</v>
      </c>
      <c r="N62" s="183" t="s">
        <v>1784</v>
      </c>
      <c r="O62" s="440"/>
    </row>
    <row r="63" spans="1:15" s="182" customFormat="1" ht="21.75" customHeight="1" x14ac:dyDescent="0.15">
      <c r="A63" s="151" t="s">
        <v>4125</v>
      </c>
      <c r="B63" s="20" t="s">
        <v>2398</v>
      </c>
      <c r="C63" s="458" t="s">
        <v>3351</v>
      </c>
      <c r="D63" s="458" t="s">
        <v>3352</v>
      </c>
      <c r="E63" s="458" t="s">
        <v>4126</v>
      </c>
      <c r="F63" s="184" t="s">
        <v>3340</v>
      </c>
      <c r="G63" s="235" t="s">
        <v>3529</v>
      </c>
      <c r="H63" s="440">
        <v>20010</v>
      </c>
      <c r="I63" s="194">
        <v>0</v>
      </c>
      <c r="J63" s="194">
        <v>10000</v>
      </c>
      <c r="K63" s="185" t="s">
        <v>4127</v>
      </c>
      <c r="L63" s="183" t="s">
        <v>1948</v>
      </c>
      <c r="M63" s="183" t="s">
        <v>158</v>
      </c>
      <c r="N63" s="183" t="s">
        <v>158</v>
      </c>
      <c r="O63" s="440"/>
    </row>
    <row r="64" spans="1:15" s="182" customFormat="1" ht="21.75" customHeight="1" x14ac:dyDescent="0.15">
      <c r="A64" s="151" t="s">
        <v>4128</v>
      </c>
      <c r="B64" s="20" t="s">
        <v>269</v>
      </c>
      <c r="C64" s="399" t="s">
        <v>3346</v>
      </c>
      <c r="D64" s="399" t="s">
        <v>3347</v>
      </c>
      <c r="E64" s="405" t="s">
        <v>3542</v>
      </c>
      <c r="F64" s="184" t="s">
        <v>3328</v>
      </c>
      <c r="G64" s="235" t="s">
        <v>3349</v>
      </c>
      <c r="H64" s="440">
        <v>19004</v>
      </c>
      <c r="I64" s="194">
        <v>0</v>
      </c>
      <c r="J64" s="194">
        <v>120000</v>
      </c>
      <c r="K64" s="185">
        <v>0.75</v>
      </c>
      <c r="L64" s="183" t="s">
        <v>285</v>
      </c>
      <c r="M64" s="183" t="s">
        <v>162</v>
      </c>
      <c r="N64" s="183" t="s">
        <v>1784</v>
      </c>
      <c r="O64" s="440"/>
    </row>
    <row r="65" spans="1:15" s="182" customFormat="1" ht="21.75" customHeight="1" x14ac:dyDescent="0.15">
      <c r="A65" s="151" t="s">
        <v>4129</v>
      </c>
      <c r="B65" s="20" t="s">
        <v>559</v>
      </c>
      <c r="C65" s="224" t="s">
        <v>3346</v>
      </c>
      <c r="D65" s="224" t="s">
        <v>3354</v>
      </c>
      <c r="E65" s="234" t="s">
        <v>4130</v>
      </c>
      <c r="F65" s="234" t="s">
        <v>4131</v>
      </c>
      <c r="G65" s="244" t="s">
        <v>4131</v>
      </c>
      <c r="H65" s="440">
        <v>18141</v>
      </c>
      <c r="I65" s="194">
        <v>0</v>
      </c>
      <c r="J65" s="194">
        <v>428899.24</v>
      </c>
      <c r="K65" s="185" t="s">
        <v>4132</v>
      </c>
      <c r="L65" s="183" t="s">
        <v>1172</v>
      </c>
      <c r="M65" s="183" t="s">
        <v>162</v>
      </c>
      <c r="N65" s="183" t="s">
        <v>1784</v>
      </c>
      <c r="O65" s="440"/>
    </row>
    <row r="66" spans="1:15" s="182" customFormat="1" ht="21.75" customHeight="1" x14ac:dyDescent="0.15">
      <c r="A66" s="151" t="s">
        <v>4129</v>
      </c>
      <c r="B66" s="20" t="s">
        <v>3826</v>
      </c>
      <c r="C66" s="427" t="s">
        <v>3598</v>
      </c>
      <c r="D66" s="391" t="s">
        <v>3827</v>
      </c>
      <c r="E66" s="405" t="s">
        <v>3828</v>
      </c>
      <c r="F66" s="224" t="s">
        <v>3328</v>
      </c>
      <c r="G66" s="235" t="s">
        <v>3829</v>
      </c>
      <c r="H66" s="440">
        <v>19085</v>
      </c>
      <c r="I66" s="194">
        <v>0</v>
      </c>
      <c r="J66" s="194">
        <v>92000</v>
      </c>
      <c r="K66" s="185">
        <v>0.4</v>
      </c>
      <c r="L66" s="183" t="s">
        <v>1172</v>
      </c>
      <c r="M66" s="183" t="s">
        <v>3388</v>
      </c>
      <c r="N66" s="183" t="s">
        <v>3388</v>
      </c>
      <c r="O66" s="226"/>
    </row>
    <row r="67" spans="1:15" s="182" customFormat="1" ht="21.75" customHeight="1" x14ac:dyDescent="0.15">
      <c r="A67" s="151" t="s">
        <v>4133</v>
      </c>
      <c r="B67" s="20" t="s">
        <v>4136</v>
      </c>
      <c r="C67" s="391" t="s">
        <v>3346</v>
      </c>
      <c r="D67" s="391" t="s">
        <v>3354</v>
      </c>
      <c r="E67" s="392" t="s">
        <v>3675</v>
      </c>
      <c r="F67" s="442" t="s">
        <v>4137</v>
      </c>
      <c r="G67" s="460" t="s">
        <v>4138</v>
      </c>
      <c r="H67" s="440" t="s">
        <v>4135</v>
      </c>
      <c r="I67" s="194">
        <v>0</v>
      </c>
      <c r="J67" s="194">
        <v>158691.54999999999</v>
      </c>
      <c r="K67" s="185" t="s">
        <v>4139</v>
      </c>
      <c r="L67" s="183" t="s">
        <v>1172</v>
      </c>
      <c r="M67" s="183" t="s">
        <v>1784</v>
      </c>
      <c r="N67" s="183" t="s">
        <v>1784</v>
      </c>
      <c r="O67" s="440"/>
    </row>
    <row r="68" spans="1:15" s="182" customFormat="1" ht="21.75" customHeight="1" x14ac:dyDescent="0.15">
      <c r="A68" s="151" t="s">
        <v>4133</v>
      </c>
      <c r="B68" s="20" t="s">
        <v>2602</v>
      </c>
      <c r="C68" s="448" t="s">
        <v>4140</v>
      </c>
      <c r="D68" s="448" t="s">
        <v>4141</v>
      </c>
      <c r="E68" s="449" t="s">
        <v>4142</v>
      </c>
      <c r="F68" s="449" t="s">
        <v>3332</v>
      </c>
      <c r="G68" s="450" t="s">
        <v>3381</v>
      </c>
      <c r="H68" s="461" t="s">
        <v>4143</v>
      </c>
      <c r="I68" s="194">
        <v>0</v>
      </c>
      <c r="J68" s="194">
        <v>72000</v>
      </c>
      <c r="K68" s="185">
        <v>0.8</v>
      </c>
      <c r="L68" s="183" t="s">
        <v>285</v>
      </c>
      <c r="M68" s="183" t="s">
        <v>170</v>
      </c>
      <c r="N68" s="183" t="s">
        <v>170</v>
      </c>
      <c r="O68" s="440"/>
    </row>
    <row r="69" spans="1:15" s="182" customFormat="1" ht="21.75" customHeight="1" x14ac:dyDescent="0.15">
      <c r="A69" s="151" t="s">
        <v>4134</v>
      </c>
      <c r="B69" s="20" t="s">
        <v>4144</v>
      </c>
      <c r="C69" s="224" t="s">
        <v>3384</v>
      </c>
      <c r="D69" s="224" t="s">
        <v>3354</v>
      </c>
      <c r="E69" s="224" t="s">
        <v>4145</v>
      </c>
      <c r="F69" s="234" t="s">
        <v>3328</v>
      </c>
      <c r="G69" s="244" t="s">
        <v>4146</v>
      </c>
      <c r="H69" s="440">
        <v>18136</v>
      </c>
      <c r="I69" s="194">
        <v>0</v>
      </c>
      <c r="J69" s="194">
        <v>25000</v>
      </c>
      <c r="K69" s="185">
        <v>1</v>
      </c>
      <c r="L69" s="183" t="s">
        <v>1948</v>
      </c>
      <c r="M69" s="183" t="s">
        <v>170</v>
      </c>
      <c r="N69" s="183" t="s">
        <v>170</v>
      </c>
      <c r="O69" s="440"/>
    </row>
    <row r="70" spans="1:15" s="182" customFormat="1" ht="21.75" customHeight="1" x14ac:dyDescent="0.15">
      <c r="A70" s="151" t="s">
        <v>4147</v>
      </c>
      <c r="B70" s="20" t="s">
        <v>2946</v>
      </c>
      <c r="C70" s="224" t="s">
        <v>3346</v>
      </c>
      <c r="D70" s="224" t="s">
        <v>3463</v>
      </c>
      <c r="E70" s="394" t="s">
        <v>3792</v>
      </c>
      <c r="F70" s="224" t="s">
        <v>3328</v>
      </c>
      <c r="G70" s="239" t="s">
        <v>3336</v>
      </c>
      <c r="H70" s="440">
        <v>19163</v>
      </c>
      <c r="I70" s="194">
        <v>0</v>
      </c>
      <c r="J70" s="194">
        <v>3000</v>
      </c>
      <c r="K70" s="185" t="s">
        <v>4148</v>
      </c>
      <c r="L70" s="183" t="s">
        <v>1948</v>
      </c>
      <c r="M70" s="183" t="s">
        <v>162</v>
      </c>
      <c r="N70" s="183" t="s">
        <v>1784</v>
      </c>
      <c r="O70" s="440"/>
    </row>
    <row r="71" spans="1:15" s="182" customFormat="1" ht="21.75" customHeight="1" x14ac:dyDescent="0.15">
      <c r="A71" s="151" t="s">
        <v>4147</v>
      </c>
      <c r="B71" s="20" t="s">
        <v>360</v>
      </c>
      <c r="C71" s="184" t="s">
        <v>3346</v>
      </c>
      <c r="D71" s="184" t="s">
        <v>3637</v>
      </c>
      <c r="E71" s="184" t="s">
        <v>596</v>
      </c>
      <c r="F71" s="419" t="s">
        <v>3328</v>
      </c>
      <c r="G71" s="235" t="s">
        <v>3381</v>
      </c>
      <c r="H71" s="440">
        <v>19078</v>
      </c>
      <c r="I71" s="194">
        <v>0</v>
      </c>
      <c r="J71" s="194">
        <v>40000</v>
      </c>
      <c r="K71" s="185">
        <v>0.5</v>
      </c>
      <c r="L71" s="183" t="s">
        <v>285</v>
      </c>
      <c r="M71" s="183" t="s">
        <v>1880</v>
      </c>
      <c r="N71" s="183" t="s">
        <v>1880</v>
      </c>
      <c r="O71" s="440"/>
    </row>
    <row r="72" spans="1:15" s="182" customFormat="1" ht="21.75" customHeight="1" x14ac:dyDescent="0.15">
      <c r="A72" s="151" t="s">
        <v>4149</v>
      </c>
      <c r="B72" s="20" t="s">
        <v>167</v>
      </c>
      <c r="C72" s="184" t="s">
        <v>3346</v>
      </c>
      <c r="D72" s="184" t="s">
        <v>3637</v>
      </c>
      <c r="E72" s="184" t="s">
        <v>596</v>
      </c>
      <c r="F72" s="419" t="s">
        <v>3328</v>
      </c>
      <c r="G72" s="235" t="s">
        <v>3381</v>
      </c>
      <c r="H72" s="440">
        <v>19078</v>
      </c>
      <c r="I72" s="194">
        <v>0</v>
      </c>
      <c r="J72" s="194">
        <v>40000</v>
      </c>
      <c r="K72" s="185">
        <v>0.5</v>
      </c>
      <c r="L72" s="183" t="s">
        <v>285</v>
      </c>
      <c r="M72" s="183" t="s">
        <v>1880</v>
      </c>
      <c r="N72" s="183" t="s">
        <v>1880</v>
      </c>
      <c r="O72" s="440"/>
    </row>
    <row r="73" spans="1:15" s="182" customFormat="1" ht="21.75" customHeight="1" x14ac:dyDescent="0.15">
      <c r="A73" s="151" t="s">
        <v>4149</v>
      </c>
      <c r="B73" s="20" t="s">
        <v>1290</v>
      </c>
      <c r="C73" s="399" t="s">
        <v>3363</v>
      </c>
      <c r="D73" s="399" t="s">
        <v>3460</v>
      </c>
      <c r="E73" s="399" t="s">
        <v>3461</v>
      </c>
      <c r="F73" s="184" t="s">
        <v>3332</v>
      </c>
      <c r="G73" s="235" t="s">
        <v>3349</v>
      </c>
      <c r="H73" s="440">
        <v>19137</v>
      </c>
      <c r="I73" s="194">
        <v>0</v>
      </c>
      <c r="J73" s="194">
        <v>20000</v>
      </c>
      <c r="K73" s="185">
        <v>0.2</v>
      </c>
      <c r="L73" s="183" t="s">
        <v>285</v>
      </c>
      <c r="M73" s="183" t="s">
        <v>2660</v>
      </c>
      <c r="N73" s="183" t="s">
        <v>2660</v>
      </c>
      <c r="O73" s="440"/>
    </row>
    <row r="74" spans="1:15" s="182" customFormat="1" ht="21.75" customHeight="1" x14ac:dyDescent="0.15">
      <c r="A74" s="151" t="s">
        <v>4150</v>
      </c>
      <c r="B74" s="20" t="s">
        <v>4151</v>
      </c>
      <c r="C74" s="184" t="s">
        <v>4152</v>
      </c>
      <c r="D74" s="399" t="s">
        <v>4153</v>
      </c>
      <c r="E74" s="184" t="s">
        <v>4154</v>
      </c>
      <c r="F74" s="184" t="s">
        <v>3328</v>
      </c>
      <c r="G74" s="235" t="s">
        <v>3353</v>
      </c>
      <c r="H74" s="440">
        <v>17111</v>
      </c>
      <c r="I74" s="194">
        <v>0</v>
      </c>
      <c r="J74" s="194">
        <v>17384.61</v>
      </c>
      <c r="K74" s="185">
        <v>1</v>
      </c>
      <c r="L74" s="183" t="s">
        <v>2449</v>
      </c>
      <c r="M74" s="183" t="s">
        <v>170</v>
      </c>
      <c r="N74" s="183" t="s">
        <v>170</v>
      </c>
      <c r="O74" s="440"/>
    </row>
    <row r="75" spans="1:15" s="182" customFormat="1" ht="21.75" customHeight="1" x14ac:dyDescent="0.15">
      <c r="A75" s="151" t="s">
        <v>4150</v>
      </c>
      <c r="B75" s="20" t="s">
        <v>391</v>
      </c>
      <c r="C75" s="462" t="s">
        <v>3346</v>
      </c>
      <c r="D75" s="462" t="s">
        <v>4156</v>
      </c>
      <c r="E75" s="462" t="s">
        <v>952</v>
      </c>
      <c r="F75" s="184" t="s">
        <v>3328</v>
      </c>
      <c r="G75" s="235" t="s">
        <v>3349</v>
      </c>
      <c r="H75" s="440">
        <v>20029</v>
      </c>
      <c r="I75" s="194">
        <v>0</v>
      </c>
      <c r="J75" s="194">
        <v>47500</v>
      </c>
      <c r="K75" s="185">
        <v>0.5</v>
      </c>
      <c r="L75" s="183" t="s">
        <v>285</v>
      </c>
      <c r="M75" s="183" t="s">
        <v>155</v>
      </c>
      <c r="N75" s="183" t="s">
        <v>1880</v>
      </c>
      <c r="O75" s="440"/>
    </row>
    <row r="76" spans="1:15" s="182" customFormat="1" ht="21.75" customHeight="1" x14ac:dyDescent="0.15">
      <c r="A76" s="151" t="s">
        <v>4150</v>
      </c>
      <c r="B76" s="20" t="s">
        <v>55</v>
      </c>
      <c r="C76" s="462" t="s">
        <v>3346</v>
      </c>
      <c r="D76" s="462" t="s">
        <v>4156</v>
      </c>
      <c r="E76" s="462" t="s">
        <v>952</v>
      </c>
      <c r="F76" s="184" t="s">
        <v>3328</v>
      </c>
      <c r="G76" s="235" t="s">
        <v>3349</v>
      </c>
      <c r="H76" s="462">
        <v>20029</v>
      </c>
      <c r="I76" s="194">
        <v>0</v>
      </c>
      <c r="J76" s="194">
        <v>47500</v>
      </c>
      <c r="K76" s="185">
        <v>0.5</v>
      </c>
      <c r="L76" s="183" t="s">
        <v>285</v>
      </c>
      <c r="M76" s="183" t="s">
        <v>155</v>
      </c>
      <c r="N76" s="183" t="s">
        <v>1880</v>
      </c>
      <c r="O76" s="440"/>
    </row>
    <row r="77" spans="1:15" s="182" customFormat="1" ht="21.75" customHeight="1" x14ac:dyDescent="0.15">
      <c r="A77" s="151" t="s">
        <v>4150</v>
      </c>
      <c r="B77" s="20" t="s">
        <v>55</v>
      </c>
      <c r="C77" s="276" t="s">
        <v>4157</v>
      </c>
      <c r="D77" s="399" t="s">
        <v>4158</v>
      </c>
      <c r="E77" s="409" t="s">
        <v>4159</v>
      </c>
      <c r="F77" s="184" t="s">
        <v>3332</v>
      </c>
      <c r="G77" s="235" t="s">
        <v>4160</v>
      </c>
      <c r="H77" s="440">
        <v>16085</v>
      </c>
      <c r="I77" s="194">
        <v>0</v>
      </c>
      <c r="J77" s="194">
        <v>24610</v>
      </c>
      <c r="K77" s="185">
        <v>0.1</v>
      </c>
      <c r="L77" s="183" t="s">
        <v>1143</v>
      </c>
      <c r="M77" s="30" t="s">
        <v>165</v>
      </c>
      <c r="N77" s="183" t="s">
        <v>1880</v>
      </c>
      <c r="O77" s="440"/>
    </row>
    <row r="78" spans="1:15" s="182" customFormat="1" ht="21.75" customHeight="1" x14ac:dyDescent="0.15">
      <c r="A78" s="151" t="s">
        <v>4155</v>
      </c>
      <c r="B78" s="20" t="s">
        <v>2063</v>
      </c>
      <c r="C78" s="462" t="s">
        <v>3346</v>
      </c>
      <c r="D78" s="462" t="s">
        <v>3702</v>
      </c>
      <c r="E78" s="462" t="s">
        <v>3406</v>
      </c>
      <c r="F78" s="184" t="s">
        <v>3328</v>
      </c>
      <c r="G78" s="235" t="s">
        <v>4161</v>
      </c>
      <c r="H78" s="440">
        <v>20023</v>
      </c>
      <c r="I78" s="194">
        <v>0</v>
      </c>
      <c r="J78" s="194">
        <v>30000</v>
      </c>
      <c r="K78" s="185">
        <v>1</v>
      </c>
      <c r="L78" s="183" t="s">
        <v>1948</v>
      </c>
      <c r="M78" s="183" t="s">
        <v>1880</v>
      </c>
      <c r="N78" s="183" t="s">
        <v>1880</v>
      </c>
      <c r="O78" s="440"/>
    </row>
    <row r="79" spans="1:15" s="182" customFormat="1" ht="21.75" customHeight="1" x14ac:dyDescent="0.15">
      <c r="A79" s="151" t="s">
        <v>4155</v>
      </c>
      <c r="B79" s="20" t="s">
        <v>3653</v>
      </c>
      <c r="C79" s="462" t="s">
        <v>3598</v>
      </c>
      <c r="D79" s="462" t="s">
        <v>3326</v>
      </c>
      <c r="E79" s="462" t="s">
        <v>3654</v>
      </c>
      <c r="F79" s="184" t="s">
        <v>3328</v>
      </c>
      <c r="G79" s="235" t="s">
        <v>3386</v>
      </c>
      <c r="H79" s="178" t="s">
        <v>4162</v>
      </c>
      <c r="I79" s="194">
        <v>0</v>
      </c>
      <c r="J79" s="194">
        <v>3000</v>
      </c>
      <c r="K79" s="185">
        <v>1</v>
      </c>
      <c r="L79" s="183" t="s">
        <v>1948</v>
      </c>
      <c r="M79" s="183" t="s">
        <v>3388</v>
      </c>
      <c r="N79" s="183" t="s">
        <v>3388</v>
      </c>
      <c r="O79" s="440"/>
    </row>
    <row r="80" spans="1:15" s="182" customFormat="1" ht="21.75" customHeight="1" x14ac:dyDescent="0.15">
      <c r="A80" s="151" t="s">
        <v>4155</v>
      </c>
      <c r="B80" s="20" t="s">
        <v>3653</v>
      </c>
      <c r="C80" s="462" t="s">
        <v>3598</v>
      </c>
      <c r="D80" s="462" t="s">
        <v>3326</v>
      </c>
      <c r="E80" s="462" t="s">
        <v>3654</v>
      </c>
      <c r="F80" s="184" t="s">
        <v>3355</v>
      </c>
      <c r="G80" s="235" t="s">
        <v>4164</v>
      </c>
      <c r="H80" s="178" t="s">
        <v>4163</v>
      </c>
      <c r="I80" s="194">
        <v>0</v>
      </c>
      <c r="J80" s="194">
        <v>29000</v>
      </c>
      <c r="K80" s="185">
        <v>1</v>
      </c>
      <c r="L80" s="183" t="s">
        <v>1948</v>
      </c>
      <c r="M80" s="183" t="s">
        <v>3388</v>
      </c>
      <c r="N80" s="183" t="s">
        <v>3388</v>
      </c>
      <c r="O80" s="462"/>
    </row>
    <row r="81" spans="1:15" s="182" customFormat="1" ht="21.75" customHeight="1" x14ac:dyDescent="0.15">
      <c r="A81" s="151" t="s">
        <v>4165</v>
      </c>
      <c r="B81" s="20" t="s">
        <v>1318</v>
      </c>
      <c r="C81" s="224" t="s">
        <v>3346</v>
      </c>
      <c r="D81" s="224" t="s">
        <v>3439</v>
      </c>
      <c r="E81" s="394" t="s">
        <v>3774</v>
      </c>
      <c r="F81" s="224" t="s">
        <v>3328</v>
      </c>
      <c r="G81" s="239" t="s">
        <v>3566</v>
      </c>
      <c r="H81" s="440">
        <v>18088</v>
      </c>
      <c r="I81" s="194">
        <v>0</v>
      </c>
      <c r="J81" s="194">
        <v>100000</v>
      </c>
      <c r="K81" s="185" t="s">
        <v>3105</v>
      </c>
      <c r="L81" s="183" t="s">
        <v>285</v>
      </c>
      <c r="M81" s="183" t="s">
        <v>155</v>
      </c>
      <c r="N81" s="183" t="s">
        <v>1880</v>
      </c>
      <c r="O81" s="440"/>
    </row>
    <row r="82" spans="1:15" s="182" customFormat="1" ht="21.75" customHeight="1" x14ac:dyDescent="0.15">
      <c r="A82" s="151" t="s">
        <v>4165</v>
      </c>
      <c r="B82" s="20" t="s">
        <v>1318</v>
      </c>
      <c r="C82" s="224" t="s">
        <v>3346</v>
      </c>
      <c r="D82" s="224" t="s">
        <v>3439</v>
      </c>
      <c r="E82" s="180" t="s">
        <v>3774</v>
      </c>
      <c r="F82" s="224" t="s">
        <v>3355</v>
      </c>
      <c r="G82" s="235" t="s">
        <v>3941</v>
      </c>
      <c r="H82" s="440">
        <v>19182</v>
      </c>
      <c r="I82" s="194">
        <v>0</v>
      </c>
      <c r="J82" s="194">
        <v>84600</v>
      </c>
      <c r="K82" s="185">
        <v>0.9</v>
      </c>
      <c r="L82" s="183" t="s">
        <v>1147</v>
      </c>
      <c r="M82" s="183" t="s">
        <v>155</v>
      </c>
      <c r="N82" s="183" t="s">
        <v>1880</v>
      </c>
      <c r="O82" s="440"/>
    </row>
    <row r="83" spans="1:15" s="182" customFormat="1" ht="21.75" customHeight="1" x14ac:dyDescent="0.15">
      <c r="A83" s="151" t="s">
        <v>4166</v>
      </c>
      <c r="B83" s="20" t="s">
        <v>624</v>
      </c>
      <c r="C83" s="224" t="s">
        <v>3346</v>
      </c>
      <c r="D83" s="224" t="s">
        <v>3463</v>
      </c>
      <c r="E83" s="224" t="s">
        <v>3806</v>
      </c>
      <c r="F83" s="224" t="s">
        <v>3328</v>
      </c>
      <c r="G83" s="239" t="s">
        <v>3336</v>
      </c>
      <c r="H83" s="440">
        <v>19141</v>
      </c>
      <c r="I83" s="194">
        <v>0</v>
      </c>
      <c r="J83" s="194">
        <v>3000</v>
      </c>
      <c r="K83" s="185" t="s">
        <v>4148</v>
      </c>
      <c r="L83" s="183" t="s">
        <v>1948</v>
      </c>
      <c r="M83" s="183" t="s">
        <v>162</v>
      </c>
      <c r="N83" s="183" t="s">
        <v>1784</v>
      </c>
      <c r="O83" s="440"/>
    </row>
    <row r="84" spans="1:15" s="182" customFormat="1" ht="21.75" customHeight="1" x14ac:dyDescent="0.15">
      <c r="A84" s="151" t="s">
        <v>4166</v>
      </c>
      <c r="B84" s="20" t="s">
        <v>176</v>
      </c>
      <c r="C84" s="224" t="s">
        <v>3414</v>
      </c>
      <c r="D84" s="224" t="s">
        <v>3347</v>
      </c>
      <c r="E84" s="234" t="s">
        <v>4167</v>
      </c>
      <c r="F84" s="403" t="s">
        <v>3328</v>
      </c>
      <c r="G84" s="239" t="s">
        <v>3353</v>
      </c>
      <c r="H84" s="440">
        <v>18109</v>
      </c>
      <c r="I84" s="194">
        <v>0</v>
      </c>
      <c r="J84" s="194">
        <v>27989.24</v>
      </c>
      <c r="K84" s="185">
        <v>0.9</v>
      </c>
      <c r="L84" s="183" t="s">
        <v>1172</v>
      </c>
      <c r="M84" s="179" t="s">
        <v>170</v>
      </c>
      <c r="N84" s="183" t="s">
        <v>170</v>
      </c>
      <c r="O84" s="440"/>
    </row>
    <row r="85" spans="1:15" s="182" customFormat="1" ht="21.75" customHeight="1" x14ac:dyDescent="0.15">
      <c r="A85" s="151" t="s">
        <v>4166</v>
      </c>
      <c r="B85" s="20" t="s">
        <v>1973</v>
      </c>
      <c r="C85" s="184" t="s">
        <v>3337</v>
      </c>
      <c r="D85" s="184" t="s">
        <v>3347</v>
      </c>
      <c r="E85" s="184" t="s">
        <v>3297</v>
      </c>
      <c r="F85" s="267" t="s">
        <v>3328</v>
      </c>
      <c r="G85" s="239" t="s">
        <v>3349</v>
      </c>
      <c r="H85" s="440">
        <v>19185</v>
      </c>
      <c r="I85" s="194">
        <v>0</v>
      </c>
      <c r="J85" s="194">
        <v>80000</v>
      </c>
      <c r="K85" s="185">
        <v>1</v>
      </c>
      <c r="L85" s="183" t="s">
        <v>285</v>
      </c>
      <c r="M85" s="183" t="s">
        <v>190</v>
      </c>
      <c r="N85" s="183" t="s">
        <v>190</v>
      </c>
      <c r="O85" s="440"/>
    </row>
    <row r="86" spans="1:15" s="182" customFormat="1" ht="21.75" customHeight="1" x14ac:dyDescent="0.15">
      <c r="A86" s="163" t="s">
        <v>4168</v>
      </c>
      <c r="B86" s="20" t="s">
        <v>4169</v>
      </c>
      <c r="C86" s="463" t="s">
        <v>3363</v>
      </c>
      <c r="D86" s="463" t="s">
        <v>3457</v>
      </c>
      <c r="E86" s="463" t="s">
        <v>3458</v>
      </c>
      <c r="F86" s="184" t="s">
        <v>3328</v>
      </c>
      <c r="G86" s="235" t="s">
        <v>3353</v>
      </c>
      <c r="H86" s="440">
        <v>20024</v>
      </c>
      <c r="I86" s="194">
        <v>0</v>
      </c>
      <c r="J86" s="200">
        <v>16000</v>
      </c>
      <c r="K86" s="185">
        <v>1</v>
      </c>
      <c r="L86" s="183" t="s">
        <v>1948</v>
      </c>
      <c r="M86" s="183" t="s">
        <v>2660</v>
      </c>
      <c r="N86" s="183" t="s">
        <v>2660</v>
      </c>
      <c r="O86" s="440"/>
    </row>
    <row r="87" spans="1:15" s="182" customFormat="1" ht="21.75" customHeight="1" x14ac:dyDescent="0.15">
      <c r="A87" s="163" t="s">
        <v>4172</v>
      </c>
      <c r="B87" s="20" t="s">
        <v>4174</v>
      </c>
      <c r="C87" s="465" t="s">
        <v>3364</v>
      </c>
      <c r="D87" s="180" t="s">
        <v>3717</v>
      </c>
      <c r="E87" s="30" t="s">
        <v>3718</v>
      </c>
      <c r="F87" s="276" t="s">
        <v>3328</v>
      </c>
      <c r="G87" s="277" t="s">
        <v>3611</v>
      </c>
      <c r="H87" s="465">
        <v>19086</v>
      </c>
      <c r="I87" s="194">
        <v>0</v>
      </c>
      <c r="J87" s="200">
        <v>286911</v>
      </c>
      <c r="K87" s="185">
        <v>0.9</v>
      </c>
      <c r="L87" s="183" t="s">
        <v>2910</v>
      </c>
      <c r="M87" s="183" t="s">
        <v>1784</v>
      </c>
      <c r="N87" s="183" t="s">
        <v>1784</v>
      </c>
      <c r="O87" s="464"/>
    </row>
    <row r="88" spans="1:15" s="182" customFormat="1" ht="21.75" customHeight="1" x14ac:dyDescent="0.15">
      <c r="A88" s="151" t="s">
        <v>4170</v>
      </c>
      <c r="B88" s="20" t="s">
        <v>1290</v>
      </c>
      <c r="C88" s="399" t="s">
        <v>3363</v>
      </c>
      <c r="D88" s="399" t="s">
        <v>3460</v>
      </c>
      <c r="E88" s="399" t="s">
        <v>3461</v>
      </c>
      <c r="F88" s="184" t="s">
        <v>3332</v>
      </c>
      <c r="G88" s="235" t="s">
        <v>3349</v>
      </c>
      <c r="H88" s="440">
        <v>19137</v>
      </c>
      <c r="I88" s="194">
        <v>0</v>
      </c>
      <c r="J88" s="194">
        <v>22500</v>
      </c>
      <c r="K88" s="222">
        <v>0.22500000000000001</v>
      </c>
      <c r="L88" s="183" t="s">
        <v>285</v>
      </c>
      <c r="M88" s="183" t="s">
        <v>2660</v>
      </c>
      <c r="N88" s="183" t="s">
        <v>2660</v>
      </c>
      <c r="O88" s="440"/>
    </row>
    <row r="89" spans="1:15" s="182" customFormat="1" ht="21.75" customHeight="1" x14ac:dyDescent="0.15">
      <c r="A89" s="151" t="s">
        <v>4171</v>
      </c>
      <c r="B89" s="20" t="s">
        <v>4175</v>
      </c>
      <c r="C89" s="466" t="s">
        <v>3337</v>
      </c>
      <c r="D89" s="466" t="s">
        <v>4176</v>
      </c>
      <c r="E89" s="466" t="s">
        <v>4177</v>
      </c>
      <c r="F89" s="184" t="s">
        <v>3328</v>
      </c>
      <c r="G89" s="235" t="s">
        <v>3378</v>
      </c>
      <c r="H89" s="440" t="s">
        <v>4180</v>
      </c>
      <c r="I89" s="194">
        <v>0</v>
      </c>
      <c r="J89" s="194">
        <v>90000</v>
      </c>
      <c r="K89" s="185">
        <v>0.2</v>
      </c>
      <c r="L89" s="183" t="s">
        <v>1162</v>
      </c>
      <c r="M89" s="183" t="s">
        <v>190</v>
      </c>
      <c r="N89" s="183" t="s">
        <v>190</v>
      </c>
      <c r="O89" s="440"/>
    </row>
    <row r="90" spans="1:15" s="182" customFormat="1" ht="21.75" customHeight="1" x14ac:dyDescent="0.15">
      <c r="A90" s="151" t="s">
        <v>4171</v>
      </c>
      <c r="B90" s="20" t="s">
        <v>4175</v>
      </c>
      <c r="C90" s="466" t="s">
        <v>3337</v>
      </c>
      <c r="D90" s="466" t="s">
        <v>4176</v>
      </c>
      <c r="E90" s="466" t="s">
        <v>4177</v>
      </c>
      <c r="F90" s="184" t="s">
        <v>4178</v>
      </c>
      <c r="G90" s="235" t="s">
        <v>4179</v>
      </c>
      <c r="H90" s="466" t="s">
        <v>4181</v>
      </c>
      <c r="I90" s="194">
        <v>0</v>
      </c>
      <c r="J90" s="194">
        <v>29600</v>
      </c>
      <c r="K90" s="185">
        <v>0.2</v>
      </c>
      <c r="L90" s="183" t="s">
        <v>1162</v>
      </c>
      <c r="M90" s="183" t="s">
        <v>190</v>
      </c>
      <c r="N90" s="183" t="s">
        <v>190</v>
      </c>
      <c r="O90" s="466"/>
    </row>
    <row r="91" spans="1:15" s="182" customFormat="1" ht="21.75" customHeight="1" x14ac:dyDescent="0.15">
      <c r="A91" s="151" t="s">
        <v>4182</v>
      </c>
      <c r="B91" s="20" t="s">
        <v>409</v>
      </c>
      <c r="C91" s="184" t="s">
        <v>3363</v>
      </c>
      <c r="D91" s="184" t="s">
        <v>3457</v>
      </c>
      <c r="E91" s="184" t="s">
        <v>3458</v>
      </c>
      <c r="F91" s="403" t="s">
        <v>3328</v>
      </c>
      <c r="G91" s="235" t="s">
        <v>3353</v>
      </c>
      <c r="H91" s="440">
        <v>19063</v>
      </c>
      <c r="I91" s="194">
        <v>0</v>
      </c>
      <c r="J91" s="194">
        <v>5500</v>
      </c>
      <c r="K91" s="185">
        <v>1</v>
      </c>
      <c r="L91" s="183" t="s">
        <v>1948</v>
      </c>
      <c r="M91" s="183" t="s">
        <v>2660</v>
      </c>
      <c r="N91" s="183" t="s">
        <v>2660</v>
      </c>
      <c r="O91" s="440"/>
    </row>
    <row r="92" spans="1:15" s="182" customFormat="1" ht="21.75" customHeight="1" x14ac:dyDescent="0.15">
      <c r="A92" s="151" t="s">
        <v>4183</v>
      </c>
      <c r="B92" s="20" t="s">
        <v>3527</v>
      </c>
      <c r="C92" s="399" t="s">
        <v>3351</v>
      </c>
      <c r="D92" s="391" t="s">
        <v>3354</v>
      </c>
      <c r="E92" s="399" t="s">
        <v>3635</v>
      </c>
      <c r="F92" s="184" t="s">
        <v>3328</v>
      </c>
      <c r="G92" s="235" t="s">
        <v>3341</v>
      </c>
      <c r="H92" s="440">
        <v>19011</v>
      </c>
      <c r="I92" s="194">
        <v>0</v>
      </c>
      <c r="J92" s="194">
        <v>75000</v>
      </c>
      <c r="K92" s="185">
        <v>0.25</v>
      </c>
      <c r="L92" s="183" t="s">
        <v>285</v>
      </c>
      <c r="M92" s="183" t="s">
        <v>158</v>
      </c>
      <c r="N92" s="183" t="s">
        <v>158</v>
      </c>
      <c r="O92" s="440"/>
    </row>
    <row r="93" spans="1:15" s="182" customFormat="1" ht="21.75" customHeight="1" x14ac:dyDescent="0.15">
      <c r="A93" s="151" t="s">
        <v>4184</v>
      </c>
      <c r="B93" s="20" t="s">
        <v>4185</v>
      </c>
      <c r="C93" s="477" t="s">
        <v>4186</v>
      </c>
      <c r="D93" s="477" t="s">
        <v>4187</v>
      </c>
      <c r="E93" s="478" t="s">
        <v>4188</v>
      </c>
      <c r="F93" s="477" t="s">
        <v>4189</v>
      </c>
      <c r="G93" s="479" t="s">
        <v>4190</v>
      </c>
      <c r="H93" s="440">
        <v>19106</v>
      </c>
      <c r="I93" s="194">
        <v>0</v>
      </c>
      <c r="J93" s="194">
        <v>20000</v>
      </c>
      <c r="K93" s="185" t="s">
        <v>4191</v>
      </c>
      <c r="L93" s="183" t="s">
        <v>1172</v>
      </c>
      <c r="M93" s="179" t="s">
        <v>162</v>
      </c>
      <c r="N93" s="183" t="s">
        <v>2660</v>
      </c>
      <c r="O93" s="440"/>
    </row>
    <row r="94" spans="1:15" s="182" customFormat="1" ht="21.75" customHeight="1" x14ac:dyDescent="0.15">
      <c r="A94" s="151" t="s">
        <v>4192</v>
      </c>
      <c r="B94" s="20" t="s">
        <v>2019</v>
      </c>
      <c r="C94" s="224" t="s">
        <v>3346</v>
      </c>
      <c r="D94" s="224" t="s">
        <v>3439</v>
      </c>
      <c r="E94" s="224" t="s">
        <v>4194</v>
      </c>
      <c r="F94" s="224" t="s">
        <v>3340</v>
      </c>
      <c r="G94" s="239" t="s">
        <v>3566</v>
      </c>
      <c r="H94" s="440">
        <v>18152</v>
      </c>
      <c r="I94" s="194">
        <v>0</v>
      </c>
      <c r="J94" s="194">
        <v>100000</v>
      </c>
      <c r="K94" s="185" t="s">
        <v>3105</v>
      </c>
      <c r="L94" s="183" t="s">
        <v>285</v>
      </c>
      <c r="M94" s="183" t="s">
        <v>155</v>
      </c>
      <c r="N94" s="183" t="s">
        <v>1880</v>
      </c>
      <c r="O94" s="440"/>
    </row>
    <row r="95" spans="1:15" s="182" customFormat="1" ht="21.75" customHeight="1" x14ac:dyDescent="0.15">
      <c r="A95" s="151" t="s">
        <v>4192</v>
      </c>
      <c r="B95" s="20" t="s">
        <v>4193</v>
      </c>
      <c r="C95" s="224" t="s">
        <v>3346</v>
      </c>
      <c r="D95" s="224" t="s">
        <v>3439</v>
      </c>
      <c r="E95" s="224" t="s">
        <v>3843</v>
      </c>
      <c r="F95" s="224" t="s">
        <v>3340</v>
      </c>
      <c r="G95" s="239" t="s">
        <v>3566</v>
      </c>
      <c r="H95" s="440">
        <v>18153</v>
      </c>
      <c r="I95" s="194">
        <v>0</v>
      </c>
      <c r="J95" s="194">
        <v>100000</v>
      </c>
      <c r="K95" s="185" t="s">
        <v>3105</v>
      </c>
      <c r="L95" s="183" t="s">
        <v>285</v>
      </c>
      <c r="M95" s="183" t="s">
        <v>155</v>
      </c>
      <c r="N95" s="183" t="s">
        <v>1880</v>
      </c>
      <c r="O95" s="440"/>
    </row>
    <row r="96" spans="1:15" s="182" customFormat="1" ht="21.75" customHeight="1" x14ac:dyDescent="0.15">
      <c r="A96" s="151" t="s">
        <v>4192</v>
      </c>
      <c r="B96" s="20" t="s">
        <v>1986</v>
      </c>
      <c r="C96" s="184" t="s">
        <v>3346</v>
      </c>
      <c r="D96" s="184" t="s">
        <v>3439</v>
      </c>
      <c r="E96" s="184" t="s">
        <v>3843</v>
      </c>
      <c r="F96" s="224" t="s">
        <v>3355</v>
      </c>
      <c r="G96" s="235" t="s">
        <v>4195</v>
      </c>
      <c r="H96" s="440">
        <v>19180</v>
      </c>
      <c r="I96" s="194">
        <v>0</v>
      </c>
      <c r="J96" s="194">
        <v>84600</v>
      </c>
      <c r="K96" s="185">
        <v>0.9</v>
      </c>
      <c r="L96" s="183" t="s">
        <v>1147</v>
      </c>
      <c r="M96" s="183" t="s">
        <v>155</v>
      </c>
      <c r="N96" s="183" t="s">
        <v>1880</v>
      </c>
      <c r="O96" s="440"/>
    </row>
    <row r="97" spans="1:15" s="182" customFormat="1" ht="21.75" customHeight="1" x14ac:dyDescent="0.15">
      <c r="A97" s="151" t="s">
        <v>4196</v>
      </c>
      <c r="B97" s="20" t="s">
        <v>1977</v>
      </c>
      <c r="C97" s="399" t="s">
        <v>4197</v>
      </c>
      <c r="D97" s="399" t="s">
        <v>4198</v>
      </c>
      <c r="E97" s="403" t="s">
        <v>4199</v>
      </c>
      <c r="F97" s="403" t="s">
        <v>3355</v>
      </c>
      <c r="G97" s="423" t="s">
        <v>3356</v>
      </c>
      <c r="H97" s="440">
        <v>17007</v>
      </c>
      <c r="I97" s="194">
        <v>0</v>
      </c>
      <c r="J97" s="194">
        <v>24500</v>
      </c>
      <c r="K97" s="185">
        <v>0.1</v>
      </c>
      <c r="L97" s="183" t="s">
        <v>1143</v>
      </c>
      <c r="M97" s="183" t="s">
        <v>155</v>
      </c>
      <c r="N97" s="183" t="s">
        <v>1880</v>
      </c>
      <c r="O97" s="440"/>
    </row>
    <row r="98" spans="1:15" s="182" customFormat="1" ht="21.75" customHeight="1" x14ac:dyDescent="0.15">
      <c r="A98" s="151" t="s">
        <v>4200</v>
      </c>
      <c r="B98" s="20" t="s">
        <v>3480</v>
      </c>
      <c r="C98" s="453" t="s">
        <v>3346</v>
      </c>
      <c r="D98" s="453" t="s">
        <v>3481</v>
      </c>
      <c r="E98" s="428" t="s">
        <v>3482</v>
      </c>
      <c r="F98" s="206" t="s">
        <v>3483</v>
      </c>
      <c r="G98" s="243" t="s">
        <v>3483</v>
      </c>
      <c r="H98" s="440">
        <v>18031</v>
      </c>
      <c r="I98" s="194">
        <v>0</v>
      </c>
      <c r="J98" s="194">
        <v>15000</v>
      </c>
      <c r="K98" s="185" t="s">
        <v>4202</v>
      </c>
      <c r="L98" s="183" t="s">
        <v>1948</v>
      </c>
      <c r="M98" s="183" t="s">
        <v>1880</v>
      </c>
      <c r="N98" s="183" t="s">
        <v>1880</v>
      </c>
      <c r="O98" s="440"/>
    </row>
    <row r="99" spans="1:15" s="182" customFormat="1" ht="21.75" customHeight="1" x14ac:dyDescent="0.15">
      <c r="A99" s="151" t="s">
        <v>4201</v>
      </c>
      <c r="B99" s="20" t="s">
        <v>455</v>
      </c>
      <c r="C99" s="184" t="s">
        <v>3346</v>
      </c>
      <c r="D99" s="184" t="s">
        <v>3439</v>
      </c>
      <c r="E99" s="184" t="s">
        <v>4203</v>
      </c>
      <c r="F99" s="224" t="s">
        <v>3355</v>
      </c>
      <c r="G99" s="235" t="s">
        <v>3941</v>
      </c>
      <c r="H99" s="440">
        <v>19179</v>
      </c>
      <c r="I99" s="194">
        <v>0</v>
      </c>
      <c r="J99" s="194">
        <v>84600</v>
      </c>
      <c r="K99" s="185">
        <v>0.9</v>
      </c>
      <c r="L99" s="183" t="s">
        <v>1147</v>
      </c>
      <c r="M99" s="183" t="s">
        <v>155</v>
      </c>
      <c r="N99" s="183" t="s">
        <v>1880</v>
      </c>
      <c r="O99" s="440"/>
    </row>
    <row r="100" spans="1:15" s="182" customFormat="1" ht="21.75" customHeight="1" x14ac:dyDescent="0.15">
      <c r="A100" s="151" t="s">
        <v>4201</v>
      </c>
      <c r="B100" s="20" t="s">
        <v>4204</v>
      </c>
      <c r="C100" s="399" t="s">
        <v>3346</v>
      </c>
      <c r="D100" s="391" t="s">
        <v>3481</v>
      </c>
      <c r="E100" s="394" t="s">
        <v>4205</v>
      </c>
      <c r="F100" s="403" t="s">
        <v>4206</v>
      </c>
      <c r="G100" s="235" t="s">
        <v>3349</v>
      </c>
      <c r="H100" s="440">
        <v>19018</v>
      </c>
      <c r="I100" s="194">
        <v>0</v>
      </c>
      <c r="J100" s="194">
        <v>95000</v>
      </c>
      <c r="K100" s="185">
        <v>1</v>
      </c>
      <c r="L100" s="183" t="s">
        <v>285</v>
      </c>
      <c r="M100" s="183" t="s">
        <v>1880</v>
      </c>
      <c r="N100" s="183" t="s">
        <v>1880</v>
      </c>
      <c r="O100" s="440"/>
    </row>
    <row r="101" spans="1:15" s="182" customFormat="1" ht="21.75" customHeight="1" x14ac:dyDescent="0.15">
      <c r="A101" s="151" t="s">
        <v>4201</v>
      </c>
      <c r="B101" s="20" t="s">
        <v>1394</v>
      </c>
      <c r="C101" s="224" t="s">
        <v>3351</v>
      </c>
      <c r="D101" s="224" t="s">
        <v>3352</v>
      </c>
      <c r="E101" s="234" t="s">
        <v>3644</v>
      </c>
      <c r="F101" s="224" t="s">
        <v>3328</v>
      </c>
      <c r="G101" s="239" t="s">
        <v>4207</v>
      </c>
      <c r="H101" s="440">
        <v>18198</v>
      </c>
      <c r="I101" s="194">
        <v>0</v>
      </c>
      <c r="J101" s="194">
        <v>12926.81</v>
      </c>
      <c r="K101" s="185">
        <v>0.05</v>
      </c>
      <c r="L101" s="183" t="s">
        <v>1143</v>
      </c>
      <c r="M101" s="183" t="s">
        <v>158</v>
      </c>
      <c r="N101" s="183" t="s">
        <v>158</v>
      </c>
      <c r="O101" s="440"/>
    </row>
    <row r="102" spans="1:15" s="182" customFormat="1" ht="21.75" customHeight="1" x14ac:dyDescent="0.15">
      <c r="A102" s="151" t="s">
        <v>4208</v>
      </c>
      <c r="B102" s="20" t="s">
        <v>391</v>
      </c>
      <c r="C102" s="276" t="s">
        <v>4210</v>
      </c>
      <c r="D102" s="399" t="s">
        <v>4211</v>
      </c>
      <c r="E102" s="409" t="s">
        <v>4212</v>
      </c>
      <c r="F102" s="184" t="s">
        <v>4213</v>
      </c>
      <c r="G102" s="235" t="s">
        <v>4214</v>
      </c>
      <c r="H102" s="440">
        <v>16084</v>
      </c>
      <c r="I102" s="194">
        <v>0</v>
      </c>
      <c r="J102" s="194">
        <v>160760</v>
      </c>
      <c r="K102" s="185">
        <v>0.4</v>
      </c>
      <c r="L102" s="183" t="s">
        <v>2463</v>
      </c>
      <c r="M102" s="183" t="s">
        <v>165</v>
      </c>
      <c r="N102" s="183" t="s">
        <v>1880</v>
      </c>
      <c r="O102" s="440"/>
    </row>
    <row r="103" spans="1:15" s="182" customFormat="1" ht="21.75" customHeight="1" x14ac:dyDescent="0.15">
      <c r="A103" s="151" t="s">
        <v>4209</v>
      </c>
      <c r="B103" s="20" t="s">
        <v>3653</v>
      </c>
      <c r="C103" s="184" t="s">
        <v>3598</v>
      </c>
      <c r="D103" s="184" t="s">
        <v>3326</v>
      </c>
      <c r="E103" s="184" t="s">
        <v>3654</v>
      </c>
      <c r="F103" s="207" t="s">
        <v>3328</v>
      </c>
      <c r="G103" s="235" t="s">
        <v>3381</v>
      </c>
      <c r="H103" s="440" t="s">
        <v>4215</v>
      </c>
      <c r="I103" s="194">
        <v>0</v>
      </c>
      <c r="J103" s="194">
        <v>115000</v>
      </c>
      <c r="K103" s="185">
        <v>1</v>
      </c>
      <c r="L103" s="183" t="s">
        <v>285</v>
      </c>
      <c r="M103" s="183" t="s">
        <v>3388</v>
      </c>
      <c r="N103" s="183" t="s">
        <v>3388</v>
      </c>
      <c r="O103" s="440"/>
    </row>
    <row r="104" spans="1:15" s="182" customFormat="1" ht="21.75" customHeight="1" x14ac:dyDescent="0.15">
      <c r="A104" s="151" t="s">
        <v>4209</v>
      </c>
      <c r="B104" s="20" t="s">
        <v>184</v>
      </c>
      <c r="C104" s="184" t="s">
        <v>3325</v>
      </c>
      <c r="D104" s="184" t="s">
        <v>3439</v>
      </c>
      <c r="E104" s="184" t="s">
        <v>3739</v>
      </c>
      <c r="F104" s="184" t="s">
        <v>3457</v>
      </c>
      <c r="G104" s="235" t="s">
        <v>4218</v>
      </c>
      <c r="H104" s="440">
        <v>20051</v>
      </c>
      <c r="I104" s="194">
        <v>0</v>
      </c>
      <c r="J104" s="194">
        <v>8000</v>
      </c>
      <c r="K104" s="185">
        <v>1</v>
      </c>
      <c r="L104" s="183" t="s">
        <v>1948</v>
      </c>
      <c r="M104" s="183" t="s">
        <v>2660</v>
      </c>
      <c r="N104" s="183" t="s">
        <v>2660</v>
      </c>
      <c r="O104" s="440"/>
    </row>
    <row r="105" spans="1:15" s="182" customFormat="1" ht="21.75" customHeight="1" x14ac:dyDescent="0.15">
      <c r="A105" s="151" t="s">
        <v>4216</v>
      </c>
      <c r="B105" s="20" t="s">
        <v>455</v>
      </c>
      <c r="C105" s="224" t="s">
        <v>3346</v>
      </c>
      <c r="D105" s="224" t="s">
        <v>3439</v>
      </c>
      <c r="E105" s="394" t="s">
        <v>4203</v>
      </c>
      <c r="F105" s="224" t="s">
        <v>3328</v>
      </c>
      <c r="G105" s="239" t="s">
        <v>3566</v>
      </c>
      <c r="H105" s="440">
        <v>18087</v>
      </c>
      <c r="I105" s="194">
        <v>0</v>
      </c>
      <c r="J105" s="194">
        <v>100000</v>
      </c>
      <c r="K105" s="185" t="s">
        <v>3105</v>
      </c>
      <c r="L105" s="183" t="s">
        <v>285</v>
      </c>
      <c r="M105" s="183" t="s">
        <v>155</v>
      </c>
      <c r="N105" s="183" t="s">
        <v>1880</v>
      </c>
      <c r="O105" s="440"/>
    </row>
    <row r="106" spans="1:15" s="182" customFormat="1" ht="21.75" customHeight="1" x14ac:dyDescent="0.15">
      <c r="A106" s="151" t="s">
        <v>4216</v>
      </c>
      <c r="B106" s="20" t="s">
        <v>2674</v>
      </c>
      <c r="C106" s="224" t="s">
        <v>3346</v>
      </c>
      <c r="D106" s="224" t="s">
        <v>3439</v>
      </c>
      <c r="E106" s="394" t="s">
        <v>4203</v>
      </c>
      <c r="F106" s="224" t="s">
        <v>3328</v>
      </c>
      <c r="G106" s="239" t="s">
        <v>3566</v>
      </c>
      <c r="H106" s="440">
        <v>18087</v>
      </c>
      <c r="I106" s="194">
        <v>0</v>
      </c>
      <c r="J106" s="194">
        <v>100000</v>
      </c>
      <c r="K106" s="185" t="s">
        <v>3105</v>
      </c>
      <c r="L106" s="183" t="s">
        <v>285</v>
      </c>
      <c r="M106" s="183" t="s">
        <v>155</v>
      </c>
      <c r="N106" s="183" t="s">
        <v>1880</v>
      </c>
      <c r="O106" s="440"/>
    </row>
    <row r="107" spans="1:15" s="182" customFormat="1" ht="21.75" customHeight="1" x14ac:dyDescent="0.15">
      <c r="A107" s="151" t="s">
        <v>4217</v>
      </c>
      <c r="B107" s="20" t="s">
        <v>1653</v>
      </c>
      <c r="C107" s="480" t="s">
        <v>3346</v>
      </c>
      <c r="D107" s="480" t="s">
        <v>3463</v>
      </c>
      <c r="E107" s="480" t="s">
        <v>3800</v>
      </c>
      <c r="F107" s="184" t="s">
        <v>3328</v>
      </c>
      <c r="G107" s="235" t="s">
        <v>3336</v>
      </c>
      <c r="H107" s="440">
        <v>20030</v>
      </c>
      <c r="I107" s="194">
        <v>0</v>
      </c>
      <c r="J107" s="194">
        <v>4000</v>
      </c>
      <c r="K107" s="185">
        <v>1</v>
      </c>
      <c r="L107" s="183" t="s">
        <v>1948</v>
      </c>
      <c r="M107" s="183" t="s">
        <v>162</v>
      </c>
      <c r="N107" s="183" t="s">
        <v>1784</v>
      </c>
      <c r="O107" s="440"/>
    </row>
    <row r="108" spans="1:15" s="182" customFormat="1" ht="21.75" customHeight="1" x14ac:dyDescent="0.15">
      <c r="A108" s="151" t="s">
        <v>4219</v>
      </c>
      <c r="B108" s="20" t="s">
        <v>331</v>
      </c>
      <c r="C108" s="481" t="s">
        <v>3346</v>
      </c>
      <c r="D108" s="236" t="s">
        <v>3354</v>
      </c>
      <c r="E108" s="30" t="s">
        <v>846</v>
      </c>
      <c r="F108" s="184" t="s">
        <v>3328</v>
      </c>
      <c r="G108" s="235" t="s">
        <v>3349</v>
      </c>
      <c r="H108" s="413">
        <v>20020</v>
      </c>
      <c r="I108" s="194">
        <v>0</v>
      </c>
      <c r="J108" s="194">
        <v>75000</v>
      </c>
      <c r="K108" s="185">
        <v>0.5</v>
      </c>
      <c r="L108" s="183" t="s">
        <v>285</v>
      </c>
      <c r="M108" s="183" t="s">
        <v>162</v>
      </c>
      <c r="N108" s="183" t="s">
        <v>1784</v>
      </c>
      <c r="O108" s="440"/>
    </row>
    <row r="109" spans="1:15" s="182" customFormat="1" ht="21.75" customHeight="1" x14ac:dyDescent="0.15">
      <c r="A109" s="151" t="s">
        <v>4219</v>
      </c>
      <c r="B109" s="20" t="s">
        <v>4220</v>
      </c>
      <c r="C109" s="481" t="s">
        <v>3346</v>
      </c>
      <c r="D109" s="236" t="s">
        <v>3354</v>
      </c>
      <c r="E109" s="30" t="s">
        <v>844</v>
      </c>
      <c r="F109" s="184" t="s">
        <v>3328</v>
      </c>
      <c r="G109" s="235" t="s">
        <v>3349</v>
      </c>
      <c r="H109" s="178">
        <v>20019</v>
      </c>
      <c r="I109" s="194">
        <v>0</v>
      </c>
      <c r="J109" s="194">
        <v>75000</v>
      </c>
      <c r="K109" s="185">
        <v>0.5</v>
      </c>
      <c r="L109" s="183" t="s">
        <v>285</v>
      </c>
      <c r="M109" s="183" t="s">
        <v>162</v>
      </c>
      <c r="N109" s="183" t="s">
        <v>1784</v>
      </c>
      <c r="O109" s="440"/>
    </row>
    <row r="110" spans="1:15" s="182" customFormat="1" ht="21.75" customHeight="1" x14ac:dyDescent="0.15">
      <c r="A110" s="151" t="s">
        <v>4219</v>
      </c>
      <c r="B110" s="20" t="s">
        <v>1313</v>
      </c>
      <c r="C110" s="481" t="s">
        <v>3346</v>
      </c>
      <c r="D110" s="236" t="s">
        <v>3354</v>
      </c>
      <c r="E110" s="30" t="s">
        <v>3562</v>
      </c>
      <c r="F110" s="184" t="s">
        <v>3328</v>
      </c>
      <c r="G110" s="235" t="s">
        <v>3349</v>
      </c>
      <c r="H110" s="440">
        <v>20017</v>
      </c>
      <c r="I110" s="194">
        <v>0</v>
      </c>
      <c r="J110" s="194">
        <v>75000</v>
      </c>
      <c r="K110" s="185">
        <v>0.5</v>
      </c>
      <c r="L110" s="183" t="s">
        <v>285</v>
      </c>
      <c r="M110" s="183" t="s">
        <v>162</v>
      </c>
      <c r="N110" s="183" t="s">
        <v>1784</v>
      </c>
      <c r="O110" s="440"/>
    </row>
    <row r="111" spans="1:15" s="182" customFormat="1" ht="21.75" customHeight="1" x14ac:dyDescent="0.15">
      <c r="A111" s="151" t="s">
        <v>4219</v>
      </c>
      <c r="B111" s="20" t="s">
        <v>3727</v>
      </c>
      <c r="C111" s="481" t="s">
        <v>3346</v>
      </c>
      <c r="D111" s="236" t="s">
        <v>3354</v>
      </c>
      <c r="E111" s="30" t="s">
        <v>845</v>
      </c>
      <c r="F111" s="184" t="s">
        <v>3328</v>
      </c>
      <c r="G111" s="235" t="s">
        <v>3349</v>
      </c>
      <c r="H111" s="440">
        <v>20018</v>
      </c>
      <c r="I111" s="194">
        <v>0</v>
      </c>
      <c r="J111" s="194">
        <v>75000</v>
      </c>
      <c r="K111" s="185">
        <v>0.5</v>
      </c>
      <c r="L111" s="183" t="s">
        <v>285</v>
      </c>
      <c r="M111" s="183" t="s">
        <v>162</v>
      </c>
      <c r="N111" s="183" t="s">
        <v>1784</v>
      </c>
      <c r="O111" s="440"/>
    </row>
    <row r="112" spans="1:15" s="182" customFormat="1" ht="21.75" customHeight="1" x14ac:dyDescent="0.15">
      <c r="A112" s="151" t="s">
        <v>4219</v>
      </c>
      <c r="B112" s="20" t="s">
        <v>3</v>
      </c>
      <c r="C112" s="481" t="s">
        <v>3346</v>
      </c>
      <c r="D112" s="236" t="s">
        <v>3354</v>
      </c>
      <c r="E112" s="30" t="s">
        <v>921</v>
      </c>
      <c r="F112" s="184" t="s">
        <v>3328</v>
      </c>
      <c r="G112" s="235" t="s">
        <v>3349</v>
      </c>
      <c r="H112" s="440">
        <v>20015</v>
      </c>
      <c r="I112" s="194">
        <v>0</v>
      </c>
      <c r="J112" s="194">
        <v>75000</v>
      </c>
      <c r="K112" s="185">
        <v>0.5</v>
      </c>
      <c r="L112" s="183" t="s">
        <v>285</v>
      </c>
      <c r="M112" s="183" t="s">
        <v>162</v>
      </c>
      <c r="N112" s="183" t="s">
        <v>1784</v>
      </c>
      <c r="O112" s="440"/>
    </row>
    <row r="113" spans="1:15" s="182" customFormat="1" ht="21.75" customHeight="1" x14ac:dyDescent="0.15">
      <c r="A113" s="151" t="s">
        <v>4219</v>
      </c>
      <c r="B113" s="20" t="s">
        <v>3</v>
      </c>
      <c r="C113" s="481" t="s">
        <v>3346</v>
      </c>
      <c r="D113" s="236" t="s">
        <v>3354</v>
      </c>
      <c r="E113" s="30" t="s">
        <v>925</v>
      </c>
      <c r="F113" s="184" t="s">
        <v>3328</v>
      </c>
      <c r="G113" s="235" t="s">
        <v>3349</v>
      </c>
      <c r="H113" s="440">
        <v>20016</v>
      </c>
      <c r="I113" s="194">
        <v>0</v>
      </c>
      <c r="J113" s="194">
        <v>75000</v>
      </c>
      <c r="K113" s="185">
        <v>0.5</v>
      </c>
      <c r="L113" s="183" t="s">
        <v>285</v>
      </c>
      <c r="M113" s="183" t="s">
        <v>162</v>
      </c>
      <c r="N113" s="183" t="s">
        <v>1784</v>
      </c>
      <c r="O113" s="440"/>
    </row>
    <row r="114" spans="1:15" s="182" customFormat="1" ht="21.75" customHeight="1" x14ac:dyDescent="0.15">
      <c r="A114" s="151" t="s">
        <v>4219</v>
      </c>
      <c r="B114" s="20" t="s">
        <v>515</v>
      </c>
      <c r="C114" s="399" t="s">
        <v>3346</v>
      </c>
      <c r="D114" s="399" t="s">
        <v>3354</v>
      </c>
      <c r="E114" s="399" t="s">
        <v>3565</v>
      </c>
      <c r="F114" s="184" t="s">
        <v>3328</v>
      </c>
      <c r="G114" s="235" t="s">
        <v>3566</v>
      </c>
      <c r="H114" s="440">
        <v>19009</v>
      </c>
      <c r="I114" s="194">
        <v>0</v>
      </c>
      <c r="J114" s="194">
        <v>60000</v>
      </c>
      <c r="K114" s="185" t="s">
        <v>4222</v>
      </c>
      <c r="L114" s="183" t="s">
        <v>285</v>
      </c>
      <c r="M114" s="183" t="s">
        <v>1784</v>
      </c>
      <c r="N114" s="183" t="s">
        <v>1784</v>
      </c>
      <c r="O114" s="440"/>
    </row>
    <row r="115" spans="1:15" s="182" customFormat="1" ht="21.75" customHeight="1" x14ac:dyDescent="0.15">
      <c r="A115" s="151" t="s">
        <v>4221</v>
      </c>
      <c r="B115" s="20" t="s">
        <v>1403</v>
      </c>
      <c r="C115" s="399" t="s">
        <v>3325</v>
      </c>
      <c r="D115" s="399" t="s">
        <v>3439</v>
      </c>
      <c r="E115" s="394" t="s">
        <v>4097</v>
      </c>
      <c r="F115" s="276" t="s">
        <v>3355</v>
      </c>
      <c r="G115" s="235" t="s">
        <v>4223</v>
      </c>
      <c r="H115" s="440">
        <v>16053</v>
      </c>
      <c r="I115" s="194">
        <v>0</v>
      </c>
      <c r="J115" s="194">
        <v>6300</v>
      </c>
      <c r="K115" s="185">
        <v>0.05</v>
      </c>
      <c r="L115" s="183" t="s">
        <v>1143</v>
      </c>
      <c r="M115" s="183" t="s">
        <v>165</v>
      </c>
      <c r="N115" s="183" t="s">
        <v>2660</v>
      </c>
      <c r="O115" s="440"/>
    </row>
    <row r="116" spans="1:15" s="182" customFormat="1" ht="21.75" customHeight="1" x14ac:dyDescent="0.15">
      <c r="A116" s="151" t="s">
        <v>4221</v>
      </c>
      <c r="B116" s="20" t="s">
        <v>2858</v>
      </c>
      <c r="C116" s="224" t="s">
        <v>3368</v>
      </c>
      <c r="D116" s="224" t="s">
        <v>3352</v>
      </c>
      <c r="E116" s="224" t="s">
        <v>4224</v>
      </c>
      <c r="F116" s="224" t="s">
        <v>3355</v>
      </c>
      <c r="G116" s="243" t="s">
        <v>3467</v>
      </c>
      <c r="H116" s="440">
        <v>18160</v>
      </c>
      <c r="I116" s="194">
        <v>0</v>
      </c>
      <c r="J116" s="194">
        <v>10500</v>
      </c>
      <c r="K116" s="185">
        <v>0.1</v>
      </c>
      <c r="L116" s="183" t="s">
        <v>1143</v>
      </c>
      <c r="M116" s="183" t="s">
        <v>158</v>
      </c>
      <c r="N116" s="183" t="s">
        <v>158</v>
      </c>
      <c r="O116" s="226"/>
    </row>
    <row r="117" spans="1:15" s="182" customFormat="1" ht="21.75" customHeight="1" x14ac:dyDescent="0.15">
      <c r="A117" s="151" t="s">
        <v>4221</v>
      </c>
      <c r="B117" s="20" t="s">
        <v>4225</v>
      </c>
      <c r="C117" s="224" t="s">
        <v>3368</v>
      </c>
      <c r="D117" s="224" t="s">
        <v>3352</v>
      </c>
      <c r="E117" s="224" t="s">
        <v>4226</v>
      </c>
      <c r="F117" s="224" t="s">
        <v>3355</v>
      </c>
      <c r="G117" s="243" t="s">
        <v>4227</v>
      </c>
      <c r="H117" s="440">
        <v>18167</v>
      </c>
      <c r="I117" s="194">
        <v>0</v>
      </c>
      <c r="J117" s="194">
        <v>44100</v>
      </c>
      <c r="K117" s="185">
        <v>0.9</v>
      </c>
      <c r="L117" s="183" t="s">
        <v>1147</v>
      </c>
      <c r="M117" s="183" t="s">
        <v>158</v>
      </c>
      <c r="N117" s="183" t="s">
        <v>158</v>
      </c>
      <c r="O117" s="440"/>
    </row>
    <row r="118" spans="1:15" s="182" customFormat="1" ht="21.75" customHeight="1" x14ac:dyDescent="0.15">
      <c r="A118" s="151" t="s">
        <v>4221</v>
      </c>
      <c r="B118" s="20" t="s">
        <v>2858</v>
      </c>
      <c r="C118" s="224" t="s">
        <v>3368</v>
      </c>
      <c r="D118" s="224" t="s">
        <v>3352</v>
      </c>
      <c r="E118" s="224" t="s">
        <v>4226</v>
      </c>
      <c r="F118" s="224" t="s">
        <v>3355</v>
      </c>
      <c r="G118" s="243" t="s">
        <v>4227</v>
      </c>
      <c r="H118" s="440">
        <v>18167</v>
      </c>
      <c r="I118" s="194">
        <v>0</v>
      </c>
      <c r="J118" s="194">
        <v>4900</v>
      </c>
      <c r="K118" s="185">
        <v>0.1</v>
      </c>
      <c r="L118" s="183" t="s">
        <v>1143</v>
      </c>
      <c r="M118" s="183" t="s">
        <v>158</v>
      </c>
      <c r="N118" s="183" t="s">
        <v>158</v>
      </c>
      <c r="O118" s="226"/>
    </row>
    <row r="119" spans="1:15" s="182" customFormat="1" ht="21.75" customHeight="1" x14ac:dyDescent="0.15">
      <c r="A119" s="151" t="s">
        <v>4228</v>
      </c>
      <c r="B119" s="20" t="s">
        <v>2568</v>
      </c>
      <c r="C119" s="234" t="s">
        <v>3346</v>
      </c>
      <c r="D119" s="234" t="s">
        <v>3439</v>
      </c>
      <c r="E119" s="234" t="s">
        <v>3989</v>
      </c>
      <c r="F119" s="224" t="s">
        <v>3328</v>
      </c>
      <c r="G119" s="239" t="s">
        <v>3566</v>
      </c>
      <c r="H119" s="440">
        <v>18157</v>
      </c>
      <c r="I119" s="194">
        <v>0</v>
      </c>
      <c r="J119" s="194">
        <v>100000</v>
      </c>
      <c r="K119" s="185" t="s">
        <v>3105</v>
      </c>
      <c r="L119" s="183" t="s">
        <v>285</v>
      </c>
      <c r="M119" s="183" t="s">
        <v>155</v>
      </c>
      <c r="N119" s="183" t="s">
        <v>1880</v>
      </c>
      <c r="O119" s="440"/>
    </row>
    <row r="120" spans="1:15" s="182" customFormat="1" ht="21.75" customHeight="1" x14ac:dyDescent="0.15">
      <c r="A120" s="151" t="s">
        <v>4228</v>
      </c>
      <c r="B120" s="20" t="s">
        <v>4045</v>
      </c>
      <c r="C120" s="184" t="s">
        <v>3351</v>
      </c>
      <c r="D120" s="184" t="s">
        <v>3463</v>
      </c>
      <c r="E120" s="399" t="s">
        <v>4064</v>
      </c>
      <c r="F120" s="224" t="s">
        <v>3328</v>
      </c>
      <c r="G120" s="235" t="s">
        <v>4065</v>
      </c>
      <c r="H120" s="440">
        <v>19146</v>
      </c>
      <c r="I120" s="194">
        <v>0</v>
      </c>
      <c r="J120" s="194">
        <v>25000</v>
      </c>
      <c r="K120" s="185">
        <v>0.25</v>
      </c>
      <c r="L120" s="183" t="s">
        <v>285</v>
      </c>
      <c r="M120" s="183" t="s">
        <v>158</v>
      </c>
      <c r="N120" s="183" t="s">
        <v>158</v>
      </c>
      <c r="O120" s="440"/>
    </row>
    <row r="121" spans="1:15" s="182" customFormat="1" ht="21.75" customHeight="1" x14ac:dyDescent="0.15">
      <c r="A121" s="151" t="s">
        <v>4229</v>
      </c>
      <c r="B121" s="20" t="s">
        <v>226</v>
      </c>
      <c r="C121" s="184" t="s">
        <v>3325</v>
      </c>
      <c r="D121" s="184" t="s">
        <v>3439</v>
      </c>
      <c r="E121" s="184" t="s">
        <v>4230</v>
      </c>
      <c r="F121" s="184" t="s">
        <v>3457</v>
      </c>
      <c r="G121" s="235" t="s">
        <v>4218</v>
      </c>
      <c r="H121" s="440">
        <v>20052</v>
      </c>
      <c r="I121" s="194">
        <v>0</v>
      </c>
      <c r="J121" s="194">
        <v>16000</v>
      </c>
      <c r="K121" s="185">
        <v>1</v>
      </c>
      <c r="L121" s="183" t="s">
        <v>1948</v>
      </c>
      <c r="M121" s="183" t="s">
        <v>2660</v>
      </c>
      <c r="N121" s="183" t="s">
        <v>2660</v>
      </c>
      <c r="O121" s="440"/>
    </row>
    <row r="122" spans="1:15" s="182" customFormat="1" ht="21.75" customHeight="1" x14ac:dyDescent="0.15">
      <c r="A122" s="151" t="s">
        <v>4229</v>
      </c>
      <c r="B122" s="20" t="s">
        <v>195</v>
      </c>
      <c r="C122" s="184" t="s">
        <v>3363</v>
      </c>
      <c r="D122" s="184" t="s">
        <v>3702</v>
      </c>
      <c r="E122" s="184" t="s">
        <v>3986</v>
      </c>
      <c r="F122" s="224" t="s">
        <v>3328</v>
      </c>
      <c r="G122" s="239" t="s">
        <v>3353</v>
      </c>
      <c r="H122" s="440">
        <v>19172</v>
      </c>
      <c r="I122" s="194">
        <v>0</v>
      </c>
      <c r="J122" s="194">
        <v>27000</v>
      </c>
      <c r="K122" s="185">
        <v>1</v>
      </c>
      <c r="L122" s="183" t="s">
        <v>1948</v>
      </c>
      <c r="M122" s="183" t="s">
        <v>1880</v>
      </c>
      <c r="N122" s="183" t="s">
        <v>1880</v>
      </c>
      <c r="O122" s="440"/>
    </row>
    <row r="123" spans="1:15" s="182" customFormat="1" ht="21.75" customHeight="1" x14ac:dyDescent="0.15">
      <c r="A123" s="151" t="s">
        <v>4231</v>
      </c>
      <c r="B123" s="20" t="s">
        <v>3931</v>
      </c>
      <c r="C123" s="224" t="s">
        <v>3351</v>
      </c>
      <c r="D123" s="224" t="s">
        <v>3717</v>
      </c>
      <c r="E123" s="224" t="s">
        <v>3936</v>
      </c>
      <c r="F123" s="418" t="s">
        <v>3328</v>
      </c>
      <c r="G123" s="235" t="s">
        <v>3378</v>
      </c>
      <c r="H123" s="440">
        <v>19107</v>
      </c>
      <c r="I123" s="194">
        <v>0</v>
      </c>
      <c r="J123" s="194">
        <v>108000</v>
      </c>
      <c r="K123" s="185">
        <v>0.3</v>
      </c>
      <c r="L123" s="183" t="s">
        <v>3050</v>
      </c>
      <c r="M123" s="183" t="s">
        <v>190</v>
      </c>
      <c r="N123" s="183" t="s">
        <v>190</v>
      </c>
      <c r="O123" s="440"/>
    </row>
    <row r="124" spans="1:15" s="182" customFormat="1" ht="21.75" customHeight="1" x14ac:dyDescent="0.15">
      <c r="A124" s="151" t="s">
        <v>4231</v>
      </c>
      <c r="B124" s="20" t="s">
        <v>3931</v>
      </c>
      <c r="C124" s="224" t="s">
        <v>3351</v>
      </c>
      <c r="D124" s="224" t="s">
        <v>3717</v>
      </c>
      <c r="E124" s="224" t="s">
        <v>3936</v>
      </c>
      <c r="F124" s="224" t="s">
        <v>3937</v>
      </c>
      <c r="G124" s="235" t="s">
        <v>3938</v>
      </c>
      <c r="H124" s="482">
        <v>19108</v>
      </c>
      <c r="I124" s="194">
        <v>0</v>
      </c>
      <c r="J124" s="194">
        <v>177000</v>
      </c>
      <c r="K124" s="185">
        <v>0.3</v>
      </c>
      <c r="L124" s="183" t="s">
        <v>3050</v>
      </c>
      <c r="M124" s="183" t="s">
        <v>190</v>
      </c>
      <c r="N124" s="183" t="s">
        <v>190</v>
      </c>
      <c r="O124" s="482"/>
    </row>
    <row r="125" spans="1:15" s="182" customFormat="1" ht="21.75" customHeight="1" x14ac:dyDescent="0.15">
      <c r="A125" s="151" t="s">
        <v>4232</v>
      </c>
      <c r="B125" s="20" t="s">
        <v>215</v>
      </c>
      <c r="C125" s="236" t="s">
        <v>3346</v>
      </c>
      <c r="D125" s="236" t="s">
        <v>3352</v>
      </c>
      <c r="E125" s="236" t="s">
        <v>987</v>
      </c>
      <c r="F125" s="184" t="s">
        <v>3332</v>
      </c>
      <c r="G125" s="253" t="s">
        <v>3381</v>
      </c>
      <c r="H125" s="440">
        <v>20057</v>
      </c>
      <c r="I125" s="194">
        <v>0</v>
      </c>
      <c r="J125" s="194">
        <v>118000</v>
      </c>
      <c r="K125" s="185">
        <v>1</v>
      </c>
      <c r="L125" s="183" t="s">
        <v>285</v>
      </c>
      <c r="M125" s="183" t="s">
        <v>155</v>
      </c>
      <c r="N125" s="183" t="s">
        <v>155</v>
      </c>
      <c r="O125" s="440"/>
    </row>
    <row r="126" spans="1:15" s="182" customFormat="1" ht="21.75" customHeight="1" x14ac:dyDescent="0.15">
      <c r="A126" s="151" t="s">
        <v>4233</v>
      </c>
      <c r="B126" s="20" t="s">
        <v>4079</v>
      </c>
      <c r="C126" s="399" t="s">
        <v>3346</v>
      </c>
      <c r="D126" s="399" t="s">
        <v>3457</v>
      </c>
      <c r="E126" s="399" t="s">
        <v>4080</v>
      </c>
      <c r="F126" s="403" t="s">
        <v>3340</v>
      </c>
      <c r="G126" s="235" t="s">
        <v>3381</v>
      </c>
      <c r="H126" s="440">
        <v>19125</v>
      </c>
      <c r="I126" s="194">
        <v>0</v>
      </c>
      <c r="J126" s="194">
        <v>80000</v>
      </c>
      <c r="K126" s="185">
        <v>1</v>
      </c>
      <c r="L126" s="183" t="s">
        <v>285</v>
      </c>
      <c r="M126" s="183" t="s">
        <v>1880</v>
      </c>
      <c r="N126" s="183" t="s">
        <v>1880</v>
      </c>
      <c r="O126" s="440"/>
    </row>
    <row r="127" spans="1:15" s="182" customFormat="1" ht="21.75" customHeight="1" x14ac:dyDescent="0.15">
      <c r="A127" s="151" t="s">
        <v>4234</v>
      </c>
      <c r="B127" s="20" t="s">
        <v>1394</v>
      </c>
      <c r="C127" s="409" t="s">
        <v>3351</v>
      </c>
      <c r="D127" s="409" t="s">
        <v>3837</v>
      </c>
      <c r="E127" s="412" t="s">
        <v>4235</v>
      </c>
      <c r="F127" s="410" t="s">
        <v>3328</v>
      </c>
      <c r="G127" s="411" t="s">
        <v>3529</v>
      </c>
      <c r="H127" s="440">
        <v>14051</v>
      </c>
      <c r="I127" s="194">
        <v>0</v>
      </c>
      <c r="J127" s="194">
        <v>34000</v>
      </c>
      <c r="K127" s="185">
        <v>0.05</v>
      </c>
      <c r="L127" s="183" t="s">
        <v>1143</v>
      </c>
      <c r="M127" s="183" t="s">
        <v>158</v>
      </c>
      <c r="N127" s="183" t="s">
        <v>158</v>
      </c>
      <c r="O127" s="440"/>
    </row>
    <row r="128" spans="1:15" s="182" customFormat="1" ht="21.75" customHeight="1" x14ac:dyDescent="0.15">
      <c r="A128" s="151" t="s">
        <v>4234</v>
      </c>
      <c r="B128" s="20" t="s">
        <v>1394</v>
      </c>
      <c r="C128" s="409" t="s">
        <v>3351</v>
      </c>
      <c r="D128" s="409" t="s">
        <v>3837</v>
      </c>
      <c r="E128" s="412" t="s">
        <v>4236</v>
      </c>
      <c r="F128" s="410" t="s">
        <v>3328</v>
      </c>
      <c r="G128" s="411" t="s">
        <v>3529</v>
      </c>
      <c r="H128" s="483">
        <v>14051</v>
      </c>
      <c r="I128" s="194">
        <v>0</v>
      </c>
      <c r="J128" s="194">
        <v>34000</v>
      </c>
      <c r="K128" s="185">
        <v>0.05</v>
      </c>
      <c r="L128" s="183" t="s">
        <v>1143</v>
      </c>
      <c r="M128" s="183" t="s">
        <v>158</v>
      </c>
      <c r="N128" s="183" t="s">
        <v>158</v>
      </c>
      <c r="O128" s="483"/>
    </row>
    <row r="129" spans="1:15" s="182" customFormat="1" ht="21.75" customHeight="1" x14ac:dyDescent="0.15">
      <c r="A129" s="151" t="s">
        <v>4234</v>
      </c>
      <c r="B129" s="20" t="s">
        <v>1394</v>
      </c>
      <c r="C129" s="409" t="s">
        <v>3351</v>
      </c>
      <c r="D129" s="409" t="s">
        <v>3837</v>
      </c>
      <c r="E129" s="412" t="s">
        <v>4237</v>
      </c>
      <c r="F129" s="410" t="s">
        <v>3328</v>
      </c>
      <c r="G129" s="411" t="s">
        <v>3529</v>
      </c>
      <c r="H129" s="483">
        <v>14051</v>
      </c>
      <c r="I129" s="194">
        <v>0</v>
      </c>
      <c r="J129" s="194">
        <v>34000</v>
      </c>
      <c r="K129" s="185">
        <v>0.05</v>
      </c>
      <c r="L129" s="183" t="s">
        <v>1143</v>
      </c>
      <c r="M129" s="183" t="s">
        <v>158</v>
      </c>
      <c r="N129" s="183" t="s">
        <v>158</v>
      </c>
      <c r="O129" s="483"/>
    </row>
    <row r="130" spans="1:15" s="182" customFormat="1" ht="21.75" customHeight="1" x14ac:dyDescent="0.15">
      <c r="A130" s="151" t="s">
        <v>4234</v>
      </c>
      <c r="B130" s="20" t="s">
        <v>1394</v>
      </c>
      <c r="C130" s="409" t="s">
        <v>3351</v>
      </c>
      <c r="D130" s="409" t="s">
        <v>3352</v>
      </c>
      <c r="E130" s="484" t="s">
        <v>4238</v>
      </c>
      <c r="F130" s="429" t="s">
        <v>3328</v>
      </c>
      <c r="G130" s="430" t="s">
        <v>3378</v>
      </c>
      <c r="H130" s="483">
        <v>15028</v>
      </c>
      <c r="I130" s="194">
        <v>0</v>
      </c>
      <c r="J130" s="194">
        <v>34000</v>
      </c>
      <c r="K130" s="185">
        <v>0.05</v>
      </c>
      <c r="L130" s="183" t="s">
        <v>1143</v>
      </c>
      <c r="M130" s="183" t="s">
        <v>158</v>
      </c>
      <c r="N130" s="183" t="s">
        <v>158</v>
      </c>
      <c r="O130" s="483"/>
    </row>
    <row r="131" spans="1:15" s="182" customFormat="1" ht="21.75" customHeight="1" x14ac:dyDescent="0.15">
      <c r="A131" s="151" t="s">
        <v>4239</v>
      </c>
      <c r="B131" s="20" t="s">
        <v>2111</v>
      </c>
      <c r="C131" s="236" t="s">
        <v>3346</v>
      </c>
      <c r="D131" s="236" t="s">
        <v>3352</v>
      </c>
      <c r="E131" s="236" t="s">
        <v>3715</v>
      </c>
      <c r="F131" s="184" t="s">
        <v>3332</v>
      </c>
      <c r="G131" s="253" t="s">
        <v>3381</v>
      </c>
      <c r="H131" s="440">
        <v>20056</v>
      </c>
      <c r="I131" s="194">
        <v>0</v>
      </c>
      <c r="J131" s="194">
        <v>118000</v>
      </c>
      <c r="K131" s="185">
        <v>1</v>
      </c>
      <c r="L131" s="183" t="s">
        <v>285</v>
      </c>
      <c r="M131" s="183" t="s">
        <v>155</v>
      </c>
      <c r="N131" s="183" t="s">
        <v>155</v>
      </c>
      <c r="O131" s="440"/>
    </row>
    <row r="132" spans="1:15" s="182" customFormat="1" ht="21.75" customHeight="1" x14ac:dyDescent="0.15">
      <c r="A132" s="151" t="s">
        <v>4239</v>
      </c>
      <c r="B132" s="20" t="s">
        <v>497</v>
      </c>
      <c r="C132" s="399" t="s">
        <v>3346</v>
      </c>
      <c r="D132" s="399" t="s">
        <v>4052</v>
      </c>
      <c r="E132" s="399" t="s">
        <v>4053</v>
      </c>
      <c r="F132" s="224" t="s">
        <v>3328</v>
      </c>
      <c r="G132" s="235" t="s">
        <v>4054</v>
      </c>
      <c r="H132" s="440">
        <v>19087</v>
      </c>
      <c r="I132" s="194">
        <v>0</v>
      </c>
      <c r="J132" s="194">
        <v>3700</v>
      </c>
      <c r="K132" s="185">
        <v>0.1</v>
      </c>
      <c r="L132" s="183" t="s">
        <v>1143</v>
      </c>
      <c r="M132" s="183" t="s">
        <v>1880</v>
      </c>
      <c r="N132" s="183" t="s">
        <v>1880</v>
      </c>
      <c r="O132" s="440"/>
    </row>
    <row r="133" spans="1:15" s="182" customFormat="1" ht="21.75" customHeight="1" x14ac:dyDescent="0.15">
      <c r="A133" s="151" t="s">
        <v>4240</v>
      </c>
      <c r="B133" s="20" t="s">
        <v>1290</v>
      </c>
      <c r="C133" s="399" t="s">
        <v>3363</v>
      </c>
      <c r="D133" s="399" t="s">
        <v>3460</v>
      </c>
      <c r="E133" s="399" t="s">
        <v>3461</v>
      </c>
      <c r="F133" s="184" t="s">
        <v>3332</v>
      </c>
      <c r="G133" s="235" t="s">
        <v>3349</v>
      </c>
      <c r="H133" s="178">
        <v>19137</v>
      </c>
      <c r="I133" s="194">
        <v>0</v>
      </c>
      <c r="J133" s="194">
        <v>22500</v>
      </c>
      <c r="K133" s="222">
        <v>0.22500000000000001</v>
      </c>
      <c r="L133" s="183" t="s">
        <v>285</v>
      </c>
      <c r="M133" s="183" t="s">
        <v>2660</v>
      </c>
      <c r="N133" s="183" t="s">
        <v>2660</v>
      </c>
      <c r="O133" s="440"/>
    </row>
    <row r="134" spans="1:15" s="182" customFormat="1" ht="21.75" customHeight="1" x14ac:dyDescent="0.15">
      <c r="A134" s="151" t="s">
        <v>4240</v>
      </c>
      <c r="B134" s="20" t="s">
        <v>221</v>
      </c>
      <c r="C134" s="236" t="s">
        <v>3346</v>
      </c>
      <c r="D134" s="485" t="s">
        <v>3352</v>
      </c>
      <c r="E134" s="236" t="s">
        <v>4241</v>
      </c>
      <c r="F134" s="184" t="s">
        <v>3332</v>
      </c>
      <c r="G134" s="253" t="s">
        <v>3381</v>
      </c>
      <c r="H134" s="178">
        <v>20058</v>
      </c>
      <c r="I134" s="194">
        <v>0</v>
      </c>
      <c r="J134" s="194">
        <v>118000</v>
      </c>
      <c r="K134" s="185">
        <v>1</v>
      </c>
      <c r="L134" s="183" t="s">
        <v>285</v>
      </c>
      <c r="M134" s="183" t="s">
        <v>155</v>
      </c>
      <c r="N134" s="183" t="s">
        <v>155</v>
      </c>
      <c r="O134" s="440"/>
    </row>
    <row r="135" spans="1:15" s="182" customFormat="1" ht="21.75" customHeight="1" x14ac:dyDescent="0.15">
      <c r="A135" s="151" t="s">
        <v>4242</v>
      </c>
      <c r="B135" s="20" t="s">
        <v>627</v>
      </c>
      <c r="C135" s="399" t="s">
        <v>3376</v>
      </c>
      <c r="D135" s="427" t="s">
        <v>3516</v>
      </c>
      <c r="E135" s="405" t="s">
        <v>3871</v>
      </c>
      <c r="F135" s="184" t="s">
        <v>3332</v>
      </c>
      <c r="G135" s="235" t="s">
        <v>3341</v>
      </c>
      <c r="H135" s="440">
        <v>19133</v>
      </c>
      <c r="I135" s="194">
        <v>0</v>
      </c>
      <c r="J135" s="194">
        <v>120000</v>
      </c>
      <c r="K135" s="185">
        <v>0.6</v>
      </c>
      <c r="L135" s="183" t="s">
        <v>285</v>
      </c>
      <c r="M135" s="183" t="s">
        <v>170</v>
      </c>
      <c r="N135" s="183" t="s">
        <v>170</v>
      </c>
      <c r="O135" s="440"/>
    </row>
    <row r="136" spans="1:15" s="182" customFormat="1" ht="21.75" customHeight="1" x14ac:dyDescent="0.15">
      <c r="A136" s="151" t="s">
        <v>4242</v>
      </c>
      <c r="B136" s="20" t="s">
        <v>1869</v>
      </c>
      <c r="C136" s="399" t="s">
        <v>3376</v>
      </c>
      <c r="D136" s="399" t="s">
        <v>3682</v>
      </c>
      <c r="E136" s="184" t="s">
        <v>4243</v>
      </c>
      <c r="F136" s="184" t="s">
        <v>3332</v>
      </c>
      <c r="G136" s="235" t="s">
        <v>3341</v>
      </c>
      <c r="H136" s="440">
        <v>19135</v>
      </c>
      <c r="I136" s="194">
        <v>0</v>
      </c>
      <c r="J136" s="194">
        <v>81646.58</v>
      </c>
      <c r="K136" s="185" t="s">
        <v>4244</v>
      </c>
      <c r="L136" s="183" t="s">
        <v>285</v>
      </c>
      <c r="M136" s="183" t="s">
        <v>170</v>
      </c>
      <c r="N136" s="183" t="s">
        <v>170</v>
      </c>
      <c r="O136" s="226"/>
    </row>
    <row r="137" spans="1:15" s="182" customFormat="1" ht="21.75" customHeight="1" x14ac:dyDescent="0.15">
      <c r="A137" s="151" t="s">
        <v>4242</v>
      </c>
      <c r="B137" s="20" t="s">
        <v>1562</v>
      </c>
      <c r="C137" s="399" t="s">
        <v>3376</v>
      </c>
      <c r="D137" s="399" t="s">
        <v>3682</v>
      </c>
      <c r="E137" s="394" t="s">
        <v>3683</v>
      </c>
      <c r="F137" s="184" t="s">
        <v>3332</v>
      </c>
      <c r="G137" s="235" t="s">
        <v>3341</v>
      </c>
      <c r="H137" s="440">
        <v>19134</v>
      </c>
      <c r="I137" s="194">
        <v>0</v>
      </c>
      <c r="J137" s="194">
        <v>70000</v>
      </c>
      <c r="K137" s="185">
        <v>0.5</v>
      </c>
      <c r="L137" s="183" t="s">
        <v>285</v>
      </c>
      <c r="M137" s="183" t="s">
        <v>170</v>
      </c>
      <c r="N137" s="183" t="s">
        <v>170</v>
      </c>
      <c r="O137" s="440"/>
    </row>
    <row r="138" spans="1:15" s="182" customFormat="1" ht="21.75" customHeight="1" x14ac:dyDescent="0.15">
      <c r="A138" s="151" t="s">
        <v>4242</v>
      </c>
      <c r="B138" s="20" t="s">
        <v>2690</v>
      </c>
      <c r="C138" s="399" t="s">
        <v>3376</v>
      </c>
      <c r="D138" s="399" t="s">
        <v>3682</v>
      </c>
      <c r="E138" s="184" t="s">
        <v>4245</v>
      </c>
      <c r="F138" s="184" t="s">
        <v>3332</v>
      </c>
      <c r="G138" s="235" t="s">
        <v>3341</v>
      </c>
      <c r="H138" s="440">
        <v>19136</v>
      </c>
      <c r="I138" s="194">
        <v>0</v>
      </c>
      <c r="J138" s="194">
        <v>50253.49</v>
      </c>
      <c r="K138" s="185" t="s">
        <v>4246</v>
      </c>
      <c r="L138" s="183" t="s">
        <v>285</v>
      </c>
      <c r="M138" s="183" t="s">
        <v>170</v>
      </c>
      <c r="N138" s="183" t="s">
        <v>170</v>
      </c>
      <c r="O138" s="226"/>
    </row>
    <row r="139" spans="1:15" s="182" customFormat="1" ht="21.75" customHeight="1" x14ac:dyDescent="0.15">
      <c r="A139" s="151" t="s">
        <v>4242</v>
      </c>
      <c r="B139" s="20" t="s">
        <v>3657</v>
      </c>
      <c r="C139" s="399" t="s">
        <v>3376</v>
      </c>
      <c r="D139" s="427" t="s">
        <v>3516</v>
      </c>
      <c r="E139" s="405" t="s">
        <v>3660</v>
      </c>
      <c r="F139" s="184" t="s">
        <v>3332</v>
      </c>
      <c r="G139" s="235" t="s">
        <v>3341</v>
      </c>
      <c r="H139" s="440">
        <v>19132</v>
      </c>
      <c r="I139" s="194">
        <v>0</v>
      </c>
      <c r="J139" s="194">
        <v>80000</v>
      </c>
      <c r="K139" s="185">
        <v>0.4</v>
      </c>
      <c r="L139" s="183" t="s">
        <v>285</v>
      </c>
      <c r="M139" s="183" t="s">
        <v>170</v>
      </c>
      <c r="N139" s="183" t="s">
        <v>170</v>
      </c>
      <c r="O139" s="440"/>
    </row>
    <row r="140" spans="1:15" s="182" customFormat="1" ht="21.75" customHeight="1" x14ac:dyDescent="0.15">
      <c r="A140" s="151" t="s">
        <v>4247</v>
      </c>
      <c r="B140" s="20" t="s">
        <v>2060</v>
      </c>
      <c r="C140" s="486" t="s">
        <v>3334</v>
      </c>
      <c r="D140" s="486" t="s">
        <v>3326</v>
      </c>
      <c r="E140" s="486" t="s">
        <v>3335</v>
      </c>
      <c r="F140" s="184" t="s">
        <v>3328</v>
      </c>
      <c r="G140" s="235" t="s">
        <v>3341</v>
      </c>
      <c r="H140" s="440">
        <v>20009</v>
      </c>
      <c r="I140" s="194">
        <v>0</v>
      </c>
      <c r="J140" s="194">
        <v>112500</v>
      </c>
      <c r="K140" s="185">
        <v>0.25</v>
      </c>
      <c r="L140" s="183" t="s">
        <v>285</v>
      </c>
      <c r="M140" s="183" t="s">
        <v>170</v>
      </c>
      <c r="N140" s="183" t="s">
        <v>170</v>
      </c>
      <c r="O140" s="440"/>
    </row>
    <row r="141" spans="1:15" s="182" customFormat="1" ht="21.75" customHeight="1" x14ac:dyDescent="0.15">
      <c r="A141" s="151" t="s">
        <v>4248</v>
      </c>
      <c r="B141" s="20" t="s">
        <v>409</v>
      </c>
      <c r="C141" s="399" t="s">
        <v>4249</v>
      </c>
      <c r="D141" s="399" t="s">
        <v>3547</v>
      </c>
      <c r="E141" s="409" t="s">
        <v>4250</v>
      </c>
      <c r="F141" s="412" t="s">
        <v>3328</v>
      </c>
      <c r="G141" s="487" t="s">
        <v>3549</v>
      </c>
      <c r="H141" s="440">
        <v>13004</v>
      </c>
      <c r="I141" s="194">
        <v>0</v>
      </c>
      <c r="J141" s="194">
        <v>44000</v>
      </c>
      <c r="K141" s="185" t="s">
        <v>4251</v>
      </c>
      <c r="L141" s="183" t="s">
        <v>1143</v>
      </c>
      <c r="M141" s="405" t="s">
        <v>4252</v>
      </c>
      <c r="N141" s="405" t="s">
        <v>4253</v>
      </c>
      <c r="O141" s="440"/>
    </row>
    <row r="142" spans="1:15" s="182" customFormat="1" ht="21.75" customHeight="1" x14ac:dyDescent="0.15">
      <c r="A142" s="151" t="s">
        <v>4254</v>
      </c>
      <c r="B142" s="20" t="s">
        <v>359</v>
      </c>
      <c r="C142" s="399" t="s">
        <v>3346</v>
      </c>
      <c r="D142" s="399" t="s">
        <v>3354</v>
      </c>
      <c r="E142" s="399" t="s">
        <v>3675</v>
      </c>
      <c r="F142" s="184" t="s">
        <v>3328</v>
      </c>
      <c r="G142" s="235" t="s">
        <v>3566</v>
      </c>
      <c r="H142" s="440">
        <v>19010</v>
      </c>
      <c r="I142" s="194">
        <v>0</v>
      </c>
      <c r="J142" s="194">
        <v>60000</v>
      </c>
      <c r="K142" s="185" t="s">
        <v>4222</v>
      </c>
      <c r="L142" s="183" t="s">
        <v>285</v>
      </c>
      <c r="M142" s="183" t="s">
        <v>1784</v>
      </c>
      <c r="N142" s="183" t="s">
        <v>1784</v>
      </c>
      <c r="O142" s="440"/>
    </row>
    <row r="143" spans="1:15" s="182" customFormat="1" ht="21.75" customHeight="1" x14ac:dyDescent="0.15">
      <c r="A143" s="151" t="s">
        <v>4254</v>
      </c>
      <c r="B143" s="20" t="s">
        <v>201</v>
      </c>
      <c r="C143" s="391" t="s">
        <v>3371</v>
      </c>
      <c r="D143" s="399" t="s">
        <v>3415</v>
      </c>
      <c r="E143" s="391" t="s">
        <v>2467</v>
      </c>
      <c r="F143" s="418" t="s">
        <v>3340</v>
      </c>
      <c r="G143" s="460" t="s">
        <v>3477</v>
      </c>
      <c r="H143" s="440">
        <v>17149</v>
      </c>
      <c r="I143" s="194">
        <v>0</v>
      </c>
      <c r="J143" s="194">
        <v>135000</v>
      </c>
      <c r="K143" s="185">
        <v>0.5</v>
      </c>
      <c r="L143" s="183" t="s">
        <v>1147</v>
      </c>
      <c r="M143" s="183" t="s">
        <v>162</v>
      </c>
      <c r="N143" s="183" t="s">
        <v>1880</v>
      </c>
      <c r="O143" s="440"/>
    </row>
    <row r="144" spans="1:15" s="182" customFormat="1" ht="21.75" customHeight="1" x14ac:dyDescent="0.15">
      <c r="A144" s="151" t="s">
        <v>4254</v>
      </c>
      <c r="B144" s="20" t="s">
        <v>201</v>
      </c>
      <c r="C144" s="391" t="s">
        <v>3371</v>
      </c>
      <c r="D144" s="399" t="s">
        <v>3415</v>
      </c>
      <c r="E144" s="391" t="s">
        <v>2468</v>
      </c>
      <c r="F144" s="418" t="s">
        <v>3340</v>
      </c>
      <c r="G144" s="460" t="s">
        <v>3477</v>
      </c>
      <c r="H144" s="488">
        <v>17150</v>
      </c>
      <c r="I144" s="194">
        <v>0</v>
      </c>
      <c r="J144" s="194">
        <v>135000</v>
      </c>
      <c r="K144" s="185">
        <v>0.5</v>
      </c>
      <c r="L144" s="183" t="s">
        <v>1147</v>
      </c>
      <c r="M144" s="183" t="s">
        <v>162</v>
      </c>
      <c r="N144" s="183" t="s">
        <v>1880</v>
      </c>
      <c r="O144" s="488"/>
    </row>
    <row r="145" spans="1:15" s="182" customFormat="1" ht="21.75" customHeight="1" x14ac:dyDescent="0.15">
      <c r="A145" s="151" t="s">
        <v>4255</v>
      </c>
      <c r="B145" s="20" t="s">
        <v>4256</v>
      </c>
      <c r="C145" s="399" t="s">
        <v>3371</v>
      </c>
      <c r="D145" s="399" t="s">
        <v>3572</v>
      </c>
      <c r="E145" s="403" t="s">
        <v>39</v>
      </c>
      <c r="F145" s="403" t="s">
        <v>4257</v>
      </c>
      <c r="G145" s="430" t="s">
        <v>4257</v>
      </c>
      <c r="H145" s="440" t="s">
        <v>4258</v>
      </c>
      <c r="I145" s="194">
        <v>0</v>
      </c>
      <c r="J145" s="194">
        <v>15000</v>
      </c>
      <c r="K145" s="185" t="s">
        <v>4260</v>
      </c>
      <c r="L145" s="183" t="s">
        <v>1948</v>
      </c>
      <c r="M145" s="184" t="s">
        <v>1880</v>
      </c>
      <c r="N145" s="184" t="s">
        <v>1880</v>
      </c>
      <c r="O145" s="440"/>
    </row>
    <row r="146" spans="1:15" s="182" customFormat="1" ht="21.75" customHeight="1" x14ac:dyDescent="0.15">
      <c r="A146" s="151" t="s">
        <v>4255</v>
      </c>
      <c r="B146" s="20" t="s">
        <v>4256</v>
      </c>
      <c r="C146" s="399" t="s">
        <v>3371</v>
      </c>
      <c r="D146" s="399" t="s">
        <v>3572</v>
      </c>
      <c r="E146" s="403" t="s">
        <v>2909</v>
      </c>
      <c r="F146" s="403" t="s">
        <v>4257</v>
      </c>
      <c r="G146" s="430" t="s">
        <v>4257</v>
      </c>
      <c r="H146" s="489" t="s">
        <v>4259</v>
      </c>
      <c r="I146" s="194">
        <v>0</v>
      </c>
      <c r="J146" s="194">
        <v>15000</v>
      </c>
      <c r="K146" s="185" t="s">
        <v>4260</v>
      </c>
      <c r="L146" s="183" t="s">
        <v>1948</v>
      </c>
      <c r="M146" s="184" t="s">
        <v>1880</v>
      </c>
      <c r="N146" s="184" t="s">
        <v>1880</v>
      </c>
      <c r="O146" s="489"/>
    </row>
    <row r="147" spans="1:15" s="182" customFormat="1" ht="21.75" customHeight="1" x14ac:dyDescent="0.15">
      <c r="A147" s="151" t="s">
        <v>4255</v>
      </c>
      <c r="B147" s="20" t="s">
        <v>3480</v>
      </c>
      <c r="C147" s="453" t="s">
        <v>3346</v>
      </c>
      <c r="D147" s="453" t="s">
        <v>3481</v>
      </c>
      <c r="E147" s="428" t="s">
        <v>3482</v>
      </c>
      <c r="F147" s="206" t="s">
        <v>3483</v>
      </c>
      <c r="G147" s="243" t="s">
        <v>3483</v>
      </c>
      <c r="H147" s="440">
        <v>18031</v>
      </c>
      <c r="I147" s="194">
        <v>0</v>
      </c>
      <c r="J147" s="194">
        <v>8000</v>
      </c>
      <c r="K147" s="185" t="s">
        <v>4261</v>
      </c>
      <c r="L147" s="183" t="s">
        <v>1414</v>
      </c>
      <c r="M147" s="184" t="s">
        <v>1880</v>
      </c>
      <c r="N147" s="184" t="s">
        <v>1880</v>
      </c>
      <c r="O147" s="440"/>
    </row>
    <row r="148" spans="1:15" s="182" customFormat="1" ht="21.75" customHeight="1" x14ac:dyDescent="0.15">
      <c r="A148" s="151" t="s">
        <v>4262</v>
      </c>
      <c r="B148" s="20" t="s">
        <v>1141</v>
      </c>
      <c r="C148" s="224" t="s">
        <v>3351</v>
      </c>
      <c r="D148" s="224" t="s">
        <v>3352</v>
      </c>
      <c r="E148" s="180" t="s">
        <v>3689</v>
      </c>
      <c r="F148" s="224" t="s">
        <v>3328</v>
      </c>
      <c r="G148" s="239" t="s">
        <v>3349</v>
      </c>
      <c r="H148" s="440">
        <v>19174</v>
      </c>
      <c r="I148" s="194">
        <v>0</v>
      </c>
      <c r="J148" s="194">
        <v>80000</v>
      </c>
      <c r="K148" s="185">
        <v>1</v>
      </c>
      <c r="L148" s="183" t="s">
        <v>285</v>
      </c>
      <c r="M148" s="184" t="s">
        <v>158</v>
      </c>
      <c r="N148" s="184" t="s">
        <v>158</v>
      </c>
      <c r="O148" s="440"/>
    </row>
    <row r="149" spans="1:15" s="182" customFormat="1" ht="21.75" customHeight="1" x14ac:dyDescent="0.15">
      <c r="A149" s="151" t="s">
        <v>4263</v>
      </c>
      <c r="B149" s="20" t="s">
        <v>4185</v>
      </c>
      <c r="C149" s="224" t="s">
        <v>3363</v>
      </c>
      <c r="D149" s="224" t="s">
        <v>3354</v>
      </c>
      <c r="E149" s="394" t="s">
        <v>4267</v>
      </c>
      <c r="F149" s="224" t="s">
        <v>3328</v>
      </c>
      <c r="G149" s="235" t="s">
        <v>3529</v>
      </c>
      <c r="H149" s="440">
        <v>19106</v>
      </c>
      <c r="I149" s="194">
        <v>0</v>
      </c>
      <c r="J149" s="194">
        <v>30000</v>
      </c>
      <c r="K149" s="185" t="s">
        <v>4268</v>
      </c>
      <c r="L149" s="183" t="s">
        <v>4269</v>
      </c>
      <c r="M149" s="183" t="s">
        <v>162</v>
      </c>
      <c r="N149" s="183" t="s">
        <v>2660</v>
      </c>
      <c r="O149" s="440"/>
    </row>
    <row r="150" spans="1:15" s="182" customFormat="1" ht="21.75" customHeight="1" x14ac:dyDescent="0.15">
      <c r="A150" s="151" t="s">
        <v>4272</v>
      </c>
      <c r="B150" s="20" t="s">
        <v>4273</v>
      </c>
      <c r="C150" s="399" t="s">
        <v>3364</v>
      </c>
      <c r="D150" s="391" t="s">
        <v>3717</v>
      </c>
      <c r="E150" s="405" t="s">
        <v>3718</v>
      </c>
      <c r="F150" s="224" t="s">
        <v>3328</v>
      </c>
      <c r="G150" s="235" t="s">
        <v>3611</v>
      </c>
      <c r="H150" s="491">
        <v>19086</v>
      </c>
      <c r="I150" s="194">
        <v>0</v>
      </c>
      <c r="J150" s="194">
        <v>31879</v>
      </c>
      <c r="K150" s="185">
        <v>0.1</v>
      </c>
      <c r="L150" s="183" t="s">
        <v>1143</v>
      </c>
      <c r="M150" s="183" t="s">
        <v>1784</v>
      </c>
      <c r="N150" s="183" t="s">
        <v>1784</v>
      </c>
      <c r="O150" s="491"/>
    </row>
    <row r="151" spans="1:15" s="182" customFormat="1" ht="21.75" customHeight="1" x14ac:dyDescent="0.15">
      <c r="A151" s="151" t="s">
        <v>4264</v>
      </c>
      <c r="B151" s="20" t="s">
        <v>4265</v>
      </c>
      <c r="C151" s="399" t="s">
        <v>3337</v>
      </c>
      <c r="D151" s="399" t="s">
        <v>3352</v>
      </c>
      <c r="E151" s="399" t="s">
        <v>4270</v>
      </c>
      <c r="F151" s="224" t="s">
        <v>3937</v>
      </c>
      <c r="G151" s="239" t="s">
        <v>3938</v>
      </c>
      <c r="H151" s="440">
        <v>19145</v>
      </c>
      <c r="I151" s="194">
        <v>0</v>
      </c>
      <c r="J151" s="194">
        <v>111000</v>
      </c>
      <c r="K151" s="185">
        <v>0.6</v>
      </c>
      <c r="L151" s="183" t="s">
        <v>1172</v>
      </c>
      <c r="M151" s="184" t="s">
        <v>190</v>
      </c>
      <c r="N151" s="184" t="s">
        <v>190</v>
      </c>
      <c r="O151" s="440"/>
    </row>
    <row r="152" spans="1:15" s="182" customFormat="1" ht="21.75" customHeight="1" x14ac:dyDescent="0.15">
      <c r="A152" s="151" t="s">
        <v>4264</v>
      </c>
      <c r="B152" s="20" t="s">
        <v>4265</v>
      </c>
      <c r="C152" s="399" t="s">
        <v>3337</v>
      </c>
      <c r="D152" s="399" t="s">
        <v>3352</v>
      </c>
      <c r="E152" s="399" t="s">
        <v>4270</v>
      </c>
      <c r="F152" s="224" t="s">
        <v>3937</v>
      </c>
      <c r="G152" s="239" t="s">
        <v>3938</v>
      </c>
      <c r="H152" s="440">
        <v>19145</v>
      </c>
      <c r="I152" s="194">
        <v>0</v>
      </c>
      <c r="J152" s="194">
        <v>55500</v>
      </c>
      <c r="K152" s="185">
        <v>0.3</v>
      </c>
      <c r="L152" s="183" t="s">
        <v>1147</v>
      </c>
      <c r="M152" s="184" t="s">
        <v>190</v>
      </c>
      <c r="N152" s="184" t="s">
        <v>190</v>
      </c>
      <c r="O152" s="440"/>
    </row>
    <row r="153" spans="1:15" s="182" customFormat="1" ht="21.75" customHeight="1" x14ac:dyDescent="0.15">
      <c r="A153" s="151" t="s">
        <v>4266</v>
      </c>
      <c r="B153" s="20" t="s">
        <v>3123</v>
      </c>
      <c r="C153" s="236" t="s">
        <v>3384</v>
      </c>
      <c r="D153" s="490" t="s">
        <v>3347</v>
      </c>
      <c r="E153" s="180" t="s">
        <v>3952</v>
      </c>
      <c r="F153" s="184" t="s">
        <v>3328</v>
      </c>
      <c r="G153" s="235" t="s">
        <v>4271</v>
      </c>
      <c r="H153" s="440">
        <v>20089</v>
      </c>
      <c r="I153" s="194">
        <v>0</v>
      </c>
      <c r="J153" s="194">
        <v>15000</v>
      </c>
      <c r="K153" s="185">
        <v>1</v>
      </c>
      <c r="L153" s="183" t="s">
        <v>1948</v>
      </c>
      <c r="M153" s="183" t="s">
        <v>1784</v>
      </c>
      <c r="N153" s="183" t="s">
        <v>1784</v>
      </c>
      <c r="O153" s="440"/>
    </row>
    <row r="154" spans="1:15" s="182" customFormat="1" ht="21.75" customHeight="1" x14ac:dyDescent="0.15">
      <c r="A154" s="151" t="s">
        <v>4266</v>
      </c>
      <c r="B154" s="20" t="s">
        <v>3687</v>
      </c>
      <c r="C154" s="224" t="s">
        <v>3351</v>
      </c>
      <c r="D154" s="224" t="s">
        <v>3352</v>
      </c>
      <c r="E154" s="180" t="s">
        <v>3688</v>
      </c>
      <c r="F154" s="224" t="s">
        <v>3328</v>
      </c>
      <c r="G154" s="239" t="s">
        <v>3349</v>
      </c>
      <c r="H154" s="440">
        <v>19173</v>
      </c>
      <c r="I154" s="194">
        <v>0</v>
      </c>
      <c r="J154" s="194">
        <v>4000</v>
      </c>
      <c r="K154" s="185">
        <v>0.05</v>
      </c>
      <c r="L154" s="183" t="s">
        <v>1143</v>
      </c>
      <c r="M154" s="183" t="s">
        <v>158</v>
      </c>
      <c r="N154" s="183" t="s">
        <v>158</v>
      </c>
      <c r="O154" s="440"/>
    </row>
    <row r="155" spans="1:15" s="182" customFormat="1" ht="21.75" customHeight="1" x14ac:dyDescent="0.15">
      <c r="A155" s="151" t="s">
        <v>4274</v>
      </c>
      <c r="B155" s="20" t="s">
        <v>3687</v>
      </c>
      <c r="C155" s="224" t="s">
        <v>3351</v>
      </c>
      <c r="D155" s="224" t="s">
        <v>3352</v>
      </c>
      <c r="E155" s="180" t="s">
        <v>3688</v>
      </c>
      <c r="F155" s="224" t="s">
        <v>3328</v>
      </c>
      <c r="G155" s="239" t="s">
        <v>3349</v>
      </c>
      <c r="H155" s="492">
        <v>19173</v>
      </c>
      <c r="I155" s="194">
        <v>0</v>
      </c>
      <c r="J155" s="194">
        <v>20000</v>
      </c>
      <c r="K155" s="185">
        <v>0.25</v>
      </c>
      <c r="L155" s="183" t="s">
        <v>1143</v>
      </c>
      <c r="M155" s="183" t="s">
        <v>158</v>
      </c>
      <c r="N155" s="183" t="s">
        <v>158</v>
      </c>
      <c r="O155" s="440"/>
    </row>
    <row r="156" spans="1:15" s="182" customFormat="1" ht="21.75" customHeight="1" x14ac:dyDescent="0.15">
      <c r="A156" s="151" t="s">
        <v>4275</v>
      </c>
      <c r="B156" s="20" t="s">
        <v>226</v>
      </c>
      <c r="C156" s="493" t="s">
        <v>4276</v>
      </c>
      <c r="D156" s="493" t="s">
        <v>4277</v>
      </c>
      <c r="E156" s="493" t="s">
        <v>4278</v>
      </c>
      <c r="F156" s="494" t="s">
        <v>4189</v>
      </c>
      <c r="G156" s="479" t="s">
        <v>4279</v>
      </c>
      <c r="H156" s="440">
        <v>20047</v>
      </c>
      <c r="I156" s="194">
        <v>0</v>
      </c>
      <c r="J156" s="194">
        <v>76086</v>
      </c>
      <c r="K156" s="185">
        <v>0.9</v>
      </c>
      <c r="L156" s="183" t="s">
        <v>1147</v>
      </c>
      <c r="M156" s="494" t="s">
        <v>4280</v>
      </c>
      <c r="N156" s="494" t="s">
        <v>4280</v>
      </c>
      <c r="O156" s="440"/>
    </row>
    <row r="157" spans="1:15" s="182" customFormat="1" ht="21.75" customHeight="1" x14ac:dyDescent="0.15">
      <c r="A157" s="151" t="s">
        <v>4281</v>
      </c>
      <c r="B157" s="20" t="s">
        <v>1290</v>
      </c>
      <c r="C157" s="493" t="s">
        <v>4186</v>
      </c>
      <c r="D157" s="493" t="s">
        <v>4282</v>
      </c>
      <c r="E157" s="493" t="s">
        <v>4283</v>
      </c>
      <c r="F157" s="184" t="s">
        <v>3332</v>
      </c>
      <c r="G157" s="235" t="s">
        <v>3349</v>
      </c>
      <c r="H157" s="440">
        <v>19137</v>
      </c>
      <c r="I157" s="194">
        <v>0</v>
      </c>
      <c r="J157" s="194">
        <v>22500</v>
      </c>
      <c r="K157" s="222">
        <v>0.22500000000000001</v>
      </c>
      <c r="L157" s="183" t="s">
        <v>285</v>
      </c>
      <c r="M157" s="183" t="s">
        <v>2660</v>
      </c>
      <c r="N157" s="183" t="s">
        <v>2660</v>
      </c>
      <c r="O157" s="440"/>
    </row>
    <row r="158" spans="1:15" s="182" customFormat="1" ht="21.75" customHeight="1" x14ac:dyDescent="0.15">
      <c r="A158" s="151" t="s">
        <v>4284</v>
      </c>
      <c r="B158" s="20" t="s">
        <v>2361</v>
      </c>
      <c r="C158" s="495" t="s">
        <v>3346</v>
      </c>
      <c r="D158" s="495" t="s">
        <v>3702</v>
      </c>
      <c r="E158" s="495" t="s">
        <v>3406</v>
      </c>
      <c r="F158" s="184" t="s">
        <v>3328</v>
      </c>
      <c r="G158" s="235" t="s">
        <v>3349</v>
      </c>
      <c r="H158" s="440">
        <v>20013</v>
      </c>
      <c r="I158" s="194">
        <v>0</v>
      </c>
      <c r="J158" s="194">
        <v>50000</v>
      </c>
      <c r="K158" s="185">
        <v>0.5</v>
      </c>
      <c r="L158" s="183" t="s">
        <v>285</v>
      </c>
      <c r="M158" s="183" t="s">
        <v>1880</v>
      </c>
      <c r="N158" s="183" t="s">
        <v>1880</v>
      </c>
      <c r="O158" s="440"/>
    </row>
    <row r="159" spans="1:15" s="182" customFormat="1" ht="21.75" customHeight="1" x14ac:dyDescent="0.15">
      <c r="A159" s="151" t="s">
        <v>4284</v>
      </c>
      <c r="B159" s="20" t="s">
        <v>195</v>
      </c>
      <c r="C159" s="399" t="s">
        <v>3363</v>
      </c>
      <c r="D159" s="399" t="s">
        <v>3702</v>
      </c>
      <c r="E159" s="399" t="s">
        <v>3986</v>
      </c>
      <c r="F159" s="184" t="s">
        <v>3328</v>
      </c>
      <c r="G159" s="235" t="s">
        <v>3349</v>
      </c>
      <c r="H159" s="440">
        <v>19037</v>
      </c>
      <c r="I159" s="194">
        <v>0</v>
      </c>
      <c r="J159" s="194">
        <v>50000</v>
      </c>
      <c r="K159" s="185">
        <v>0.5</v>
      </c>
      <c r="L159" s="183" t="s">
        <v>285</v>
      </c>
      <c r="M159" s="183" t="s">
        <v>1880</v>
      </c>
      <c r="N159" s="183" t="s">
        <v>1880</v>
      </c>
      <c r="O159" s="440"/>
    </row>
    <row r="160" spans="1:15" s="182" customFormat="1" ht="21.75" customHeight="1" x14ac:dyDescent="0.15">
      <c r="A160" s="151" t="s">
        <v>4285</v>
      </c>
      <c r="B160" s="20" t="s">
        <v>1433</v>
      </c>
      <c r="C160" s="224" t="s">
        <v>3351</v>
      </c>
      <c r="D160" s="224" t="s">
        <v>3352</v>
      </c>
      <c r="E160" s="394" t="s">
        <v>3643</v>
      </c>
      <c r="F160" s="403" t="s">
        <v>3340</v>
      </c>
      <c r="G160" s="235" t="s">
        <v>3381</v>
      </c>
      <c r="H160" s="440">
        <v>19061</v>
      </c>
      <c r="I160" s="194">
        <v>0</v>
      </c>
      <c r="J160" s="194">
        <v>40000</v>
      </c>
      <c r="K160" s="185">
        <v>0.5</v>
      </c>
      <c r="L160" s="183" t="s">
        <v>285</v>
      </c>
      <c r="M160" s="183" t="s">
        <v>158</v>
      </c>
      <c r="N160" s="183" t="s">
        <v>158</v>
      </c>
      <c r="O160" s="440"/>
    </row>
    <row r="161" spans="1:15" s="182" customFormat="1" ht="21.75" customHeight="1" x14ac:dyDescent="0.15">
      <c r="A161" s="151" t="s">
        <v>4285</v>
      </c>
      <c r="B161" s="20" t="s">
        <v>1441</v>
      </c>
      <c r="C161" s="224" t="s">
        <v>3351</v>
      </c>
      <c r="D161" s="224" t="s">
        <v>3352</v>
      </c>
      <c r="E161" s="394" t="s">
        <v>2784</v>
      </c>
      <c r="F161" s="403" t="s">
        <v>3328</v>
      </c>
      <c r="G161" s="235" t="s">
        <v>3381</v>
      </c>
      <c r="H161" s="440">
        <v>19055</v>
      </c>
      <c r="I161" s="194">
        <v>0</v>
      </c>
      <c r="J161" s="194">
        <v>40000</v>
      </c>
      <c r="K161" s="185">
        <v>0.5</v>
      </c>
      <c r="L161" s="183" t="s">
        <v>285</v>
      </c>
      <c r="M161" s="183" t="s">
        <v>158</v>
      </c>
      <c r="N161" s="183" t="s">
        <v>158</v>
      </c>
      <c r="O161" s="440"/>
    </row>
    <row r="162" spans="1:15" s="182" customFormat="1" ht="21.75" customHeight="1" x14ac:dyDescent="0.15">
      <c r="A162" s="151" t="s">
        <v>4285</v>
      </c>
      <c r="B162" s="20" t="s">
        <v>1431</v>
      </c>
      <c r="C162" s="224" t="s">
        <v>3351</v>
      </c>
      <c r="D162" s="224" t="s">
        <v>3352</v>
      </c>
      <c r="E162" s="409" t="s">
        <v>2796</v>
      </c>
      <c r="F162" s="403" t="s">
        <v>3328</v>
      </c>
      <c r="G162" s="235" t="s">
        <v>3381</v>
      </c>
      <c r="H162" s="440">
        <v>19058</v>
      </c>
      <c r="I162" s="194">
        <v>0</v>
      </c>
      <c r="J162" s="194">
        <v>40000</v>
      </c>
      <c r="K162" s="185">
        <v>0.5</v>
      </c>
      <c r="L162" s="183" t="s">
        <v>285</v>
      </c>
      <c r="M162" s="183" t="s">
        <v>158</v>
      </c>
      <c r="N162" s="183" t="s">
        <v>158</v>
      </c>
      <c r="O162" s="440"/>
    </row>
    <row r="163" spans="1:15" s="182" customFormat="1" ht="21.75" customHeight="1" x14ac:dyDescent="0.15">
      <c r="A163" s="151" t="s">
        <v>4285</v>
      </c>
      <c r="B163" s="20" t="s">
        <v>4286</v>
      </c>
      <c r="C163" s="184" t="s">
        <v>3363</v>
      </c>
      <c r="D163" s="184" t="s">
        <v>3326</v>
      </c>
      <c r="E163" s="184" t="s">
        <v>4287</v>
      </c>
      <c r="F163" s="184" t="s">
        <v>3328</v>
      </c>
      <c r="G163" s="235" t="s">
        <v>4065</v>
      </c>
      <c r="H163" s="440">
        <v>20091</v>
      </c>
      <c r="I163" s="194">
        <v>0</v>
      </c>
      <c r="J163" s="194">
        <v>89010</v>
      </c>
      <c r="K163" s="185">
        <v>0.9</v>
      </c>
      <c r="L163" s="183" t="s">
        <v>1147</v>
      </c>
      <c r="M163" s="183" t="s">
        <v>2660</v>
      </c>
      <c r="N163" s="183" t="s">
        <v>2660</v>
      </c>
      <c r="O163" s="440"/>
    </row>
    <row r="164" spans="1:15" s="182" customFormat="1" ht="21.75" customHeight="1" x14ac:dyDescent="0.15">
      <c r="A164" s="151" t="s">
        <v>4285</v>
      </c>
      <c r="B164" s="20" t="s">
        <v>1428</v>
      </c>
      <c r="C164" s="224" t="s">
        <v>3351</v>
      </c>
      <c r="D164" s="224" t="s">
        <v>3352</v>
      </c>
      <c r="E164" s="394" t="s">
        <v>2787</v>
      </c>
      <c r="F164" s="403" t="s">
        <v>3328</v>
      </c>
      <c r="G164" s="235" t="s">
        <v>3381</v>
      </c>
      <c r="H164" s="496">
        <v>19057</v>
      </c>
      <c r="I164" s="194">
        <v>0</v>
      </c>
      <c r="J164" s="194">
        <v>40000</v>
      </c>
      <c r="K164" s="185">
        <v>0.5</v>
      </c>
      <c r="L164" s="183" t="s">
        <v>285</v>
      </c>
      <c r="M164" s="183" t="s">
        <v>158</v>
      </c>
      <c r="N164" s="183" t="s">
        <v>158</v>
      </c>
      <c r="O164" s="440"/>
    </row>
    <row r="165" spans="1:15" s="182" customFormat="1" ht="21.75" customHeight="1" x14ac:dyDescent="0.15">
      <c r="A165" s="151" t="s">
        <v>4285</v>
      </c>
      <c r="B165" s="20" t="s">
        <v>1428</v>
      </c>
      <c r="C165" s="224" t="s">
        <v>3351</v>
      </c>
      <c r="D165" s="224" t="s">
        <v>3352</v>
      </c>
      <c r="E165" s="394" t="s">
        <v>2788</v>
      </c>
      <c r="F165" s="403" t="s">
        <v>3340</v>
      </c>
      <c r="G165" s="235" t="s">
        <v>3381</v>
      </c>
      <c r="H165" s="496">
        <v>19059</v>
      </c>
      <c r="I165" s="194">
        <v>0</v>
      </c>
      <c r="J165" s="194">
        <v>40000</v>
      </c>
      <c r="K165" s="185">
        <v>0.5</v>
      </c>
      <c r="L165" s="183" t="s">
        <v>285</v>
      </c>
      <c r="M165" s="183" t="s">
        <v>158</v>
      </c>
      <c r="N165" s="183" t="s">
        <v>158</v>
      </c>
      <c r="O165" s="440"/>
    </row>
    <row r="166" spans="1:15" s="182" customFormat="1" ht="21.75" customHeight="1" x14ac:dyDescent="0.15">
      <c r="A166" s="151" t="s">
        <v>4285</v>
      </c>
      <c r="B166" s="20" t="s">
        <v>1428</v>
      </c>
      <c r="C166" s="224" t="s">
        <v>3351</v>
      </c>
      <c r="D166" s="224" t="s">
        <v>3352</v>
      </c>
      <c r="E166" s="394" t="s">
        <v>2789</v>
      </c>
      <c r="F166" s="403" t="s">
        <v>3340</v>
      </c>
      <c r="G166" s="235" t="s">
        <v>3381</v>
      </c>
      <c r="H166" s="496">
        <v>19060</v>
      </c>
      <c r="I166" s="194">
        <v>0</v>
      </c>
      <c r="J166" s="194">
        <v>40000</v>
      </c>
      <c r="K166" s="185">
        <v>0.5</v>
      </c>
      <c r="L166" s="183" t="s">
        <v>285</v>
      </c>
      <c r="M166" s="183" t="s">
        <v>158</v>
      </c>
      <c r="N166" s="183" t="s">
        <v>158</v>
      </c>
      <c r="O166" s="440"/>
    </row>
    <row r="167" spans="1:15" s="182" customFormat="1" ht="21.75" customHeight="1" x14ac:dyDescent="0.15">
      <c r="A167" s="151" t="s">
        <v>4288</v>
      </c>
      <c r="B167" s="20" t="s">
        <v>4289</v>
      </c>
      <c r="C167" s="497" t="s">
        <v>3337</v>
      </c>
      <c r="D167" s="497" t="s">
        <v>3463</v>
      </c>
      <c r="E167" s="497" t="s">
        <v>4290</v>
      </c>
      <c r="F167" s="184" t="s">
        <v>3328</v>
      </c>
      <c r="G167" s="235" t="s">
        <v>3336</v>
      </c>
      <c r="H167" s="440">
        <v>20068</v>
      </c>
      <c r="I167" s="194">
        <v>0</v>
      </c>
      <c r="J167" s="194">
        <v>49500</v>
      </c>
      <c r="K167" s="185">
        <v>1</v>
      </c>
      <c r="L167" s="183" t="s">
        <v>1948</v>
      </c>
      <c r="M167" s="183" t="s">
        <v>190</v>
      </c>
      <c r="N167" s="183" t="s">
        <v>190</v>
      </c>
      <c r="O167" s="440"/>
    </row>
    <row r="168" spans="1:15" s="182" customFormat="1" ht="21.75" customHeight="1" x14ac:dyDescent="0.15">
      <c r="A168" s="151" t="s">
        <v>4288</v>
      </c>
      <c r="B168" s="20" t="s">
        <v>1457</v>
      </c>
      <c r="C168" s="399" t="s">
        <v>3368</v>
      </c>
      <c r="D168" s="399" t="s">
        <v>3369</v>
      </c>
      <c r="E168" s="399" t="s">
        <v>3466</v>
      </c>
      <c r="F168" s="224" t="s">
        <v>3328</v>
      </c>
      <c r="G168" s="239" t="s">
        <v>3349</v>
      </c>
      <c r="H168" s="440">
        <v>19123</v>
      </c>
      <c r="I168" s="194">
        <v>0</v>
      </c>
      <c r="J168" s="194">
        <v>79490</v>
      </c>
      <c r="K168" s="185" t="s">
        <v>4291</v>
      </c>
      <c r="L168" s="183" t="s">
        <v>285</v>
      </c>
      <c r="M168" s="183" t="s">
        <v>158</v>
      </c>
      <c r="N168" s="183" t="s">
        <v>158</v>
      </c>
      <c r="O168" s="440"/>
    </row>
    <row r="169" spans="1:15" s="182" customFormat="1" ht="27" customHeight="1" x14ac:dyDescent="0.15">
      <c r="A169" s="151" t="s">
        <v>4288</v>
      </c>
      <c r="B169" s="20" t="s">
        <v>4292</v>
      </c>
      <c r="C169" s="399" t="s">
        <v>3337</v>
      </c>
      <c r="D169" s="391" t="s">
        <v>3352</v>
      </c>
      <c r="E169" s="405" t="s">
        <v>4270</v>
      </c>
      <c r="F169" s="418" t="s">
        <v>4293</v>
      </c>
      <c r="G169" s="235" t="s">
        <v>4138</v>
      </c>
      <c r="H169" s="440">
        <v>19028</v>
      </c>
      <c r="I169" s="194">
        <v>636233</v>
      </c>
      <c r="J169" s="194">
        <v>0</v>
      </c>
      <c r="K169" s="185">
        <v>0.95</v>
      </c>
      <c r="L169" s="183" t="s">
        <v>1172</v>
      </c>
      <c r="M169" s="183" t="s">
        <v>190</v>
      </c>
      <c r="N169" s="183" t="s">
        <v>190</v>
      </c>
      <c r="O169" s="440" t="s">
        <v>4294</v>
      </c>
    </row>
    <row r="170" spans="1:15" s="182" customFormat="1" ht="21.75" customHeight="1" x14ac:dyDescent="0.15">
      <c r="A170" s="151" t="s">
        <v>4295</v>
      </c>
      <c r="B170" s="20" t="s">
        <v>3527</v>
      </c>
      <c r="C170" s="399" t="s">
        <v>3351</v>
      </c>
      <c r="D170" s="391" t="s">
        <v>3354</v>
      </c>
      <c r="E170" s="399" t="s">
        <v>3635</v>
      </c>
      <c r="F170" s="184" t="s">
        <v>3328</v>
      </c>
      <c r="G170" s="235" t="s">
        <v>3341</v>
      </c>
      <c r="H170" s="440">
        <v>19011</v>
      </c>
      <c r="I170" s="194">
        <v>0</v>
      </c>
      <c r="J170" s="194">
        <v>75000</v>
      </c>
      <c r="K170" s="185">
        <v>0.25</v>
      </c>
      <c r="L170" s="183" t="s">
        <v>285</v>
      </c>
      <c r="M170" s="183" t="s">
        <v>158</v>
      </c>
      <c r="N170" s="183" t="s">
        <v>158</v>
      </c>
      <c r="O170" s="440"/>
    </row>
    <row r="171" spans="1:15" s="182" customFormat="1" ht="21.75" customHeight="1" x14ac:dyDescent="0.15">
      <c r="A171" s="151" t="s">
        <v>4295</v>
      </c>
      <c r="B171" s="20" t="s">
        <v>4296</v>
      </c>
      <c r="C171" s="399" t="s">
        <v>3346</v>
      </c>
      <c r="D171" s="391" t="s">
        <v>3326</v>
      </c>
      <c r="E171" s="405" t="s">
        <v>4298</v>
      </c>
      <c r="F171" s="418" t="s">
        <v>3328</v>
      </c>
      <c r="G171" s="235" t="s">
        <v>3999</v>
      </c>
      <c r="H171" s="440">
        <v>19109</v>
      </c>
      <c r="I171" s="194">
        <v>0</v>
      </c>
      <c r="J171" s="194">
        <v>95000</v>
      </c>
      <c r="K171" s="185">
        <v>1</v>
      </c>
      <c r="L171" s="183" t="s">
        <v>1948</v>
      </c>
      <c r="M171" s="183" t="s">
        <v>1880</v>
      </c>
      <c r="N171" s="183" t="s">
        <v>1880</v>
      </c>
      <c r="O171" s="440"/>
    </row>
    <row r="172" spans="1:15" s="182" customFormat="1" ht="21.75" customHeight="1" x14ac:dyDescent="0.15">
      <c r="A172" s="151" t="s">
        <v>4295</v>
      </c>
      <c r="B172" s="20" t="s">
        <v>4296</v>
      </c>
      <c r="C172" s="399" t="s">
        <v>3346</v>
      </c>
      <c r="D172" s="391" t="s">
        <v>3326</v>
      </c>
      <c r="E172" s="405" t="s">
        <v>4298</v>
      </c>
      <c r="F172" s="418" t="s">
        <v>3328</v>
      </c>
      <c r="G172" s="235" t="s">
        <v>3529</v>
      </c>
      <c r="H172" s="440">
        <v>19110</v>
      </c>
      <c r="I172" s="194">
        <v>0</v>
      </c>
      <c r="J172" s="194">
        <v>120000</v>
      </c>
      <c r="K172" s="185">
        <v>1</v>
      </c>
      <c r="L172" s="183" t="s">
        <v>1948</v>
      </c>
      <c r="M172" s="183" t="s">
        <v>1880</v>
      </c>
      <c r="N172" s="183" t="s">
        <v>1880</v>
      </c>
      <c r="O172" s="440"/>
    </row>
    <row r="173" spans="1:15" s="182" customFormat="1" ht="21.75" customHeight="1" x14ac:dyDescent="0.15">
      <c r="A173" s="151" t="s">
        <v>4295</v>
      </c>
      <c r="B173" s="20" t="s">
        <v>4297</v>
      </c>
      <c r="C173" s="498" t="s">
        <v>3664</v>
      </c>
      <c r="D173" s="499" t="s">
        <v>4115</v>
      </c>
      <c r="E173" s="498" t="s">
        <v>4299</v>
      </c>
      <c r="F173" s="500" t="s">
        <v>4300</v>
      </c>
      <c r="G173" s="501" t="s">
        <v>4301</v>
      </c>
      <c r="H173" s="440">
        <v>17147</v>
      </c>
      <c r="I173" s="194">
        <v>0</v>
      </c>
      <c r="J173" s="194">
        <v>226000</v>
      </c>
      <c r="K173" s="185">
        <v>0.6</v>
      </c>
      <c r="L173" s="183" t="s">
        <v>4302</v>
      </c>
      <c r="M173" s="183" t="s">
        <v>170</v>
      </c>
      <c r="N173" s="183" t="s">
        <v>170</v>
      </c>
      <c r="O173" s="440"/>
    </row>
    <row r="174" spans="1:15" s="182" customFormat="1" ht="21.75" customHeight="1" x14ac:dyDescent="0.15">
      <c r="A174" s="151" t="s">
        <v>4295</v>
      </c>
      <c r="B174" s="20" t="s">
        <v>1341</v>
      </c>
      <c r="C174" s="399" t="s">
        <v>3337</v>
      </c>
      <c r="D174" s="399" t="s">
        <v>3347</v>
      </c>
      <c r="E174" s="409" t="s">
        <v>4303</v>
      </c>
      <c r="F174" s="410" t="s">
        <v>3328</v>
      </c>
      <c r="G174" s="411" t="s">
        <v>3453</v>
      </c>
      <c r="H174" s="440">
        <v>14069</v>
      </c>
      <c r="I174" s="194">
        <v>0</v>
      </c>
      <c r="J174" s="194">
        <v>39500</v>
      </c>
      <c r="K174" s="185">
        <v>0.1</v>
      </c>
      <c r="L174" s="183" t="s">
        <v>1143</v>
      </c>
      <c r="M174" s="183" t="s">
        <v>190</v>
      </c>
      <c r="N174" s="183" t="s">
        <v>190</v>
      </c>
      <c r="O174" s="440"/>
    </row>
    <row r="175" spans="1:15" s="182" customFormat="1" ht="21.75" customHeight="1" x14ac:dyDescent="0.15">
      <c r="A175" s="151" t="s">
        <v>4295</v>
      </c>
      <c r="B175" s="20" t="s">
        <v>3002</v>
      </c>
      <c r="C175" s="224" t="s">
        <v>3337</v>
      </c>
      <c r="D175" s="224" t="s">
        <v>3338</v>
      </c>
      <c r="E175" s="224" t="s">
        <v>3339</v>
      </c>
      <c r="F175" s="224" t="s">
        <v>3340</v>
      </c>
      <c r="G175" s="239" t="s">
        <v>3349</v>
      </c>
      <c r="H175" s="440">
        <v>20045</v>
      </c>
      <c r="I175" s="194">
        <v>0</v>
      </c>
      <c r="J175" s="194">
        <v>40000</v>
      </c>
      <c r="K175" s="185">
        <v>0.5</v>
      </c>
      <c r="L175" s="183" t="s">
        <v>285</v>
      </c>
      <c r="M175" s="183" t="s">
        <v>190</v>
      </c>
      <c r="N175" s="183" t="s">
        <v>190</v>
      </c>
      <c r="O175" s="440"/>
    </row>
    <row r="176" spans="1:15" s="182" customFormat="1" ht="21.75" customHeight="1" x14ac:dyDescent="0.15">
      <c r="A176" s="151" t="s">
        <v>4304</v>
      </c>
      <c r="B176" s="20" t="s">
        <v>3164</v>
      </c>
      <c r="C176" s="224" t="s">
        <v>3351</v>
      </c>
      <c r="D176" s="224" t="s">
        <v>3352</v>
      </c>
      <c r="E176" s="180" t="s">
        <v>4068</v>
      </c>
      <c r="F176" s="224" t="s">
        <v>3340</v>
      </c>
      <c r="G176" s="239" t="s">
        <v>3349</v>
      </c>
      <c r="H176" s="440">
        <v>19175</v>
      </c>
      <c r="I176" s="194">
        <v>0</v>
      </c>
      <c r="J176" s="194">
        <v>24000</v>
      </c>
      <c r="K176" s="185">
        <v>0.3</v>
      </c>
      <c r="L176" s="183" t="s">
        <v>285</v>
      </c>
      <c r="M176" s="183" t="s">
        <v>158</v>
      </c>
      <c r="N176" s="183" t="s">
        <v>158</v>
      </c>
      <c r="O176" s="440"/>
    </row>
    <row r="177" spans="1:15" s="182" customFormat="1" ht="21.75" customHeight="1" x14ac:dyDescent="0.15">
      <c r="A177" s="151" t="s">
        <v>4305</v>
      </c>
      <c r="B177" s="20" t="s">
        <v>192</v>
      </c>
      <c r="C177" s="502" t="s">
        <v>3325</v>
      </c>
      <c r="D177" s="502" t="s">
        <v>3352</v>
      </c>
      <c r="E177" s="502" t="s">
        <v>3630</v>
      </c>
      <c r="F177" s="184" t="s">
        <v>3328</v>
      </c>
      <c r="G177" s="235" t="s">
        <v>3349</v>
      </c>
      <c r="H177" s="440">
        <v>20118</v>
      </c>
      <c r="I177" s="194">
        <v>0</v>
      </c>
      <c r="J177" s="194">
        <v>89000</v>
      </c>
      <c r="K177" s="185">
        <v>1</v>
      </c>
      <c r="L177" s="183" t="s">
        <v>285</v>
      </c>
      <c r="M177" s="183" t="s">
        <v>2660</v>
      </c>
      <c r="N177" s="183" t="s">
        <v>2660</v>
      </c>
      <c r="O177" s="440"/>
    </row>
    <row r="178" spans="1:15" s="182" customFormat="1" ht="21.75" customHeight="1" x14ac:dyDescent="0.15">
      <c r="A178" s="151" t="s">
        <v>4306</v>
      </c>
      <c r="B178" s="20" t="s">
        <v>569</v>
      </c>
      <c r="C178" s="502" t="s">
        <v>3363</v>
      </c>
      <c r="D178" s="502" t="s">
        <v>3439</v>
      </c>
      <c r="E178" s="502" t="s">
        <v>3859</v>
      </c>
      <c r="F178" s="184" t="s">
        <v>3328</v>
      </c>
      <c r="G178" s="235" t="s">
        <v>3386</v>
      </c>
      <c r="H178" s="440">
        <v>20110</v>
      </c>
      <c r="I178" s="194">
        <v>0</v>
      </c>
      <c r="J178" s="194">
        <v>24000</v>
      </c>
      <c r="K178" s="185">
        <v>1</v>
      </c>
      <c r="L178" s="183" t="s">
        <v>1948</v>
      </c>
      <c r="M178" s="183" t="s">
        <v>2660</v>
      </c>
      <c r="N178" s="183" t="s">
        <v>2660</v>
      </c>
      <c r="O178" s="440"/>
    </row>
    <row r="179" spans="1:15" s="182" customFormat="1" ht="21.75" customHeight="1" x14ac:dyDescent="0.15">
      <c r="A179" s="151" t="s">
        <v>4307</v>
      </c>
      <c r="B179" s="20" t="s">
        <v>3815</v>
      </c>
      <c r="C179" s="184" t="s">
        <v>3363</v>
      </c>
      <c r="D179" s="184" t="s">
        <v>3439</v>
      </c>
      <c r="E179" s="184" t="s">
        <v>4308</v>
      </c>
      <c r="F179" s="418" t="s">
        <v>3328</v>
      </c>
      <c r="G179" s="235" t="s">
        <v>3817</v>
      </c>
      <c r="H179" s="440">
        <v>19044</v>
      </c>
      <c r="I179" s="194">
        <v>0</v>
      </c>
      <c r="J179" s="194">
        <v>26301.73</v>
      </c>
      <c r="K179" s="185">
        <v>0.1</v>
      </c>
      <c r="L179" s="183" t="s">
        <v>1143</v>
      </c>
      <c r="M179" s="183" t="s">
        <v>155</v>
      </c>
      <c r="N179" s="183" t="s">
        <v>2660</v>
      </c>
      <c r="O179" s="440"/>
    </row>
    <row r="180" spans="1:15" s="182" customFormat="1" ht="21.75" customHeight="1" x14ac:dyDescent="0.15">
      <c r="A180" s="151" t="s">
        <v>4307</v>
      </c>
      <c r="B180" s="20" t="s">
        <v>1828</v>
      </c>
      <c r="C180" s="276" t="s">
        <v>4309</v>
      </c>
      <c r="D180" s="391" t="s">
        <v>3347</v>
      </c>
      <c r="E180" s="394" t="s">
        <v>3998</v>
      </c>
      <c r="F180" s="184" t="s">
        <v>3332</v>
      </c>
      <c r="G180" s="235" t="s">
        <v>3359</v>
      </c>
      <c r="H180" s="440">
        <v>16116</v>
      </c>
      <c r="I180" s="194">
        <v>0</v>
      </c>
      <c r="J180" s="194">
        <v>29900</v>
      </c>
      <c r="K180" s="185">
        <v>0.05</v>
      </c>
      <c r="L180" s="183" t="s">
        <v>1143</v>
      </c>
      <c r="M180" s="183" t="s">
        <v>170</v>
      </c>
      <c r="N180" s="183" t="s">
        <v>170</v>
      </c>
      <c r="O180" s="440"/>
    </row>
    <row r="181" spans="1:15" s="182" customFormat="1" ht="21.75" customHeight="1" x14ac:dyDescent="0.15">
      <c r="A181" s="151" t="s">
        <v>4307</v>
      </c>
      <c r="B181" s="20" t="s">
        <v>226</v>
      </c>
      <c r="C181" s="399" t="s">
        <v>4310</v>
      </c>
      <c r="D181" s="399" t="s">
        <v>4311</v>
      </c>
      <c r="E181" s="403" t="s">
        <v>4312</v>
      </c>
      <c r="F181" s="224" t="s">
        <v>3328</v>
      </c>
      <c r="G181" s="239" t="s">
        <v>3566</v>
      </c>
      <c r="H181" s="440">
        <v>18091</v>
      </c>
      <c r="I181" s="194">
        <v>0</v>
      </c>
      <c r="J181" s="194">
        <v>100000</v>
      </c>
      <c r="K181" s="185" t="s">
        <v>3105</v>
      </c>
      <c r="L181" s="183" t="s">
        <v>285</v>
      </c>
      <c r="M181" s="183" t="s">
        <v>155</v>
      </c>
      <c r="N181" s="183" t="s">
        <v>2660</v>
      </c>
      <c r="O181" s="440"/>
    </row>
    <row r="182" spans="1:15" s="182" customFormat="1" ht="21.75" customHeight="1" x14ac:dyDescent="0.15">
      <c r="A182" s="151" t="s">
        <v>4313</v>
      </c>
      <c r="B182" s="20" t="s">
        <v>3480</v>
      </c>
      <c r="C182" s="453" t="s">
        <v>3346</v>
      </c>
      <c r="D182" s="453" t="s">
        <v>3481</v>
      </c>
      <c r="E182" s="428" t="s">
        <v>3482</v>
      </c>
      <c r="F182" s="206" t="s">
        <v>3483</v>
      </c>
      <c r="G182" s="243" t="s">
        <v>3483</v>
      </c>
      <c r="H182" s="503">
        <v>18031</v>
      </c>
      <c r="I182" s="194">
        <v>0</v>
      </c>
      <c r="J182" s="194">
        <v>6000</v>
      </c>
      <c r="K182" s="185" t="s">
        <v>4117</v>
      </c>
      <c r="L182" s="183" t="s">
        <v>1948</v>
      </c>
      <c r="M182" s="183" t="s">
        <v>1880</v>
      </c>
      <c r="N182" s="183" t="s">
        <v>1880</v>
      </c>
      <c r="O182" s="440"/>
    </row>
    <row r="183" spans="1:15" s="182" customFormat="1" ht="21.75" customHeight="1" x14ac:dyDescent="0.15">
      <c r="A183" s="151" t="s">
        <v>4314</v>
      </c>
      <c r="B183" s="20" t="s">
        <v>569</v>
      </c>
      <c r="C183" s="224" t="s">
        <v>3363</v>
      </c>
      <c r="D183" s="224" t="s">
        <v>3439</v>
      </c>
      <c r="E183" s="224" t="s">
        <v>3859</v>
      </c>
      <c r="F183" s="224" t="s">
        <v>3328</v>
      </c>
      <c r="G183" s="239" t="s">
        <v>3566</v>
      </c>
      <c r="H183" s="440">
        <v>18196</v>
      </c>
      <c r="I183" s="194">
        <v>0</v>
      </c>
      <c r="J183" s="194">
        <v>100000</v>
      </c>
      <c r="K183" s="185" t="s">
        <v>3105</v>
      </c>
      <c r="L183" s="183" t="s">
        <v>285</v>
      </c>
      <c r="M183" s="183" t="s">
        <v>155</v>
      </c>
      <c r="N183" s="183" t="s">
        <v>2660</v>
      </c>
      <c r="O183" s="440"/>
    </row>
    <row r="184" spans="1:15" s="182" customFormat="1" ht="21.75" customHeight="1" x14ac:dyDescent="0.15">
      <c r="A184" s="151" t="s">
        <v>4314</v>
      </c>
      <c r="B184" s="20" t="s">
        <v>1435</v>
      </c>
      <c r="C184" s="224" t="s">
        <v>3351</v>
      </c>
      <c r="D184" s="224" t="s">
        <v>3352</v>
      </c>
      <c r="E184" s="184" t="s">
        <v>2795</v>
      </c>
      <c r="F184" s="403" t="s">
        <v>3328</v>
      </c>
      <c r="G184" s="235" t="s">
        <v>3349</v>
      </c>
      <c r="H184" s="178">
        <v>19054</v>
      </c>
      <c r="I184" s="194">
        <v>0</v>
      </c>
      <c r="J184" s="194">
        <v>40000</v>
      </c>
      <c r="K184" s="185">
        <v>0.5</v>
      </c>
      <c r="L184" s="183" t="s">
        <v>285</v>
      </c>
      <c r="M184" s="183" t="s">
        <v>158</v>
      </c>
      <c r="N184" s="183" t="s">
        <v>158</v>
      </c>
      <c r="O184" s="505"/>
    </row>
    <row r="185" spans="1:15" s="182" customFormat="1" ht="21.75" customHeight="1" x14ac:dyDescent="0.15">
      <c r="A185" s="151" t="s">
        <v>4315</v>
      </c>
      <c r="B185" s="20" t="s">
        <v>1675</v>
      </c>
      <c r="C185" s="399" t="s">
        <v>4316</v>
      </c>
      <c r="D185" s="399" t="s">
        <v>4317</v>
      </c>
      <c r="E185" s="409" t="s">
        <v>4318</v>
      </c>
      <c r="F185" s="184" t="s">
        <v>3579</v>
      </c>
      <c r="G185" s="235" t="s">
        <v>4223</v>
      </c>
      <c r="H185" s="440">
        <v>16074</v>
      </c>
      <c r="I185" s="194">
        <v>0</v>
      </c>
      <c r="J185" s="194">
        <v>50400</v>
      </c>
      <c r="K185" s="185">
        <v>0.4</v>
      </c>
      <c r="L185" s="183" t="s">
        <v>2449</v>
      </c>
      <c r="M185" s="183" t="s">
        <v>165</v>
      </c>
      <c r="N185" s="183" t="s">
        <v>2660</v>
      </c>
      <c r="O185" s="440"/>
    </row>
    <row r="186" spans="1:15" s="182" customFormat="1" ht="21.75" customHeight="1" x14ac:dyDescent="0.15">
      <c r="A186" s="151" t="s">
        <v>4315</v>
      </c>
      <c r="B186" s="20" t="s">
        <v>2275</v>
      </c>
      <c r="C186" s="392" t="s">
        <v>4319</v>
      </c>
      <c r="D186" s="392" t="s">
        <v>4320</v>
      </c>
      <c r="E186" s="506" t="s">
        <v>4321</v>
      </c>
      <c r="F186" s="442" t="s">
        <v>4137</v>
      </c>
      <c r="G186" s="460" t="s">
        <v>4322</v>
      </c>
      <c r="H186" s="178">
        <v>17114</v>
      </c>
      <c r="I186" s="194">
        <v>0</v>
      </c>
      <c r="J186" s="194">
        <v>21350</v>
      </c>
      <c r="K186" s="185">
        <v>0.1</v>
      </c>
      <c r="L186" s="183" t="s">
        <v>1143</v>
      </c>
      <c r="M186" s="183" t="s">
        <v>1617</v>
      </c>
      <c r="N186" s="183" t="s">
        <v>3388</v>
      </c>
      <c r="O186" s="440"/>
    </row>
    <row r="187" spans="1:15" s="182" customFormat="1" ht="21.75" customHeight="1" x14ac:dyDescent="0.15">
      <c r="A187" s="151" t="s">
        <v>4315</v>
      </c>
      <c r="B187" s="20" t="s">
        <v>1290</v>
      </c>
      <c r="C187" s="184" t="s">
        <v>3363</v>
      </c>
      <c r="D187" s="184" t="s">
        <v>3460</v>
      </c>
      <c r="E187" s="184" t="s">
        <v>3461</v>
      </c>
      <c r="F187" s="184" t="s">
        <v>3328</v>
      </c>
      <c r="G187" s="235" t="s">
        <v>3386</v>
      </c>
      <c r="H187" s="178">
        <v>20121</v>
      </c>
      <c r="I187" s="194">
        <v>0</v>
      </c>
      <c r="J187" s="194">
        <v>30000</v>
      </c>
      <c r="K187" s="185">
        <v>1</v>
      </c>
      <c r="L187" s="183" t="s">
        <v>1948</v>
      </c>
      <c r="M187" s="183" t="s">
        <v>2660</v>
      </c>
      <c r="N187" s="183" t="s">
        <v>2660</v>
      </c>
      <c r="O187" s="440"/>
    </row>
    <row r="188" spans="1:15" s="182" customFormat="1" ht="21.75" customHeight="1" x14ac:dyDescent="0.15">
      <c r="A188" s="151" t="s">
        <v>4323</v>
      </c>
      <c r="B188" s="20" t="s">
        <v>2361</v>
      </c>
      <c r="C188" s="505" t="s">
        <v>3346</v>
      </c>
      <c r="D188" s="505" t="s">
        <v>3702</v>
      </c>
      <c r="E188" s="505" t="s">
        <v>4325</v>
      </c>
      <c r="F188" s="184" t="s">
        <v>3328</v>
      </c>
      <c r="G188" s="235" t="s">
        <v>3336</v>
      </c>
      <c r="H188" s="178">
        <v>20096</v>
      </c>
      <c r="I188" s="194">
        <v>0</v>
      </c>
      <c r="J188" s="194">
        <v>90273.75</v>
      </c>
      <c r="K188" s="185">
        <v>0.95</v>
      </c>
      <c r="L188" s="183" t="s">
        <v>1147</v>
      </c>
      <c r="M188" s="183" t="s">
        <v>1880</v>
      </c>
      <c r="N188" s="183" t="s">
        <v>1880</v>
      </c>
      <c r="O188" s="440"/>
    </row>
    <row r="189" spans="1:15" s="182" customFormat="1" ht="21.75" customHeight="1" x14ac:dyDescent="0.15">
      <c r="A189" s="151" t="s">
        <v>4323</v>
      </c>
      <c r="B189" s="20" t="s">
        <v>3657</v>
      </c>
      <c r="C189" s="399" t="s">
        <v>3376</v>
      </c>
      <c r="D189" s="427" t="s">
        <v>3516</v>
      </c>
      <c r="E189" s="405" t="s">
        <v>3660</v>
      </c>
      <c r="F189" s="184" t="s">
        <v>3332</v>
      </c>
      <c r="G189" s="235" t="s">
        <v>3341</v>
      </c>
      <c r="H189" s="178">
        <v>19132</v>
      </c>
      <c r="I189" s="194">
        <v>0</v>
      </c>
      <c r="J189" s="194">
        <v>50000</v>
      </c>
      <c r="K189" s="185">
        <v>0.25</v>
      </c>
      <c r="L189" s="183" t="s">
        <v>285</v>
      </c>
      <c r="M189" s="183" t="s">
        <v>170</v>
      </c>
      <c r="N189" s="183" t="s">
        <v>170</v>
      </c>
      <c r="O189" s="440"/>
    </row>
    <row r="190" spans="1:15" s="182" customFormat="1" ht="21.75" customHeight="1" x14ac:dyDescent="0.15">
      <c r="A190" s="151" t="s">
        <v>4324</v>
      </c>
      <c r="B190" s="20" t="s">
        <v>1869</v>
      </c>
      <c r="C190" s="236" t="s">
        <v>3376</v>
      </c>
      <c r="D190" s="504" t="s">
        <v>3682</v>
      </c>
      <c r="E190" s="180" t="s">
        <v>4243</v>
      </c>
      <c r="F190" s="224" t="s">
        <v>3328</v>
      </c>
      <c r="G190" s="235" t="s">
        <v>3353</v>
      </c>
      <c r="H190" s="440">
        <v>20086</v>
      </c>
      <c r="I190" s="194">
        <v>0</v>
      </c>
      <c r="J190" s="194">
        <v>10800</v>
      </c>
      <c r="K190" s="185">
        <v>0.9</v>
      </c>
      <c r="L190" s="183" t="s">
        <v>1147</v>
      </c>
      <c r="M190" s="183" t="s">
        <v>170</v>
      </c>
      <c r="N190" s="183" t="s">
        <v>170</v>
      </c>
      <c r="O190" s="440"/>
    </row>
    <row r="191" spans="1:15" s="182" customFormat="1" ht="21.75" customHeight="1" x14ac:dyDescent="0.15">
      <c r="A191" s="151" t="s">
        <v>4324</v>
      </c>
      <c r="B191" s="20" t="s">
        <v>1562</v>
      </c>
      <c r="C191" s="184" t="s">
        <v>3376</v>
      </c>
      <c r="D191" s="184" t="s">
        <v>3682</v>
      </c>
      <c r="E191" s="184" t="s">
        <v>3683</v>
      </c>
      <c r="F191" s="184" t="s">
        <v>3328</v>
      </c>
      <c r="G191" s="235" t="s">
        <v>3353</v>
      </c>
      <c r="H191" s="440">
        <v>20120</v>
      </c>
      <c r="I191" s="194">
        <v>0</v>
      </c>
      <c r="J191" s="194">
        <v>33000</v>
      </c>
      <c r="K191" s="185">
        <v>1</v>
      </c>
      <c r="L191" s="183" t="s">
        <v>2449</v>
      </c>
      <c r="M191" s="183" t="s">
        <v>170</v>
      </c>
      <c r="N191" s="183" t="s">
        <v>170</v>
      </c>
      <c r="O191" s="440"/>
    </row>
    <row r="192" spans="1:15" s="182" customFormat="1" ht="21.75" customHeight="1" x14ac:dyDescent="0.15">
      <c r="A192" s="151" t="s">
        <v>4324</v>
      </c>
      <c r="B192" s="20" t="s">
        <v>2690</v>
      </c>
      <c r="C192" s="236" t="s">
        <v>3376</v>
      </c>
      <c r="D192" s="504" t="s">
        <v>3682</v>
      </c>
      <c r="E192" s="180" t="s">
        <v>4245</v>
      </c>
      <c r="F192" s="224" t="s">
        <v>3328</v>
      </c>
      <c r="G192" s="235" t="s">
        <v>3353</v>
      </c>
      <c r="H192" s="440">
        <v>20097</v>
      </c>
      <c r="I192" s="194">
        <v>0</v>
      </c>
      <c r="J192" s="194">
        <v>8730</v>
      </c>
      <c r="K192" s="185">
        <v>0.9</v>
      </c>
      <c r="L192" s="183" t="s">
        <v>1147</v>
      </c>
      <c r="M192" s="183" t="s">
        <v>170</v>
      </c>
      <c r="N192" s="183" t="s">
        <v>170</v>
      </c>
      <c r="O192" s="440"/>
    </row>
    <row r="193" spans="1:15" s="182" customFormat="1" ht="21.75" customHeight="1" x14ac:dyDescent="0.15">
      <c r="A193" s="151" t="s">
        <v>4324</v>
      </c>
      <c r="B193" s="20" t="s">
        <v>2690</v>
      </c>
      <c r="C193" s="236" t="s">
        <v>3376</v>
      </c>
      <c r="D193" s="504" t="s">
        <v>3682</v>
      </c>
      <c r="E193" s="180" t="s">
        <v>4245</v>
      </c>
      <c r="F193" s="224" t="s">
        <v>3328</v>
      </c>
      <c r="G193" s="235" t="s">
        <v>3353</v>
      </c>
      <c r="H193" s="440">
        <v>20087</v>
      </c>
      <c r="I193" s="194">
        <v>0</v>
      </c>
      <c r="J193" s="194">
        <v>22500</v>
      </c>
      <c r="K193" s="185">
        <v>1</v>
      </c>
      <c r="L193" s="183" t="s">
        <v>2449</v>
      </c>
      <c r="M193" s="183" t="s">
        <v>170</v>
      </c>
      <c r="N193" s="183" t="s">
        <v>170</v>
      </c>
      <c r="O193" s="440"/>
    </row>
    <row r="194" spans="1:15" s="182" customFormat="1" ht="21.75" customHeight="1" x14ac:dyDescent="0.15">
      <c r="A194" s="151" t="s">
        <v>4326</v>
      </c>
      <c r="B194" s="20" t="s">
        <v>4136</v>
      </c>
      <c r="C194" s="391" t="s">
        <v>3346</v>
      </c>
      <c r="D194" s="391" t="s">
        <v>3354</v>
      </c>
      <c r="E194" s="392" t="s">
        <v>3675</v>
      </c>
      <c r="F194" s="442" t="s">
        <v>4137</v>
      </c>
      <c r="G194" s="460" t="s">
        <v>4138</v>
      </c>
      <c r="H194" s="509" t="s">
        <v>4328</v>
      </c>
      <c r="I194" s="194">
        <v>0</v>
      </c>
      <c r="J194" s="194">
        <v>77873.45</v>
      </c>
      <c r="K194" s="185" t="s">
        <v>4329</v>
      </c>
      <c r="L194" s="183" t="s">
        <v>2963</v>
      </c>
      <c r="M194" s="183" t="s">
        <v>1784</v>
      </c>
      <c r="N194" s="183" t="s">
        <v>1784</v>
      </c>
      <c r="O194" s="440"/>
    </row>
    <row r="195" spans="1:15" s="182" customFormat="1" ht="21.75" customHeight="1" x14ac:dyDescent="0.15">
      <c r="A195" s="151" t="s">
        <v>4326</v>
      </c>
      <c r="B195" s="20" t="s">
        <v>4136</v>
      </c>
      <c r="C195" s="391" t="s">
        <v>3346</v>
      </c>
      <c r="D195" s="391" t="s">
        <v>3354</v>
      </c>
      <c r="E195" s="391" t="s">
        <v>3565</v>
      </c>
      <c r="F195" s="442" t="s">
        <v>4137</v>
      </c>
      <c r="G195" s="460" t="s">
        <v>4138</v>
      </c>
      <c r="H195" s="509" t="s">
        <v>4327</v>
      </c>
      <c r="I195" s="194">
        <v>0</v>
      </c>
      <c r="J195" s="194">
        <v>220480.58</v>
      </c>
      <c r="K195" s="185" t="s">
        <v>4330</v>
      </c>
      <c r="L195" s="183" t="s">
        <v>4331</v>
      </c>
      <c r="M195" s="183" t="s">
        <v>1784</v>
      </c>
      <c r="N195" s="183" t="s">
        <v>1784</v>
      </c>
      <c r="O195" s="507"/>
    </row>
    <row r="196" spans="1:15" s="182" customFormat="1" ht="21.75" customHeight="1" x14ac:dyDescent="0.15">
      <c r="A196" s="151" t="s">
        <v>4326</v>
      </c>
      <c r="B196" s="20" t="s">
        <v>4332</v>
      </c>
      <c r="C196" s="508" t="s">
        <v>3363</v>
      </c>
      <c r="D196" s="508" t="s">
        <v>3326</v>
      </c>
      <c r="E196" s="508" t="s">
        <v>2595</v>
      </c>
      <c r="F196" s="184" t="s">
        <v>3340</v>
      </c>
      <c r="G196" s="235" t="s">
        <v>3349</v>
      </c>
      <c r="H196" s="440">
        <v>20124</v>
      </c>
      <c r="I196" s="194">
        <v>0</v>
      </c>
      <c r="J196" s="194">
        <v>100000</v>
      </c>
      <c r="K196" s="185">
        <v>1</v>
      </c>
      <c r="L196" s="183" t="s">
        <v>285</v>
      </c>
      <c r="M196" s="183" t="s">
        <v>1880</v>
      </c>
      <c r="N196" s="183" t="s">
        <v>1880</v>
      </c>
      <c r="O196" s="440"/>
    </row>
    <row r="197" spans="1:15" s="182" customFormat="1" ht="21.75" customHeight="1" x14ac:dyDescent="0.15">
      <c r="A197" s="151" t="s">
        <v>4333</v>
      </c>
      <c r="B197" s="20" t="s">
        <v>1653</v>
      </c>
      <c r="C197" s="510" t="s">
        <v>3346</v>
      </c>
      <c r="D197" s="510" t="s">
        <v>3463</v>
      </c>
      <c r="E197" s="510" t="s">
        <v>3800</v>
      </c>
      <c r="F197" s="184" t="s">
        <v>3328</v>
      </c>
      <c r="G197" s="235" t="s">
        <v>3336</v>
      </c>
      <c r="H197" s="440">
        <v>20030</v>
      </c>
      <c r="I197" s="194">
        <v>0</v>
      </c>
      <c r="J197" s="194">
        <v>3900</v>
      </c>
      <c r="K197" s="185" t="s">
        <v>4337</v>
      </c>
      <c r="L197" s="183" t="s">
        <v>1948</v>
      </c>
      <c r="M197" s="183" t="s">
        <v>162</v>
      </c>
      <c r="N197" s="183" t="s">
        <v>1784</v>
      </c>
      <c r="O197" s="440"/>
    </row>
    <row r="198" spans="1:15" s="182" customFormat="1" ht="21.75" customHeight="1" x14ac:dyDescent="0.15">
      <c r="A198" s="151" t="s">
        <v>4334</v>
      </c>
      <c r="B198" s="20" t="s">
        <v>2060</v>
      </c>
      <c r="C198" s="391" t="s">
        <v>4338</v>
      </c>
      <c r="D198" s="399" t="s">
        <v>3419</v>
      </c>
      <c r="E198" s="391" t="s">
        <v>4339</v>
      </c>
      <c r="F198" s="403" t="s">
        <v>3328</v>
      </c>
      <c r="G198" s="235" t="s">
        <v>3574</v>
      </c>
      <c r="H198" s="440">
        <v>17146</v>
      </c>
      <c r="I198" s="194">
        <v>0</v>
      </c>
      <c r="J198" s="194">
        <v>49572.65</v>
      </c>
      <c r="K198" s="185">
        <v>1</v>
      </c>
      <c r="L198" s="183" t="s">
        <v>1948</v>
      </c>
      <c r="M198" s="183" t="s">
        <v>170</v>
      </c>
      <c r="N198" s="183" t="s">
        <v>170</v>
      </c>
      <c r="O198" s="440"/>
    </row>
    <row r="199" spans="1:15" s="182" customFormat="1" ht="21.75" customHeight="1" x14ac:dyDescent="0.15">
      <c r="A199" s="151" t="s">
        <v>4334</v>
      </c>
      <c r="B199" s="20" t="s">
        <v>4292</v>
      </c>
      <c r="C199" s="399" t="s">
        <v>3337</v>
      </c>
      <c r="D199" s="391" t="s">
        <v>3352</v>
      </c>
      <c r="E199" s="405" t="s">
        <v>4270</v>
      </c>
      <c r="F199" s="418" t="s">
        <v>4293</v>
      </c>
      <c r="G199" s="235" t="s">
        <v>4138</v>
      </c>
      <c r="H199" s="511">
        <v>19028</v>
      </c>
      <c r="I199" s="194">
        <v>0</v>
      </c>
      <c r="J199" s="194">
        <v>628367.39</v>
      </c>
      <c r="K199" s="185">
        <v>0.95</v>
      </c>
      <c r="L199" s="183" t="s">
        <v>1172</v>
      </c>
      <c r="M199" s="183" t="s">
        <v>190</v>
      </c>
      <c r="N199" s="183" t="s">
        <v>190</v>
      </c>
      <c r="O199" s="512" t="s">
        <v>4340</v>
      </c>
    </row>
    <row r="200" spans="1:15" s="182" customFormat="1" ht="21.75" customHeight="1" x14ac:dyDescent="0.15">
      <c r="A200" s="151" t="s">
        <v>4335</v>
      </c>
      <c r="B200" s="20" t="s">
        <v>358</v>
      </c>
      <c r="C200" s="511" t="s">
        <v>3346</v>
      </c>
      <c r="D200" s="511" t="s">
        <v>3347</v>
      </c>
      <c r="E200" s="511" t="s">
        <v>3348</v>
      </c>
      <c r="F200" s="184" t="s">
        <v>3328</v>
      </c>
      <c r="G200" s="235" t="s">
        <v>3349</v>
      </c>
      <c r="H200" s="440" t="s">
        <v>4341</v>
      </c>
      <c r="I200" s="194">
        <v>0</v>
      </c>
      <c r="J200" s="194">
        <v>112500</v>
      </c>
      <c r="K200" s="185">
        <v>0.75</v>
      </c>
      <c r="L200" s="183" t="s">
        <v>285</v>
      </c>
      <c r="M200" s="183" t="s">
        <v>162</v>
      </c>
      <c r="N200" s="183" t="s">
        <v>1784</v>
      </c>
      <c r="O200" s="440"/>
    </row>
    <row r="201" spans="1:15" s="182" customFormat="1" ht="21.75" customHeight="1" x14ac:dyDescent="0.15">
      <c r="A201" s="151" t="s">
        <v>4335</v>
      </c>
      <c r="B201" s="20" t="s">
        <v>358</v>
      </c>
      <c r="C201" s="511" t="s">
        <v>3346</v>
      </c>
      <c r="D201" s="511" t="s">
        <v>3347</v>
      </c>
      <c r="E201" s="511" t="s">
        <v>3350</v>
      </c>
      <c r="F201" s="184" t="s">
        <v>3328</v>
      </c>
      <c r="G201" s="235" t="s">
        <v>3349</v>
      </c>
      <c r="H201" s="511" t="s">
        <v>4342</v>
      </c>
      <c r="I201" s="194">
        <v>0</v>
      </c>
      <c r="J201" s="194">
        <v>112500</v>
      </c>
      <c r="K201" s="185">
        <v>0.75</v>
      </c>
      <c r="L201" s="183" t="s">
        <v>285</v>
      </c>
      <c r="M201" s="183" t="s">
        <v>162</v>
      </c>
      <c r="N201" s="183" t="s">
        <v>1784</v>
      </c>
      <c r="O201" s="511"/>
    </row>
    <row r="202" spans="1:15" s="182" customFormat="1" ht="21.75" customHeight="1" x14ac:dyDescent="0.15">
      <c r="A202" s="151" t="s">
        <v>4336</v>
      </c>
      <c r="B202" s="20" t="s">
        <v>269</v>
      </c>
      <c r="C202" s="511" t="s">
        <v>3346</v>
      </c>
      <c r="D202" s="511" t="s">
        <v>3347</v>
      </c>
      <c r="E202" s="30" t="s">
        <v>3542</v>
      </c>
      <c r="F202" s="184" t="s">
        <v>3328</v>
      </c>
      <c r="G202" s="235" t="s">
        <v>3349</v>
      </c>
      <c r="H202" s="440">
        <v>20034</v>
      </c>
      <c r="I202" s="194">
        <v>0</v>
      </c>
      <c r="J202" s="194">
        <v>112500</v>
      </c>
      <c r="K202" s="185">
        <v>0.75</v>
      </c>
      <c r="L202" s="183" t="s">
        <v>285</v>
      </c>
      <c r="M202" s="183" t="s">
        <v>162</v>
      </c>
      <c r="N202" s="183" t="s">
        <v>1784</v>
      </c>
      <c r="O202" s="440"/>
    </row>
    <row r="203" spans="1:15" s="182" customFormat="1" ht="21.75" customHeight="1" x14ac:dyDescent="0.15">
      <c r="A203" s="151" t="s">
        <v>4343</v>
      </c>
      <c r="B203" s="20" t="s">
        <v>4185</v>
      </c>
      <c r="C203" s="224" t="s">
        <v>3363</v>
      </c>
      <c r="D203" s="224" t="s">
        <v>3354</v>
      </c>
      <c r="E203" s="394" t="s">
        <v>4267</v>
      </c>
      <c r="F203" s="224" t="s">
        <v>3328</v>
      </c>
      <c r="G203" s="235" t="s">
        <v>3529</v>
      </c>
      <c r="H203" s="440">
        <v>19106</v>
      </c>
      <c r="I203" s="194">
        <v>0</v>
      </c>
      <c r="J203" s="194">
        <v>63400</v>
      </c>
      <c r="K203" s="185" t="s">
        <v>4344</v>
      </c>
      <c r="L203" s="183" t="s">
        <v>4345</v>
      </c>
      <c r="M203" s="183" t="s">
        <v>162</v>
      </c>
      <c r="N203" s="183" t="s">
        <v>2660</v>
      </c>
      <c r="O203" s="440"/>
    </row>
    <row r="204" spans="1:15" s="182" customFormat="1" ht="21.75" customHeight="1" x14ac:dyDescent="0.15">
      <c r="A204" s="151" t="s">
        <v>4343</v>
      </c>
      <c r="B204" s="20" t="s">
        <v>4185</v>
      </c>
      <c r="C204" s="224" t="s">
        <v>3363</v>
      </c>
      <c r="D204" s="224" t="s">
        <v>3354</v>
      </c>
      <c r="E204" s="394" t="s">
        <v>4267</v>
      </c>
      <c r="F204" s="224" t="s">
        <v>3328</v>
      </c>
      <c r="G204" s="235" t="s">
        <v>3529</v>
      </c>
      <c r="H204" s="440">
        <v>19106</v>
      </c>
      <c r="I204" s="194">
        <v>0</v>
      </c>
      <c r="J204" s="194">
        <v>12600</v>
      </c>
      <c r="K204" s="185">
        <v>0.1</v>
      </c>
      <c r="L204" s="183" t="s">
        <v>1143</v>
      </c>
      <c r="M204" s="183" t="s">
        <v>162</v>
      </c>
      <c r="N204" s="183" t="s">
        <v>2660</v>
      </c>
      <c r="O204" s="440"/>
    </row>
    <row r="205" spans="1:15" s="182" customFormat="1" ht="21.75" customHeight="1" x14ac:dyDescent="0.15">
      <c r="A205" s="151" t="s">
        <v>4346</v>
      </c>
      <c r="B205" s="20" t="s">
        <v>226</v>
      </c>
      <c r="C205" s="513" t="s">
        <v>3325</v>
      </c>
      <c r="D205" s="513" t="s">
        <v>3439</v>
      </c>
      <c r="E205" s="513" t="s">
        <v>4230</v>
      </c>
      <c r="F205" s="184" t="s">
        <v>3355</v>
      </c>
      <c r="G205" s="235" t="s">
        <v>4348</v>
      </c>
      <c r="H205" s="440">
        <v>20031</v>
      </c>
      <c r="I205" s="194">
        <v>0</v>
      </c>
      <c r="J205" s="194">
        <v>96000</v>
      </c>
      <c r="K205" s="185">
        <v>1</v>
      </c>
      <c r="L205" s="183" t="s">
        <v>1948</v>
      </c>
      <c r="M205" s="183" t="s">
        <v>155</v>
      </c>
      <c r="N205" s="183" t="s">
        <v>155</v>
      </c>
      <c r="O205" s="440"/>
    </row>
    <row r="206" spans="1:15" s="182" customFormat="1" ht="21.75" customHeight="1" x14ac:dyDescent="0.15">
      <c r="A206" s="151" t="s">
        <v>4346</v>
      </c>
      <c r="B206" s="20" t="s">
        <v>245</v>
      </c>
      <c r="C206" s="224" t="s">
        <v>3365</v>
      </c>
      <c r="D206" s="224" t="s">
        <v>3354</v>
      </c>
      <c r="E206" s="224" t="s">
        <v>4349</v>
      </c>
      <c r="F206" s="184" t="s">
        <v>3328</v>
      </c>
      <c r="G206" s="239" t="s">
        <v>3367</v>
      </c>
      <c r="H206" s="440">
        <v>20046</v>
      </c>
      <c r="I206" s="194">
        <v>0</v>
      </c>
      <c r="J206" s="194">
        <v>26900</v>
      </c>
      <c r="K206" s="185">
        <v>1</v>
      </c>
      <c r="L206" s="183" t="s">
        <v>1948</v>
      </c>
      <c r="M206" s="183" t="s">
        <v>3388</v>
      </c>
      <c r="N206" s="183" t="s">
        <v>3388</v>
      </c>
      <c r="O206" s="440"/>
    </row>
    <row r="207" spans="1:15" s="182" customFormat="1" ht="21.75" customHeight="1" x14ac:dyDescent="0.15">
      <c r="A207" s="151" t="s">
        <v>4346</v>
      </c>
      <c r="B207" s="20" t="s">
        <v>4347</v>
      </c>
      <c r="C207" s="368" t="s">
        <v>4002</v>
      </c>
      <c r="D207" s="368" t="s">
        <v>4002</v>
      </c>
      <c r="E207" s="368" t="s">
        <v>4002</v>
      </c>
      <c r="F207" s="368" t="s">
        <v>4002</v>
      </c>
      <c r="G207" s="368" t="s">
        <v>4002</v>
      </c>
      <c r="H207" s="440">
        <v>20092</v>
      </c>
      <c r="I207" s="194">
        <v>0</v>
      </c>
      <c r="J207" s="194">
        <v>1263114</v>
      </c>
      <c r="K207" s="185">
        <v>0.6</v>
      </c>
      <c r="L207" s="368" t="s">
        <v>4002</v>
      </c>
      <c r="M207" s="368" t="s">
        <v>4002</v>
      </c>
      <c r="N207" s="368" t="s">
        <v>4002</v>
      </c>
      <c r="O207" s="440"/>
    </row>
    <row r="208" spans="1:15" s="182" customFormat="1" ht="21.75" customHeight="1" x14ac:dyDescent="0.15">
      <c r="A208" s="151" t="s">
        <v>4350</v>
      </c>
      <c r="B208" s="20" t="s">
        <v>1964</v>
      </c>
      <c r="C208" s="184" t="s">
        <v>3368</v>
      </c>
      <c r="D208" s="184" t="s">
        <v>3439</v>
      </c>
      <c r="E208" s="184" t="s">
        <v>3730</v>
      </c>
      <c r="F208" s="292" t="s">
        <v>3328</v>
      </c>
      <c r="G208" s="235" t="s">
        <v>3341</v>
      </c>
      <c r="H208" s="184">
        <v>20038</v>
      </c>
      <c r="I208" s="194">
        <v>0</v>
      </c>
      <c r="J208" s="194">
        <v>32000</v>
      </c>
      <c r="K208" s="185">
        <v>0.2</v>
      </c>
      <c r="L208" s="183" t="s">
        <v>285</v>
      </c>
      <c r="M208" s="183" t="s">
        <v>158</v>
      </c>
      <c r="N208" s="183" t="s">
        <v>158</v>
      </c>
      <c r="O208" s="440"/>
    </row>
    <row r="209" spans="1:15" s="182" customFormat="1" ht="21.75" customHeight="1" x14ac:dyDescent="0.15">
      <c r="A209" s="151" t="s">
        <v>4351</v>
      </c>
      <c r="B209" s="20" t="s">
        <v>4352</v>
      </c>
      <c r="C209" s="514" t="s">
        <v>4353</v>
      </c>
      <c r="D209" s="514" t="s">
        <v>3463</v>
      </c>
      <c r="E209" s="514" t="s">
        <v>4354</v>
      </c>
      <c r="F209" s="184" t="s">
        <v>4116</v>
      </c>
      <c r="G209" s="235" t="s">
        <v>4116</v>
      </c>
      <c r="H209" s="440">
        <v>20128</v>
      </c>
      <c r="I209" s="194">
        <v>0</v>
      </c>
      <c r="J209" s="194">
        <v>20960</v>
      </c>
      <c r="K209" s="185">
        <v>0.2</v>
      </c>
      <c r="L209" s="183" t="s">
        <v>1162</v>
      </c>
      <c r="M209" s="183" t="s">
        <v>1784</v>
      </c>
      <c r="N209" s="183" t="s">
        <v>1784</v>
      </c>
      <c r="O209" s="440"/>
    </row>
    <row r="210" spans="1:15" s="182" customFormat="1" ht="21.75" customHeight="1" x14ac:dyDescent="0.15">
      <c r="A210" s="151" t="s">
        <v>4351</v>
      </c>
      <c r="B210" s="20" t="s">
        <v>3520</v>
      </c>
      <c r="C210" s="399" t="s">
        <v>3351</v>
      </c>
      <c r="D210" s="399" t="s">
        <v>3354</v>
      </c>
      <c r="E210" s="399" t="s">
        <v>3521</v>
      </c>
      <c r="F210" s="418" t="s">
        <v>3328</v>
      </c>
      <c r="G210" s="235" t="s">
        <v>3566</v>
      </c>
      <c r="H210" s="440">
        <v>20055</v>
      </c>
      <c r="I210" s="194">
        <v>0</v>
      </c>
      <c r="J210" s="194">
        <v>89100</v>
      </c>
      <c r="K210" s="185">
        <v>0.33</v>
      </c>
      <c r="L210" s="183" t="s">
        <v>285</v>
      </c>
      <c r="M210" s="183" t="s">
        <v>158</v>
      </c>
      <c r="N210" s="183" t="s">
        <v>158</v>
      </c>
      <c r="O210" s="440"/>
    </row>
    <row r="211" spans="1:15" s="182" customFormat="1" ht="21.75" customHeight="1" x14ac:dyDescent="0.15">
      <c r="A211" s="151" t="s">
        <v>4351</v>
      </c>
      <c r="B211" s="20" t="s">
        <v>390</v>
      </c>
      <c r="C211" s="399" t="s">
        <v>3346</v>
      </c>
      <c r="D211" s="399" t="s">
        <v>4156</v>
      </c>
      <c r="E211" s="399" t="s">
        <v>952</v>
      </c>
      <c r="F211" s="184" t="s">
        <v>4356</v>
      </c>
      <c r="G211" s="235" t="s">
        <v>4357</v>
      </c>
      <c r="H211" s="440" t="s">
        <v>4509</v>
      </c>
      <c r="I211" s="194">
        <v>0</v>
      </c>
      <c r="J211" s="194">
        <v>37440</v>
      </c>
      <c r="K211" s="185">
        <v>0.3</v>
      </c>
      <c r="L211" s="183" t="s">
        <v>1162</v>
      </c>
      <c r="M211" s="183" t="s">
        <v>155</v>
      </c>
      <c r="N211" s="183" t="s">
        <v>155</v>
      </c>
      <c r="O211" s="440"/>
    </row>
    <row r="212" spans="1:15" s="182" customFormat="1" ht="21.75" customHeight="1" x14ac:dyDescent="0.15">
      <c r="A212" s="151" t="s">
        <v>4351</v>
      </c>
      <c r="B212" s="20" t="s">
        <v>391</v>
      </c>
      <c r="C212" s="399" t="s">
        <v>3346</v>
      </c>
      <c r="D212" s="399" t="s">
        <v>4156</v>
      </c>
      <c r="E212" s="399" t="s">
        <v>952</v>
      </c>
      <c r="F212" s="184" t="s">
        <v>4356</v>
      </c>
      <c r="G212" s="235" t="s">
        <v>4357</v>
      </c>
      <c r="H212" s="440" t="s">
        <v>4510</v>
      </c>
      <c r="I212" s="194">
        <v>0</v>
      </c>
      <c r="J212" s="194">
        <v>52500</v>
      </c>
      <c r="K212" s="185">
        <v>0.3</v>
      </c>
      <c r="L212" s="183" t="s">
        <v>1162</v>
      </c>
      <c r="M212" s="183" t="s">
        <v>155</v>
      </c>
      <c r="N212" s="183" t="s">
        <v>155</v>
      </c>
      <c r="O212" s="440"/>
    </row>
    <row r="213" spans="1:15" s="182" customFormat="1" ht="21.75" customHeight="1" x14ac:dyDescent="0.15">
      <c r="A213" s="151" t="s">
        <v>4351</v>
      </c>
      <c r="B213" s="20" t="s">
        <v>4045</v>
      </c>
      <c r="C213" s="184" t="s">
        <v>3351</v>
      </c>
      <c r="D213" s="184" t="s">
        <v>3463</v>
      </c>
      <c r="E213" s="399" t="s">
        <v>4064</v>
      </c>
      <c r="F213" s="224" t="s">
        <v>3328</v>
      </c>
      <c r="G213" s="235" t="s">
        <v>4065</v>
      </c>
      <c r="H213" s="440">
        <v>19146</v>
      </c>
      <c r="I213" s="194">
        <v>0</v>
      </c>
      <c r="J213" s="194">
        <v>25000</v>
      </c>
      <c r="K213" s="185">
        <v>0.25</v>
      </c>
      <c r="L213" s="183" t="s">
        <v>285</v>
      </c>
      <c r="M213" s="183" t="s">
        <v>158</v>
      </c>
      <c r="N213" s="183" t="s">
        <v>158</v>
      </c>
      <c r="O213" s="440"/>
    </row>
    <row r="214" spans="1:15" s="182" customFormat="1" ht="21.75" customHeight="1" x14ac:dyDescent="0.15">
      <c r="A214" s="151" t="s">
        <v>4355</v>
      </c>
      <c r="B214" s="20" t="s">
        <v>284</v>
      </c>
      <c r="C214" s="184" t="s">
        <v>4358</v>
      </c>
      <c r="D214" s="399" t="s">
        <v>4359</v>
      </c>
      <c r="E214" s="184" t="s">
        <v>4360</v>
      </c>
      <c r="F214" s="394" t="s">
        <v>4361</v>
      </c>
      <c r="G214" s="423" t="s">
        <v>4362</v>
      </c>
      <c r="H214" s="440">
        <v>17119</v>
      </c>
      <c r="I214" s="194">
        <v>0</v>
      </c>
      <c r="J214" s="194">
        <v>125838</v>
      </c>
      <c r="K214" s="185">
        <v>0.3</v>
      </c>
      <c r="L214" s="183" t="s">
        <v>1147</v>
      </c>
      <c r="M214" s="183" t="s">
        <v>158</v>
      </c>
      <c r="N214" s="183" t="s">
        <v>158</v>
      </c>
      <c r="O214" s="440"/>
    </row>
    <row r="215" spans="1:15" s="182" customFormat="1" ht="21.75" customHeight="1" x14ac:dyDescent="0.15">
      <c r="A215" s="151" t="s">
        <v>4363</v>
      </c>
      <c r="B215" s="20" t="s">
        <v>4364</v>
      </c>
      <c r="C215" s="399" t="s">
        <v>3334</v>
      </c>
      <c r="D215" s="399" t="s">
        <v>3463</v>
      </c>
      <c r="E215" s="399" t="s">
        <v>4365</v>
      </c>
      <c r="F215" s="184" t="s">
        <v>3328</v>
      </c>
      <c r="G215" s="235" t="s">
        <v>3529</v>
      </c>
      <c r="H215" s="440">
        <v>20125</v>
      </c>
      <c r="I215" s="194">
        <v>0</v>
      </c>
      <c r="J215" s="194">
        <v>306850</v>
      </c>
      <c r="K215" s="185">
        <v>0.95</v>
      </c>
      <c r="L215" s="183" t="s">
        <v>1147</v>
      </c>
      <c r="M215" s="183" t="s">
        <v>170</v>
      </c>
      <c r="N215" s="183" t="s">
        <v>170</v>
      </c>
      <c r="O215" s="440"/>
    </row>
    <row r="216" spans="1:15" s="182" customFormat="1" ht="21.75" customHeight="1" x14ac:dyDescent="0.15">
      <c r="A216" s="151" t="s">
        <v>4366</v>
      </c>
      <c r="B216" s="20" t="s">
        <v>2419</v>
      </c>
      <c r="C216" s="184" t="s">
        <v>3384</v>
      </c>
      <c r="D216" s="184" t="s">
        <v>3326</v>
      </c>
      <c r="E216" s="184" t="s">
        <v>3385</v>
      </c>
      <c r="F216" s="224" t="s">
        <v>3328</v>
      </c>
      <c r="G216" s="239" t="s">
        <v>3566</v>
      </c>
      <c r="H216" s="440">
        <v>19176</v>
      </c>
      <c r="I216" s="194">
        <v>0</v>
      </c>
      <c r="J216" s="194">
        <v>80000</v>
      </c>
      <c r="K216" s="185" t="s">
        <v>3105</v>
      </c>
      <c r="L216" s="183" t="s">
        <v>285</v>
      </c>
      <c r="M216" s="183" t="s">
        <v>3388</v>
      </c>
      <c r="N216" s="183" t="s">
        <v>3388</v>
      </c>
      <c r="O216" s="440"/>
    </row>
    <row r="217" spans="1:15" s="182" customFormat="1" ht="21.75" customHeight="1" x14ac:dyDescent="0.15">
      <c r="A217" s="151" t="s">
        <v>4367</v>
      </c>
      <c r="B217" s="20" t="s">
        <v>1973</v>
      </c>
      <c r="C217" s="276" t="s">
        <v>4368</v>
      </c>
      <c r="D217" s="399" t="s">
        <v>4369</v>
      </c>
      <c r="E217" s="409" t="s">
        <v>4370</v>
      </c>
      <c r="F217" s="184" t="s">
        <v>3332</v>
      </c>
      <c r="G217" s="235" t="s">
        <v>4371</v>
      </c>
      <c r="H217" s="440">
        <v>16087</v>
      </c>
      <c r="I217" s="194">
        <v>0</v>
      </c>
      <c r="J217" s="194">
        <v>19500</v>
      </c>
      <c r="K217" s="185">
        <v>0.1</v>
      </c>
      <c r="L217" s="183" t="s">
        <v>1143</v>
      </c>
      <c r="M217" s="183" t="s">
        <v>190</v>
      </c>
      <c r="N217" s="183" t="s">
        <v>190</v>
      </c>
      <c r="O217" s="440"/>
    </row>
    <row r="218" spans="1:15" s="182" customFormat="1" ht="21.75" customHeight="1" x14ac:dyDescent="0.15">
      <c r="A218" s="151" t="s">
        <v>4372</v>
      </c>
      <c r="B218" s="20" t="s">
        <v>167</v>
      </c>
      <c r="C218" s="184" t="s">
        <v>3346</v>
      </c>
      <c r="D218" s="184" t="s">
        <v>3637</v>
      </c>
      <c r="E218" s="184" t="s">
        <v>596</v>
      </c>
      <c r="F218" s="419" t="s">
        <v>3328</v>
      </c>
      <c r="G218" s="235" t="s">
        <v>3381</v>
      </c>
      <c r="H218" s="440">
        <v>20043</v>
      </c>
      <c r="I218" s="194">
        <v>0</v>
      </c>
      <c r="J218" s="194">
        <v>20000</v>
      </c>
      <c r="K218" s="185">
        <v>0.25</v>
      </c>
      <c r="L218" s="183" t="s">
        <v>285</v>
      </c>
      <c r="M218" s="183" t="s">
        <v>1880</v>
      </c>
      <c r="N218" s="183" t="s">
        <v>1880</v>
      </c>
      <c r="O218" s="440"/>
    </row>
    <row r="219" spans="1:15" s="182" customFormat="1" ht="21.75" customHeight="1" x14ac:dyDescent="0.15">
      <c r="A219" s="151" t="s">
        <v>4372</v>
      </c>
      <c r="B219" s="20" t="s">
        <v>360</v>
      </c>
      <c r="C219" s="184" t="s">
        <v>3346</v>
      </c>
      <c r="D219" s="184" t="s">
        <v>3637</v>
      </c>
      <c r="E219" s="184" t="s">
        <v>596</v>
      </c>
      <c r="F219" s="419" t="s">
        <v>3328</v>
      </c>
      <c r="G219" s="235" t="s">
        <v>3381</v>
      </c>
      <c r="H219" s="440">
        <v>20043</v>
      </c>
      <c r="I219" s="194">
        <v>0</v>
      </c>
      <c r="J219" s="194">
        <v>20000</v>
      </c>
      <c r="K219" s="185">
        <v>0.25</v>
      </c>
      <c r="L219" s="183" t="s">
        <v>285</v>
      </c>
      <c r="M219" s="183" t="s">
        <v>1880</v>
      </c>
      <c r="N219" s="183" t="s">
        <v>1880</v>
      </c>
      <c r="O219" s="440"/>
    </row>
    <row r="220" spans="1:15" s="182" customFormat="1" ht="21.75" customHeight="1" x14ac:dyDescent="0.15">
      <c r="A220" s="151" t="s">
        <v>4373</v>
      </c>
      <c r="B220" s="20" t="s">
        <v>2250</v>
      </c>
      <c r="C220" s="399" t="s">
        <v>3351</v>
      </c>
      <c r="D220" s="399" t="s">
        <v>3768</v>
      </c>
      <c r="E220" s="399" t="s">
        <v>3535</v>
      </c>
      <c r="F220" s="184" t="s">
        <v>3332</v>
      </c>
      <c r="G220" s="235" t="s">
        <v>3349</v>
      </c>
      <c r="H220" s="440">
        <v>20114</v>
      </c>
      <c r="I220" s="194">
        <v>0</v>
      </c>
      <c r="J220" s="194">
        <v>70000</v>
      </c>
      <c r="K220" s="185">
        <v>0.7</v>
      </c>
      <c r="L220" s="183" t="s">
        <v>285</v>
      </c>
      <c r="M220" s="183" t="s">
        <v>158</v>
      </c>
      <c r="N220" s="183" t="s">
        <v>158</v>
      </c>
      <c r="O220" s="440"/>
    </row>
    <row r="221" spans="1:15" s="182" customFormat="1" ht="21.75" customHeight="1" x14ac:dyDescent="0.15">
      <c r="A221" s="151" t="s">
        <v>4373</v>
      </c>
      <c r="B221" s="20" t="s">
        <v>2250</v>
      </c>
      <c r="C221" s="184" t="s">
        <v>3330</v>
      </c>
      <c r="D221" s="392" t="s">
        <v>3534</v>
      </c>
      <c r="E221" s="184" t="s">
        <v>4374</v>
      </c>
      <c r="F221" s="184" t="s">
        <v>3328</v>
      </c>
      <c r="G221" s="235" t="s">
        <v>3378</v>
      </c>
      <c r="H221" s="440">
        <v>18002</v>
      </c>
      <c r="I221" s="194">
        <v>0</v>
      </c>
      <c r="J221" s="194">
        <v>67156</v>
      </c>
      <c r="K221" s="185">
        <v>0.1</v>
      </c>
      <c r="L221" s="183" t="s">
        <v>1143</v>
      </c>
      <c r="M221" s="183" t="s">
        <v>158</v>
      </c>
      <c r="N221" s="183" t="s">
        <v>158</v>
      </c>
      <c r="O221" s="440"/>
    </row>
    <row r="222" spans="1:15" s="182" customFormat="1" ht="21.75" customHeight="1" x14ac:dyDescent="0.15">
      <c r="A222" s="151" t="s">
        <v>4373</v>
      </c>
      <c r="B222" s="20" t="s">
        <v>2250</v>
      </c>
      <c r="C222" s="224" t="s">
        <v>3351</v>
      </c>
      <c r="D222" s="224" t="s">
        <v>3768</v>
      </c>
      <c r="E222" s="224" t="s">
        <v>3694</v>
      </c>
      <c r="F222" s="224" t="s">
        <v>3328</v>
      </c>
      <c r="G222" s="235" t="s">
        <v>4375</v>
      </c>
      <c r="H222" s="440">
        <v>20115</v>
      </c>
      <c r="I222" s="194">
        <v>0</v>
      </c>
      <c r="J222" s="194">
        <v>106400</v>
      </c>
      <c r="K222" s="185">
        <v>0.8</v>
      </c>
      <c r="L222" s="183" t="s">
        <v>285</v>
      </c>
      <c r="M222" s="183" t="s">
        <v>158</v>
      </c>
      <c r="N222" s="183" t="s">
        <v>158</v>
      </c>
      <c r="O222" s="440"/>
    </row>
    <row r="223" spans="1:15" s="182" customFormat="1" ht="21.75" customHeight="1" x14ac:dyDescent="0.15">
      <c r="A223" s="151" t="s">
        <v>4376</v>
      </c>
      <c r="B223" s="20" t="s">
        <v>224</v>
      </c>
      <c r="C223" s="399" t="s">
        <v>3363</v>
      </c>
      <c r="D223" s="399" t="s">
        <v>3360</v>
      </c>
      <c r="E223" s="399" t="s">
        <v>3961</v>
      </c>
      <c r="F223" s="184" t="s">
        <v>3328</v>
      </c>
      <c r="G223" s="235" t="s">
        <v>3349</v>
      </c>
      <c r="H223" s="440">
        <v>20108</v>
      </c>
      <c r="I223" s="194">
        <v>0</v>
      </c>
      <c r="J223" s="194">
        <v>110000</v>
      </c>
      <c r="K223" s="185">
        <v>1</v>
      </c>
      <c r="L223" s="183" t="s">
        <v>285</v>
      </c>
      <c r="M223" s="183" t="s">
        <v>2660</v>
      </c>
      <c r="N223" s="183" t="s">
        <v>2660</v>
      </c>
      <c r="O223" s="440"/>
    </row>
    <row r="224" spans="1:15" s="182" customFormat="1" ht="21.75" customHeight="1" x14ac:dyDescent="0.15">
      <c r="A224" s="151" t="s">
        <v>4377</v>
      </c>
      <c r="B224" s="20" t="s">
        <v>2690</v>
      </c>
      <c r="C224" s="184" t="s">
        <v>3376</v>
      </c>
      <c r="D224" s="184" t="s">
        <v>3682</v>
      </c>
      <c r="E224" s="184" t="s">
        <v>4245</v>
      </c>
      <c r="F224" s="184" t="s">
        <v>3328</v>
      </c>
      <c r="G224" s="235" t="s">
        <v>3353</v>
      </c>
      <c r="H224" s="515">
        <v>19069</v>
      </c>
      <c r="I224" s="194">
        <v>0</v>
      </c>
      <c r="J224" s="194">
        <v>21420</v>
      </c>
      <c r="K224" s="185">
        <v>0.9</v>
      </c>
      <c r="L224" s="183" t="s">
        <v>1147</v>
      </c>
      <c r="M224" s="183" t="s">
        <v>170</v>
      </c>
      <c r="N224" s="183" t="s">
        <v>170</v>
      </c>
      <c r="O224" s="515"/>
    </row>
    <row r="225" spans="1:15" s="182" customFormat="1" ht="21.75" customHeight="1" x14ac:dyDescent="0.15">
      <c r="A225" s="151" t="s">
        <v>4377</v>
      </c>
      <c r="B225" s="20" t="s">
        <v>3657</v>
      </c>
      <c r="C225" s="399" t="s">
        <v>3376</v>
      </c>
      <c r="D225" s="399" t="s">
        <v>3682</v>
      </c>
      <c r="E225" s="399" t="s">
        <v>3660</v>
      </c>
      <c r="F225" s="184" t="s">
        <v>3328</v>
      </c>
      <c r="G225" s="235" t="s">
        <v>3353</v>
      </c>
      <c r="H225" s="517">
        <v>19120</v>
      </c>
      <c r="I225" s="194">
        <v>0</v>
      </c>
      <c r="J225" s="194">
        <v>9600</v>
      </c>
      <c r="K225" s="185">
        <v>1</v>
      </c>
      <c r="L225" s="183" t="s">
        <v>1948</v>
      </c>
      <c r="M225" s="183" t="s">
        <v>170</v>
      </c>
      <c r="N225" s="183" t="s">
        <v>170</v>
      </c>
      <c r="O225" s="517"/>
    </row>
    <row r="226" spans="1:15" s="182" customFormat="1" ht="21.75" customHeight="1" x14ac:dyDescent="0.15">
      <c r="A226" s="151" t="s">
        <v>4377</v>
      </c>
      <c r="B226" s="20" t="s">
        <v>3657</v>
      </c>
      <c r="C226" s="184" t="s">
        <v>3376</v>
      </c>
      <c r="D226" s="184" t="s">
        <v>3682</v>
      </c>
      <c r="E226" s="184" t="s">
        <v>3660</v>
      </c>
      <c r="F226" s="419" t="s">
        <v>3328</v>
      </c>
      <c r="G226" s="430" t="s">
        <v>4380</v>
      </c>
      <c r="H226" s="517">
        <v>19053</v>
      </c>
      <c r="I226" s="194">
        <v>0</v>
      </c>
      <c r="J226" s="194">
        <v>26302</v>
      </c>
      <c r="K226" s="185">
        <v>1</v>
      </c>
      <c r="L226" s="183" t="s">
        <v>1948</v>
      </c>
      <c r="M226" s="183" t="s">
        <v>170</v>
      </c>
      <c r="N226" s="183" t="s">
        <v>170</v>
      </c>
      <c r="O226" s="517"/>
    </row>
    <row r="227" spans="1:15" s="182" customFormat="1" ht="21.75" customHeight="1" x14ac:dyDescent="0.15">
      <c r="A227" s="151" t="s">
        <v>4378</v>
      </c>
      <c r="B227" s="20" t="s">
        <v>3846</v>
      </c>
      <c r="C227" s="519" t="s">
        <v>4381</v>
      </c>
      <c r="D227" s="519" t="s">
        <v>4382</v>
      </c>
      <c r="E227" s="519" t="s">
        <v>4383</v>
      </c>
      <c r="F227" s="519" t="s">
        <v>4384</v>
      </c>
      <c r="G227" s="520" t="s">
        <v>4385</v>
      </c>
      <c r="H227" s="516">
        <v>19164</v>
      </c>
      <c r="I227" s="194">
        <v>0</v>
      </c>
      <c r="J227" s="194">
        <v>5000</v>
      </c>
      <c r="K227" s="185">
        <v>0.1</v>
      </c>
      <c r="L227" s="183" t="s">
        <v>285</v>
      </c>
      <c r="M227" s="183" t="s">
        <v>2660</v>
      </c>
      <c r="N227" s="183" t="s">
        <v>2660</v>
      </c>
      <c r="O227" s="516"/>
    </row>
    <row r="228" spans="1:15" s="182" customFormat="1" ht="21.75" customHeight="1" x14ac:dyDescent="0.15">
      <c r="A228" s="151" t="s">
        <v>4378</v>
      </c>
      <c r="B228" s="20" t="s">
        <v>254</v>
      </c>
      <c r="C228" s="399" t="s">
        <v>3346</v>
      </c>
      <c r="D228" s="391" t="s">
        <v>3354</v>
      </c>
      <c r="E228" s="405" t="s">
        <v>921</v>
      </c>
      <c r="F228" s="184" t="s">
        <v>3328</v>
      </c>
      <c r="G228" s="235" t="s">
        <v>3349</v>
      </c>
      <c r="H228" s="516">
        <v>20015</v>
      </c>
      <c r="I228" s="194">
        <v>0</v>
      </c>
      <c r="J228" s="194">
        <v>75000</v>
      </c>
      <c r="K228" s="185">
        <v>0.5</v>
      </c>
      <c r="L228" s="183" t="s">
        <v>285</v>
      </c>
      <c r="M228" s="183" t="s">
        <v>162</v>
      </c>
      <c r="N228" s="183" t="s">
        <v>1784</v>
      </c>
      <c r="O228" s="516"/>
    </row>
    <row r="229" spans="1:15" s="182" customFormat="1" ht="21.75" customHeight="1" x14ac:dyDescent="0.15">
      <c r="A229" s="151" t="s">
        <v>4378</v>
      </c>
      <c r="B229" s="20" t="s">
        <v>254</v>
      </c>
      <c r="C229" s="399" t="s">
        <v>3346</v>
      </c>
      <c r="D229" s="391" t="s">
        <v>3354</v>
      </c>
      <c r="E229" s="405" t="s">
        <v>925</v>
      </c>
      <c r="F229" s="184" t="s">
        <v>3328</v>
      </c>
      <c r="G229" s="235" t="s">
        <v>3349</v>
      </c>
      <c r="H229" s="516">
        <v>20016</v>
      </c>
      <c r="I229" s="194">
        <v>0</v>
      </c>
      <c r="J229" s="194">
        <v>75000</v>
      </c>
      <c r="K229" s="185">
        <v>0.5</v>
      </c>
      <c r="L229" s="183" t="s">
        <v>285</v>
      </c>
      <c r="M229" s="183" t="s">
        <v>162</v>
      </c>
      <c r="N229" s="183" t="s">
        <v>1784</v>
      </c>
      <c r="O229" s="516"/>
    </row>
    <row r="230" spans="1:15" s="182" customFormat="1" ht="21.75" customHeight="1" x14ac:dyDescent="0.15">
      <c r="A230" s="151" t="s">
        <v>4379</v>
      </c>
      <c r="B230" s="20" t="s">
        <v>331</v>
      </c>
      <c r="C230" s="399" t="s">
        <v>3346</v>
      </c>
      <c r="D230" s="391" t="s">
        <v>3354</v>
      </c>
      <c r="E230" s="405" t="s">
        <v>846</v>
      </c>
      <c r="F230" s="184" t="s">
        <v>3328</v>
      </c>
      <c r="G230" s="235" t="s">
        <v>3349</v>
      </c>
      <c r="H230" s="515">
        <v>20020</v>
      </c>
      <c r="I230" s="194">
        <v>0</v>
      </c>
      <c r="J230" s="194">
        <v>75000</v>
      </c>
      <c r="K230" s="185">
        <v>0.5</v>
      </c>
      <c r="L230" s="183" t="s">
        <v>285</v>
      </c>
      <c r="M230" s="183" t="s">
        <v>162</v>
      </c>
      <c r="N230" s="183" t="s">
        <v>1784</v>
      </c>
      <c r="O230" s="515"/>
    </row>
    <row r="231" spans="1:15" s="182" customFormat="1" ht="21.75" customHeight="1" x14ac:dyDescent="0.15">
      <c r="A231" s="151" t="s">
        <v>4379</v>
      </c>
      <c r="B231" s="20" t="s">
        <v>3555</v>
      </c>
      <c r="C231" s="399" t="s">
        <v>3346</v>
      </c>
      <c r="D231" s="391" t="s">
        <v>3354</v>
      </c>
      <c r="E231" s="405" t="s">
        <v>844</v>
      </c>
      <c r="F231" s="184" t="s">
        <v>3328</v>
      </c>
      <c r="G231" s="235" t="s">
        <v>3349</v>
      </c>
      <c r="H231" s="528">
        <v>20019</v>
      </c>
      <c r="I231" s="194">
        <v>0</v>
      </c>
      <c r="J231" s="194">
        <v>75000</v>
      </c>
      <c r="K231" s="185">
        <v>0.5</v>
      </c>
      <c r="L231" s="183" t="s">
        <v>285</v>
      </c>
      <c r="M231" s="183" t="s">
        <v>162</v>
      </c>
      <c r="N231" s="183" t="s">
        <v>1784</v>
      </c>
      <c r="O231" s="528"/>
    </row>
    <row r="232" spans="1:15" s="182" customFormat="1" ht="21.75" customHeight="1" x14ac:dyDescent="0.15">
      <c r="A232" s="151" t="s">
        <v>4386</v>
      </c>
      <c r="B232" s="20" t="s">
        <v>358</v>
      </c>
      <c r="C232" s="518" t="s">
        <v>3346</v>
      </c>
      <c r="D232" s="518" t="s">
        <v>3347</v>
      </c>
      <c r="E232" s="518" t="s">
        <v>3348</v>
      </c>
      <c r="F232" s="184" t="s">
        <v>3328</v>
      </c>
      <c r="G232" s="235" t="s">
        <v>3386</v>
      </c>
      <c r="H232" s="518" t="s">
        <v>4388</v>
      </c>
      <c r="I232" s="194">
        <v>0</v>
      </c>
      <c r="J232" s="194">
        <v>7650</v>
      </c>
      <c r="K232" s="185">
        <v>0.1</v>
      </c>
      <c r="L232" s="183" t="s">
        <v>1948</v>
      </c>
      <c r="M232" s="183" t="s">
        <v>162</v>
      </c>
      <c r="N232" s="183" t="s">
        <v>1784</v>
      </c>
      <c r="O232" s="518"/>
    </row>
    <row r="233" spans="1:15" s="182" customFormat="1" ht="21.75" customHeight="1" x14ac:dyDescent="0.15">
      <c r="A233" s="151" t="s">
        <v>4386</v>
      </c>
      <c r="B233" s="20" t="s">
        <v>358</v>
      </c>
      <c r="C233" s="518" t="s">
        <v>3346</v>
      </c>
      <c r="D233" s="518" t="s">
        <v>3347</v>
      </c>
      <c r="E233" s="518" t="s">
        <v>3350</v>
      </c>
      <c r="F233" s="184" t="s">
        <v>3328</v>
      </c>
      <c r="G233" s="235" t="s">
        <v>3386</v>
      </c>
      <c r="H233" s="518" t="s">
        <v>4389</v>
      </c>
      <c r="I233" s="194">
        <v>0</v>
      </c>
      <c r="J233" s="194">
        <v>7650</v>
      </c>
      <c r="K233" s="185">
        <v>0.1</v>
      </c>
      <c r="L233" s="183" t="s">
        <v>1948</v>
      </c>
      <c r="M233" s="183" t="s">
        <v>162</v>
      </c>
      <c r="N233" s="183" t="s">
        <v>1784</v>
      </c>
      <c r="O233" s="518"/>
    </row>
    <row r="234" spans="1:15" s="182" customFormat="1" ht="21.75" customHeight="1" x14ac:dyDescent="0.15">
      <c r="A234" s="151" t="s">
        <v>4386</v>
      </c>
      <c r="B234" s="20" t="s">
        <v>1441</v>
      </c>
      <c r="C234" s="224" t="s">
        <v>3351</v>
      </c>
      <c r="D234" s="224" t="s">
        <v>3352</v>
      </c>
      <c r="E234" s="394" t="s">
        <v>2784</v>
      </c>
      <c r="F234" s="403" t="s">
        <v>3328</v>
      </c>
      <c r="G234" s="235" t="s">
        <v>3381</v>
      </c>
      <c r="H234" s="518">
        <v>20071</v>
      </c>
      <c r="I234" s="194">
        <v>0</v>
      </c>
      <c r="J234" s="194">
        <v>35000</v>
      </c>
      <c r="K234" s="185">
        <v>0.5</v>
      </c>
      <c r="L234" s="183" t="s">
        <v>285</v>
      </c>
      <c r="M234" s="183" t="s">
        <v>158</v>
      </c>
      <c r="N234" s="183" t="s">
        <v>158</v>
      </c>
      <c r="O234" s="518"/>
    </row>
    <row r="235" spans="1:15" s="182" customFormat="1" ht="21.75" customHeight="1" x14ac:dyDescent="0.15">
      <c r="A235" s="151" t="s">
        <v>4386</v>
      </c>
      <c r="B235" s="20" t="s">
        <v>340</v>
      </c>
      <c r="C235" s="399" t="s">
        <v>3346</v>
      </c>
      <c r="D235" s="399" t="s">
        <v>3463</v>
      </c>
      <c r="E235" s="399" t="s">
        <v>3807</v>
      </c>
      <c r="F235" s="184" t="s">
        <v>3328</v>
      </c>
      <c r="G235" s="235" t="s">
        <v>3349</v>
      </c>
      <c r="H235" s="518">
        <v>20148</v>
      </c>
      <c r="I235" s="194">
        <v>0</v>
      </c>
      <c r="J235" s="194">
        <v>121200</v>
      </c>
      <c r="K235" s="185">
        <v>1</v>
      </c>
      <c r="L235" s="183" t="s">
        <v>285</v>
      </c>
      <c r="M235" s="183" t="s">
        <v>162</v>
      </c>
      <c r="N235" s="183" t="s">
        <v>1784</v>
      </c>
      <c r="O235" s="518"/>
    </row>
    <row r="236" spans="1:15" s="182" customFormat="1" ht="21.75" customHeight="1" x14ac:dyDescent="0.15">
      <c r="A236" s="151" t="s">
        <v>4386</v>
      </c>
      <c r="B236" s="20" t="s">
        <v>269</v>
      </c>
      <c r="C236" s="518" t="s">
        <v>3346</v>
      </c>
      <c r="D236" s="518" t="s">
        <v>3347</v>
      </c>
      <c r="E236" s="30" t="s">
        <v>3542</v>
      </c>
      <c r="F236" s="184" t="s">
        <v>3328</v>
      </c>
      <c r="G236" s="235" t="s">
        <v>3386</v>
      </c>
      <c r="H236" s="518">
        <v>20168</v>
      </c>
      <c r="I236" s="194">
        <v>0</v>
      </c>
      <c r="J236" s="194">
        <v>78000</v>
      </c>
      <c r="K236" s="185">
        <v>1</v>
      </c>
      <c r="L236" s="183" t="s">
        <v>1948</v>
      </c>
      <c r="M236" s="183" t="s">
        <v>162</v>
      </c>
      <c r="N236" s="183" t="s">
        <v>1784</v>
      </c>
      <c r="O236" s="518"/>
    </row>
    <row r="237" spans="1:15" s="182" customFormat="1" ht="21.75" customHeight="1" x14ac:dyDescent="0.15">
      <c r="A237" s="151" t="s">
        <v>4387</v>
      </c>
      <c r="B237" s="20" t="s">
        <v>1431</v>
      </c>
      <c r="C237" s="519" t="s">
        <v>4390</v>
      </c>
      <c r="D237" s="519" t="s">
        <v>4391</v>
      </c>
      <c r="E237" s="522" t="s">
        <v>4392</v>
      </c>
      <c r="F237" s="523" t="s">
        <v>4384</v>
      </c>
      <c r="G237" s="524" t="s">
        <v>3381</v>
      </c>
      <c r="H237" s="518">
        <v>20074</v>
      </c>
      <c r="I237" s="194">
        <v>0</v>
      </c>
      <c r="J237" s="194">
        <v>35000</v>
      </c>
      <c r="K237" s="185">
        <v>0.5</v>
      </c>
      <c r="L237" s="183" t="s">
        <v>285</v>
      </c>
      <c r="M237" s="183" t="s">
        <v>158</v>
      </c>
      <c r="N237" s="183" t="s">
        <v>158</v>
      </c>
      <c r="O237" s="518"/>
    </row>
    <row r="238" spans="1:15" s="182" customFormat="1" ht="21.75" customHeight="1" x14ac:dyDescent="0.15">
      <c r="A238" s="151" t="s">
        <v>4387</v>
      </c>
      <c r="B238" s="20" t="s">
        <v>1433</v>
      </c>
      <c r="C238" s="224" t="s">
        <v>3351</v>
      </c>
      <c r="D238" s="224" t="s">
        <v>3352</v>
      </c>
      <c r="E238" s="394" t="s">
        <v>3643</v>
      </c>
      <c r="F238" s="403" t="s">
        <v>3340</v>
      </c>
      <c r="G238" s="235" t="s">
        <v>3381</v>
      </c>
      <c r="H238" s="518">
        <v>20077</v>
      </c>
      <c r="I238" s="194">
        <v>0</v>
      </c>
      <c r="J238" s="194">
        <v>35000</v>
      </c>
      <c r="K238" s="185">
        <v>0.5</v>
      </c>
      <c r="L238" s="183" t="s">
        <v>285</v>
      </c>
      <c r="M238" s="183" t="s">
        <v>158</v>
      </c>
      <c r="N238" s="183" t="s">
        <v>158</v>
      </c>
      <c r="O238" s="518"/>
    </row>
    <row r="239" spans="1:15" s="182" customFormat="1" ht="21.75" customHeight="1" x14ac:dyDescent="0.15">
      <c r="A239" s="151" t="s">
        <v>4387</v>
      </c>
      <c r="B239" s="20" t="s">
        <v>2652</v>
      </c>
      <c r="C239" s="391" t="s">
        <v>3376</v>
      </c>
      <c r="D239" s="399" t="s">
        <v>3380</v>
      </c>
      <c r="E239" s="394" t="s">
        <v>4409</v>
      </c>
      <c r="F239" s="403" t="s">
        <v>3366</v>
      </c>
      <c r="G239" s="423" t="s">
        <v>3378</v>
      </c>
      <c r="H239" s="526">
        <v>17027</v>
      </c>
      <c r="I239" s="194">
        <v>0</v>
      </c>
      <c r="J239" s="194">
        <v>27264.959999999999</v>
      </c>
      <c r="K239" s="185">
        <v>0.1</v>
      </c>
      <c r="L239" s="183" t="s">
        <v>1143</v>
      </c>
      <c r="M239" s="183" t="s">
        <v>170</v>
      </c>
      <c r="N239" s="183" t="s">
        <v>170</v>
      </c>
      <c r="O239" s="526"/>
    </row>
    <row r="240" spans="1:15" s="182" customFormat="1" ht="21.75" customHeight="1" x14ac:dyDescent="0.15">
      <c r="A240" s="151" t="s">
        <v>4387</v>
      </c>
      <c r="B240" s="20" t="s">
        <v>2373</v>
      </c>
      <c r="C240" s="184" t="s">
        <v>3346</v>
      </c>
      <c r="D240" s="399" t="s">
        <v>3326</v>
      </c>
      <c r="E240" s="184" t="s">
        <v>873</v>
      </c>
      <c r="F240" s="394" t="s">
        <v>3355</v>
      </c>
      <c r="G240" s="235" t="s">
        <v>3580</v>
      </c>
      <c r="H240" s="526">
        <v>17093</v>
      </c>
      <c r="I240" s="194">
        <v>0</v>
      </c>
      <c r="J240" s="194">
        <v>3850</v>
      </c>
      <c r="K240" s="185">
        <v>0.05</v>
      </c>
      <c r="L240" s="183" t="s">
        <v>1143</v>
      </c>
      <c r="M240" s="183" t="s">
        <v>1880</v>
      </c>
      <c r="N240" s="183" t="s">
        <v>1880</v>
      </c>
      <c r="O240" s="526"/>
    </row>
    <row r="241" spans="1:15" s="182" customFormat="1" ht="21.75" customHeight="1" x14ac:dyDescent="0.15">
      <c r="A241" s="151" t="s">
        <v>4393</v>
      </c>
      <c r="B241" s="20" t="s">
        <v>1428</v>
      </c>
      <c r="C241" s="224" t="s">
        <v>3351</v>
      </c>
      <c r="D241" s="224" t="s">
        <v>3352</v>
      </c>
      <c r="E241" s="394" t="s">
        <v>2788</v>
      </c>
      <c r="F241" s="403" t="s">
        <v>3340</v>
      </c>
      <c r="G241" s="235" t="s">
        <v>3381</v>
      </c>
      <c r="H241" s="521">
        <v>20075</v>
      </c>
      <c r="I241" s="194">
        <v>0</v>
      </c>
      <c r="J241" s="194">
        <v>35000</v>
      </c>
      <c r="K241" s="185">
        <v>0.5</v>
      </c>
      <c r="L241" s="183" t="s">
        <v>285</v>
      </c>
      <c r="M241" s="183" t="s">
        <v>158</v>
      </c>
      <c r="N241" s="183" t="s">
        <v>158</v>
      </c>
      <c r="O241" s="521"/>
    </row>
    <row r="242" spans="1:15" s="182" customFormat="1" ht="21.75" customHeight="1" x14ac:dyDescent="0.15">
      <c r="A242" s="151" t="s">
        <v>4393</v>
      </c>
      <c r="B242" s="20" t="s">
        <v>1428</v>
      </c>
      <c r="C242" s="224" t="s">
        <v>3351</v>
      </c>
      <c r="D242" s="224" t="s">
        <v>3352</v>
      </c>
      <c r="E242" s="394" t="s">
        <v>2789</v>
      </c>
      <c r="F242" s="403" t="s">
        <v>3340</v>
      </c>
      <c r="G242" s="235" t="s">
        <v>3381</v>
      </c>
      <c r="H242" s="521">
        <v>20076</v>
      </c>
      <c r="I242" s="194">
        <v>0</v>
      </c>
      <c r="J242" s="194">
        <v>35000</v>
      </c>
      <c r="K242" s="185">
        <v>0.5</v>
      </c>
      <c r="L242" s="183" t="s">
        <v>285</v>
      </c>
      <c r="M242" s="183" t="s">
        <v>158</v>
      </c>
      <c r="N242" s="183" t="s">
        <v>158</v>
      </c>
      <c r="O242" s="521"/>
    </row>
    <row r="243" spans="1:15" s="182" customFormat="1" ht="21.75" customHeight="1" x14ac:dyDescent="0.15">
      <c r="A243" s="151" t="s">
        <v>4393</v>
      </c>
      <c r="B243" s="20" t="s">
        <v>1439</v>
      </c>
      <c r="C243" s="224" t="s">
        <v>3351</v>
      </c>
      <c r="D243" s="224" t="s">
        <v>3352</v>
      </c>
      <c r="E243" s="394" t="s">
        <v>2794</v>
      </c>
      <c r="F243" s="403" t="s">
        <v>3340</v>
      </c>
      <c r="G243" s="235" t="s">
        <v>3381</v>
      </c>
      <c r="H243" s="521">
        <v>20072</v>
      </c>
      <c r="I243" s="194">
        <v>0</v>
      </c>
      <c r="J243" s="194">
        <v>35000</v>
      </c>
      <c r="K243" s="185">
        <v>0.5</v>
      </c>
      <c r="L243" s="183" t="s">
        <v>285</v>
      </c>
      <c r="M243" s="183" t="s">
        <v>158</v>
      </c>
      <c r="N243" s="183" t="s">
        <v>158</v>
      </c>
      <c r="O243" s="521"/>
    </row>
    <row r="244" spans="1:15" s="182" customFormat="1" ht="21.75" customHeight="1" x14ac:dyDescent="0.15">
      <c r="A244" s="151" t="s">
        <v>4393</v>
      </c>
      <c r="B244" s="20" t="s">
        <v>1428</v>
      </c>
      <c r="C244" s="224" t="s">
        <v>3351</v>
      </c>
      <c r="D244" s="224" t="s">
        <v>3352</v>
      </c>
      <c r="E244" s="394" t="s">
        <v>2787</v>
      </c>
      <c r="F244" s="403" t="s">
        <v>3328</v>
      </c>
      <c r="G244" s="235" t="s">
        <v>3381</v>
      </c>
      <c r="H244" s="521">
        <v>20073</v>
      </c>
      <c r="I244" s="194">
        <v>0</v>
      </c>
      <c r="J244" s="194">
        <v>35000</v>
      </c>
      <c r="K244" s="185">
        <v>0.5</v>
      </c>
      <c r="L244" s="183" t="s">
        <v>285</v>
      </c>
      <c r="M244" s="183" t="s">
        <v>158</v>
      </c>
      <c r="N244" s="183" t="s">
        <v>158</v>
      </c>
      <c r="O244" s="521"/>
    </row>
    <row r="245" spans="1:15" s="182" customFormat="1" ht="21.75" customHeight="1" x14ac:dyDescent="0.15">
      <c r="A245" s="151" t="s">
        <v>4393</v>
      </c>
      <c r="B245" s="20" t="s">
        <v>488</v>
      </c>
      <c r="C245" s="399" t="s">
        <v>3346</v>
      </c>
      <c r="D245" s="399" t="s">
        <v>3463</v>
      </c>
      <c r="E245" s="399" t="s">
        <v>3798</v>
      </c>
      <c r="F245" s="184" t="s">
        <v>3328</v>
      </c>
      <c r="G245" s="235" t="s">
        <v>3349</v>
      </c>
      <c r="H245" s="525">
        <v>20157</v>
      </c>
      <c r="I245" s="194">
        <v>0</v>
      </c>
      <c r="J245" s="194">
        <v>121200</v>
      </c>
      <c r="K245" s="185">
        <v>1</v>
      </c>
      <c r="L245" s="183" t="s">
        <v>285</v>
      </c>
      <c r="M245" s="183" t="s">
        <v>162</v>
      </c>
      <c r="N245" s="183" t="s">
        <v>1784</v>
      </c>
      <c r="O245" s="525"/>
    </row>
    <row r="246" spans="1:15" s="182" customFormat="1" ht="21.75" customHeight="1" x14ac:dyDescent="0.15">
      <c r="A246" s="151" t="s">
        <v>4393</v>
      </c>
      <c r="B246" s="20" t="s">
        <v>4394</v>
      </c>
      <c r="C246" s="184" t="s">
        <v>4396</v>
      </c>
      <c r="D246" s="184" t="s">
        <v>3326</v>
      </c>
      <c r="E246" s="184" t="s">
        <v>4397</v>
      </c>
      <c r="F246" s="184" t="s">
        <v>3328</v>
      </c>
      <c r="G246" s="235" t="s">
        <v>3336</v>
      </c>
      <c r="H246" s="525" t="s">
        <v>4402</v>
      </c>
      <c r="I246" s="194">
        <v>0</v>
      </c>
      <c r="J246" s="194">
        <v>66078</v>
      </c>
      <c r="K246" s="185">
        <v>0.3</v>
      </c>
      <c r="L246" s="183" t="s">
        <v>1162</v>
      </c>
      <c r="M246" s="184" t="s">
        <v>4398</v>
      </c>
      <c r="N246" s="184" t="s">
        <v>4399</v>
      </c>
      <c r="O246" s="525"/>
    </row>
    <row r="247" spans="1:15" s="182" customFormat="1" ht="21.75" customHeight="1" x14ac:dyDescent="0.15">
      <c r="A247" s="151" t="s">
        <v>4393</v>
      </c>
      <c r="B247" s="20" t="s">
        <v>4394</v>
      </c>
      <c r="C247" s="184" t="s">
        <v>4396</v>
      </c>
      <c r="D247" s="184" t="s">
        <v>3326</v>
      </c>
      <c r="E247" s="184" t="s">
        <v>4400</v>
      </c>
      <c r="F247" s="184" t="s">
        <v>3328</v>
      </c>
      <c r="G247" s="235" t="s">
        <v>3336</v>
      </c>
      <c r="H247" s="525" t="s">
        <v>4403</v>
      </c>
      <c r="I247" s="194">
        <v>0</v>
      </c>
      <c r="J247" s="194">
        <v>66078</v>
      </c>
      <c r="K247" s="185">
        <v>0.3</v>
      </c>
      <c r="L247" s="183" t="s">
        <v>1162</v>
      </c>
      <c r="M247" s="184" t="s">
        <v>4398</v>
      </c>
      <c r="N247" s="184" t="s">
        <v>4399</v>
      </c>
      <c r="O247" s="525"/>
    </row>
    <row r="248" spans="1:15" s="182" customFormat="1" ht="21.75" customHeight="1" x14ac:dyDescent="0.15">
      <c r="A248" s="151" t="s">
        <v>4393</v>
      </c>
      <c r="B248" s="20" t="s">
        <v>4394</v>
      </c>
      <c r="C248" s="184" t="s">
        <v>4396</v>
      </c>
      <c r="D248" s="184" t="s">
        <v>3326</v>
      </c>
      <c r="E248" s="184" t="s">
        <v>4401</v>
      </c>
      <c r="F248" s="184" t="s">
        <v>3328</v>
      </c>
      <c r="G248" s="235" t="s">
        <v>3336</v>
      </c>
      <c r="H248" s="525" t="s">
        <v>4404</v>
      </c>
      <c r="I248" s="194">
        <v>0</v>
      </c>
      <c r="J248" s="194">
        <v>66078</v>
      </c>
      <c r="K248" s="185">
        <v>0.3</v>
      </c>
      <c r="L248" s="183" t="s">
        <v>1162</v>
      </c>
      <c r="M248" s="184" t="s">
        <v>4398</v>
      </c>
      <c r="N248" s="184" t="s">
        <v>4399</v>
      </c>
      <c r="O248" s="525"/>
    </row>
    <row r="249" spans="1:15" s="182" customFormat="1" ht="21.75" customHeight="1" x14ac:dyDescent="0.15">
      <c r="A249" s="151" t="s">
        <v>4393</v>
      </c>
      <c r="B249" s="20" t="s">
        <v>342</v>
      </c>
      <c r="C249" s="399" t="s">
        <v>3346</v>
      </c>
      <c r="D249" s="399" t="s">
        <v>3463</v>
      </c>
      <c r="E249" s="399" t="s">
        <v>3799</v>
      </c>
      <c r="F249" s="184" t="s">
        <v>3328</v>
      </c>
      <c r="G249" s="235" t="s">
        <v>3349</v>
      </c>
      <c r="H249" s="525">
        <v>20158</v>
      </c>
      <c r="I249" s="194">
        <v>0</v>
      </c>
      <c r="J249" s="194">
        <v>121200</v>
      </c>
      <c r="K249" s="185">
        <v>1</v>
      </c>
      <c r="L249" s="183" t="s">
        <v>285</v>
      </c>
      <c r="M249" s="183" t="s">
        <v>162</v>
      </c>
      <c r="N249" s="183" t="s">
        <v>1784</v>
      </c>
      <c r="O249" s="525"/>
    </row>
    <row r="250" spans="1:15" s="182" customFormat="1" ht="21.75" customHeight="1" x14ac:dyDescent="0.15">
      <c r="A250" s="151" t="s">
        <v>4393</v>
      </c>
      <c r="B250" s="20" t="s">
        <v>4395</v>
      </c>
      <c r="C250" s="184" t="s">
        <v>4396</v>
      </c>
      <c r="D250" s="184" t="s">
        <v>3326</v>
      </c>
      <c r="E250" s="184" t="s">
        <v>4397</v>
      </c>
      <c r="F250" s="184" t="s">
        <v>3328</v>
      </c>
      <c r="G250" s="235" t="s">
        <v>4065</v>
      </c>
      <c r="H250" s="521" t="s">
        <v>4405</v>
      </c>
      <c r="I250" s="194">
        <v>0</v>
      </c>
      <c r="J250" s="194">
        <v>242500</v>
      </c>
      <c r="K250" s="185">
        <v>0.5</v>
      </c>
      <c r="L250" s="183" t="s">
        <v>4107</v>
      </c>
      <c r="M250" s="183" t="s">
        <v>162</v>
      </c>
      <c r="N250" s="183" t="s">
        <v>3388</v>
      </c>
      <c r="O250" s="521"/>
    </row>
    <row r="251" spans="1:15" s="182" customFormat="1" ht="21.75" customHeight="1" x14ac:dyDescent="0.15">
      <c r="A251" s="151" t="s">
        <v>4393</v>
      </c>
      <c r="B251" s="20" t="s">
        <v>4395</v>
      </c>
      <c r="C251" s="184" t="s">
        <v>4396</v>
      </c>
      <c r="D251" s="184" t="s">
        <v>3326</v>
      </c>
      <c r="E251" s="184" t="s">
        <v>4400</v>
      </c>
      <c r="F251" s="184" t="s">
        <v>3328</v>
      </c>
      <c r="G251" s="235" t="s">
        <v>4065</v>
      </c>
      <c r="H251" s="525" t="s">
        <v>4406</v>
      </c>
      <c r="I251" s="194">
        <v>0</v>
      </c>
      <c r="J251" s="194">
        <v>245000</v>
      </c>
      <c r="K251" s="185">
        <v>0.5</v>
      </c>
      <c r="L251" s="183" t="s">
        <v>4107</v>
      </c>
      <c r="M251" s="183" t="s">
        <v>162</v>
      </c>
      <c r="N251" s="183" t="s">
        <v>3388</v>
      </c>
      <c r="O251" s="525"/>
    </row>
    <row r="252" spans="1:15" s="182" customFormat="1" ht="21.75" customHeight="1" x14ac:dyDescent="0.15">
      <c r="A252" s="151" t="s">
        <v>4393</v>
      </c>
      <c r="B252" s="20" t="s">
        <v>4395</v>
      </c>
      <c r="C252" s="184" t="s">
        <v>4396</v>
      </c>
      <c r="D252" s="184" t="s">
        <v>3326</v>
      </c>
      <c r="E252" s="184" t="s">
        <v>4401</v>
      </c>
      <c r="F252" s="184" t="s">
        <v>3328</v>
      </c>
      <c r="G252" s="235" t="s">
        <v>4065</v>
      </c>
      <c r="H252" s="525" t="s">
        <v>4407</v>
      </c>
      <c r="I252" s="194">
        <v>0</v>
      </c>
      <c r="J252" s="194">
        <v>245000</v>
      </c>
      <c r="K252" s="185">
        <v>0.5</v>
      </c>
      <c r="L252" s="183" t="s">
        <v>4107</v>
      </c>
      <c r="M252" s="183" t="s">
        <v>162</v>
      </c>
      <c r="N252" s="183" t="s">
        <v>3388</v>
      </c>
      <c r="O252" s="525"/>
    </row>
    <row r="253" spans="1:15" s="182" customFormat="1" ht="21.75" customHeight="1" x14ac:dyDescent="0.15">
      <c r="A253" s="151" t="s">
        <v>4393</v>
      </c>
      <c r="B253" s="20" t="s">
        <v>2466</v>
      </c>
      <c r="C253" s="399" t="s">
        <v>3363</v>
      </c>
      <c r="D253" s="399" t="s">
        <v>3457</v>
      </c>
      <c r="E253" s="399" t="s">
        <v>3458</v>
      </c>
      <c r="F253" s="184" t="s">
        <v>3328</v>
      </c>
      <c r="G253" s="235" t="s">
        <v>3349</v>
      </c>
      <c r="H253" s="526">
        <v>20011</v>
      </c>
      <c r="I253" s="194">
        <v>80000</v>
      </c>
      <c r="J253" s="194">
        <v>0</v>
      </c>
      <c r="K253" s="185">
        <v>1</v>
      </c>
      <c r="L253" s="183" t="s">
        <v>285</v>
      </c>
      <c r="M253" s="183" t="s">
        <v>2660</v>
      </c>
      <c r="N253" s="183" t="s">
        <v>2660</v>
      </c>
      <c r="O253" s="526" t="s">
        <v>4410</v>
      </c>
    </row>
    <row r="254" spans="1:15" s="182" customFormat="1" ht="21.75" customHeight="1" x14ac:dyDescent="0.15">
      <c r="A254" s="151" t="s">
        <v>4408</v>
      </c>
      <c r="B254" s="20" t="s">
        <v>1313</v>
      </c>
      <c r="C254" s="399" t="s">
        <v>3346</v>
      </c>
      <c r="D254" s="391" t="s">
        <v>3354</v>
      </c>
      <c r="E254" s="405" t="s">
        <v>3562</v>
      </c>
      <c r="F254" s="184" t="s">
        <v>3328</v>
      </c>
      <c r="G254" s="235" t="s">
        <v>3349</v>
      </c>
      <c r="H254" s="526">
        <v>20017</v>
      </c>
      <c r="I254" s="194">
        <v>0</v>
      </c>
      <c r="J254" s="194">
        <v>75000</v>
      </c>
      <c r="K254" s="185">
        <v>0.5</v>
      </c>
      <c r="L254" s="183" t="s">
        <v>285</v>
      </c>
      <c r="M254" s="183" t="s">
        <v>162</v>
      </c>
      <c r="N254" s="183" t="s">
        <v>1784</v>
      </c>
      <c r="O254" s="526"/>
    </row>
    <row r="255" spans="1:15" s="182" customFormat="1" ht="21.75" customHeight="1" x14ac:dyDescent="0.15">
      <c r="A255" s="151" t="s">
        <v>4408</v>
      </c>
      <c r="B255" s="20" t="s">
        <v>248</v>
      </c>
      <c r="C255" s="224" t="s">
        <v>3363</v>
      </c>
      <c r="D255" s="224" t="s">
        <v>3352</v>
      </c>
      <c r="E255" s="224" t="s">
        <v>4411</v>
      </c>
      <c r="F255" s="224" t="s">
        <v>3328</v>
      </c>
      <c r="G255" s="239" t="s">
        <v>3349</v>
      </c>
      <c r="H255" s="526">
        <v>20022</v>
      </c>
      <c r="I255" s="194">
        <v>0</v>
      </c>
      <c r="J255" s="194">
        <v>89000</v>
      </c>
      <c r="K255" s="185">
        <v>1</v>
      </c>
      <c r="L255" s="183" t="s">
        <v>285</v>
      </c>
      <c r="M255" s="183" t="s">
        <v>2660</v>
      </c>
      <c r="N255" s="183" t="s">
        <v>2660</v>
      </c>
      <c r="O255" s="526"/>
    </row>
    <row r="256" spans="1:15" s="182" customFormat="1" ht="21.75" customHeight="1" x14ac:dyDescent="0.15">
      <c r="A256" s="151" t="s">
        <v>4412</v>
      </c>
      <c r="B256" s="20" t="s">
        <v>192</v>
      </c>
      <c r="C256" s="399" t="s">
        <v>3352</v>
      </c>
      <c r="D256" s="399" t="s">
        <v>3630</v>
      </c>
      <c r="E256" s="403" t="s">
        <v>4415</v>
      </c>
      <c r="F256" s="184" t="s">
        <v>4416</v>
      </c>
      <c r="G256" s="235" t="s">
        <v>3386</v>
      </c>
      <c r="H256" s="526">
        <v>20126</v>
      </c>
      <c r="I256" s="194">
        <v>0</v>
      </c>
      <c r="J256" s="194">
        <v>10000</v>
      </c>
      <c r="K256" s="185">
        <v>1</v>
      </c>
      <c r="L256" s="183" t="s">
        <v>1948</v>
      </c>
      <c r="M256" s="183" t="s">
        <v>2660</v>
      </c>
      <c r="N256" s="183" t="s">
        <v>2660</v>
      </c>
      <c r="O256" s="526"/>
    </row>
    <row r="257" spans="1:15" s="182" customFormat="1" ht="21.75" customHeight="1" x14ac:dyDescent="0.15">
      <c r="A257" s="151" t="s">
        <v>4412</v>
      </c>
      <c r="B257" s="20" t="s">
        <v>2946</v>
      </c>
      <c r="C257" s="399" t="s">
        <v>3346</v>
      </c>
      <c r="D257" s="399" t="s">
        <v>3463</v>
      </c>
      <c r="E257" s="399" t="s">
        <v>3792</v>
      </c>
      <c r="F257" s="184" t="s">
        <v>3328</v>
      </c>
      <c r="G257" s="235" t="s">
        <v>3349</v>
      </c>
      <c r="H257" s="521">
        <v>20147</v>
      </c>
      <c r="I257" s="194">
        <v>0</v>
      </c>
      <c r="J257" s="194">
        <v>121200</v>
      </c>
      <c r="K257" s="185">
        <v>1</v>
      </c>
      <c r="L257" s="183" t="s">
        <v>285</v>
      </c>
      <c r="M257" s="183" t="s">
        <v>162</v>
      </c>
      <c r="N257" s="183" t="s">
        <v>1784</v>
      </c>
      <c r="O257" s="521"/>
    </row>
    <row r="258" spans="1:15" s="182" customFormat="1" ht="21.75" customHeight="1" x14ac:dyDescent="0.15">
      <c r="A258" s="151" t="s">
        <v>4412</v>
      </c>
      <c r="B258" s="20" t="s">
        <v>2260</v>
      </c>
      <c r="C258" s="399" t="s">
        <v>3346</v>
      </c>
      <c r="D258" s="399" t="s">
        <v>3463</v>
      </c>
      <c r="E258" s="399" t="s">
        <v>3464</v>
      </c>
      <c r="F258" s="184" t="s">
        <v>3328</v>
      </c>
      <c r="G258" s="235" t="s">
        <v>3349</v>
      </c>
      <c r="H258" s="527">
        <v>20151</v>
      </c>
      <c r="I258" s="194">
        <v>0</v>
      </c>
      <c r="J258" s="194">
        <v>121200</v>
      </c>
      <c r="K258" s="185">
        <v>1</v>
      </c>
      <c r="L258" s="183" t="s">
        <v>285</v>
      </c>
      <c r="M258" s="183" t="s">
        <v>162</v>
      </c>
      <c r="N258" s="183" t="s">
        <v>1784</v>
      </c>
      <c r="O258" s="527"/>
    </row>
    <row r="259" spans="1:15" s="182" customFormat="1" ht="21.75" customHeight="1" x14ac:dyDescent="0.15">
      <c r="A259" s="151" t="s">
        <v>4412</v>
      </c>
      <c r="B259" s="20" t="s">
        <v>2647</v>
      </c>
      <c r="C259" s="399" t="s">
        <v>3346</v>
      </c>
      <c r="D259" s="399" t="s">
        <v>3463</v>
      </c>
      <c r="E259" s="399" t="s">
        <v>3791</v>
      </c>
      <c r="F259" s="184" t="s">
        <v>3328</v>
      </c>
      <c r="G259" s="235" t="s">
        <v>3349</v>
      </c>
      <c r="H259" s="527">
        <v>20153</v>
      </c>
      <c r="I259" s="194">
        <v>0</v>
      </c>
      <c r="J259" s="194">
        <v>121200</v>
      </c>
      <c r="K259" s="185">
        <v>1</v>
      </c>
      <c r="L259" s="183" t="s">
        <v>285</v>
      </c>
      <c r="M259" s="183" t="s">
        <v>162</v>
      </c>
      <c r="N259" s="183" t="s">
        <v>1784</v>
      </c>
      <c r="O259" s="527"/>
    </row>
    <row r="260" spans="1:15" s="182" customFormat="1" ht="21.75" customHeight="1" x14ac:dyDescent="0.15">
      <c r="A260" s="151" t="s">
        <v>4412</v>
      </c>
      <c r="B260" s="20" t="s">
        <v>497</v>
      </c>
      <c r="C260" s="391" t="s">
        <v>3346</v>
      </c>
      <c r="D260" s="393" t="s">
        <v>4052</v>
      </c>
      <c r="E260" s="394" t="s">
        <v>4053</v>
      </c>
      <c r="F260" s="224" t="s">
        <v>3328</v>
      </c>
      <c r="G260" s="235" t="s">
        <v>3349</v>
      </c>
      <c r="H260" s="528">
        <v>20088</v>
      </c>
      <c r="I260" s="194">
        <v>0</v>
      </c>
      <c r="J260" s="194">
        <v>87750</v>
      </c>
      <c r="K260" s="185">
        <v>0.9</v>
      </c>
      <c r="L260" s="183" t="s">
        <v>285</v>
      </c>
      <c r="M260" s="183" t="s">
        <v>1880</v>
      </c>
      <c r="N260" s="183" t="s">
        <v>1880</v>
      </c>
      <c r="O260" s="528"/>
    </row>
    <row r="261" spans="1:15" s="182" customFormat="1" ht="21.75" customHeight="1" x14ac:dyDescent="0.15">
      <c r="A261" s="151" t="s">
        <v>4413</v>
      </c>
      <c r="B261" s="20" t="s">
        <v>2398</v>
      </c>
      <c r="C261" s="224" t="s">
        <v>3351</v>
      </c>
      <c r="D261" s="224" t="s">
        <v>3352</v>
      </c>
      <c r="E261" s="394" t="s">
        <v>4417</v>
      </c>
      <c r="F261" s="184" t="s">
        <v>3340</v>
      </c>
      <c r="G261" s="235" t="s">
        <v>3349</v>
      </c>
      <c r="H261" s="528">
        <v>20116</v>
      </c>
      <c r="I261" s="194">
        <v>0</v>
      </c>
      <c r="J261" s="194">
        <v>45500</v>
      </c>
      <c r="K261" s="185">
        <v>0.65</v>
      </c>
      <c r="L261" s="183" t="s">
        <v>285</v>
      </c>
      <c r="M261" s="183" t="s">
        <v>158</v>
      </c>
      <c r="N261" s="183" t="s">
        <v>158</v>
      </c>
      <c r="O261" s="528"/>
    </row>
    <row r="262" spans="1:15" s="182" customFormat="1" ht="21.75" customHeight="1" x14ac:dyDescent="0.15">
      <c r="A262" s="151" t="s">
        <v>4413</v>
      </c>
      <c r="B262" s="20" t="s">
        <v>2398</v>
      </c>
      <c r="C262" s="399" t="s">
        <v>3351</v>
      </c>
      <c r="D262" s="399" t="s">
        <v>3352</v>
      </c>
      <c r="E262" s="399" t="s">
        <v>4126</v>
      </c>
      <c r="F262" s="184" t="s">
        <v>3340</v>
      </c>
      <c r="G262" s="235" t="s">
        <v>3349</v>
      </c>
      <c r="H262" s="528">
        <v>20117</v>
      </c>
      <c r="I262" s="194">
        <v>0</v>
      </c>
      <c r="J262" s="194">
        <v>45500</v>
      </c>
      <c r="K262" s="185">
        <v>0.65</v>
      </c>
      <c r="L262" s="183" t="s">
        <v>285</v>
      </c>
      <c r="M262" s="183" t="s">
        <v>158</v>
      </c>
      <c r="N262" s="183" t="s">
        <v>158</v>
      </c>
      <c r="O262" s="528"/>
    </row>
    <row r="263" spans="1:15" s="182" customFormat="1" ht="21.75" customHeight="1" x14ac:dyDescent="0.15">
      <c r="A263" s="151" t="s">
        <v>4413</v>
      </c>
      <c r="B263" s="20" t="s">
        <v>2398</v>
      </c>
      <c r="C263" s="224" t="s">
        <v>3351</v>
      </c>
      <c r="D263" s="224" t="s">
        <v>3352</v>
      </c>
      <c r="E263" s="224" t="s">
        <v>3743</v>
      </c>
      <c r="F263" s="224" t="s">
        <v>3340</v>
      </c>
      <c r="G263" s="239" t="s">
        <v>3349</v>
      </c>
      <c r="H263" s="528">
        <v>19075</v>
      </c>
      <c r="I263" s="194">
        <v>0</v>
      </c>
      <c r="J263" s="194">
        <v>44000</v>
      </c>
      <c r="K263" s="185">
        <v>0.5</v>
      </c>
      <c r="L263" s="183" t="s">
        <v>285</v>
      </c>
      <c r="M263" s="183" t="s">
        <v>158</v>
      </c>
      <c r="N263" s="183" t="s">
        <v>158</v>
      </c>
      <c r="O263" s="528"/>
    </row>
    <row r="264" spans="1:15" s="182" customFormat="1" ht="21.75" customHeight="1" x14ac:dyDescent="0.15">
      <c r="A264" s="151" t="s">
        <v>4413</v>
      </c>
      <c r="B264" s="20" t="s">
        <v>2078</v>
      </c>
      <c r="C264" s="399" t="s">
        <v>3346</v>
      </c>
      <c r="D264" s="399" t="s">
        <v>3463</v>
      </c>
      <c r="E264" s="399" t="s">
        <v>3793</v>
      </c>
      <c r="F264" s="184" t="s">
        <v>3328</v>
      </c>
      <c r="G264" s="235" t="s">
        <v>3349</v>
      </c>
      <c r="H264" s="528">
        <v>20160</v>
      </c>
      <c r="I264" s="194">
        <v>0</v>
      </c>
      <c r="J264" s="194">
        <v>121200</v>
      </c>
      <c r="K264" s="185">
        <v>1</v>
      </c>
      <c r="L264" s="183" t="s">
        <v>285</v>
      </c>
      <c r="M264" s="183" t="s">
        <v>162</v>
      </c>
      <c r="N264" s="183" t="s">
        <v>1784</v>
      </c>
      <c r="O264" s="528"/>
    </row>
    <row r="265" spans="1:15" s="182" customFormat="1" ht="21.75" customHeight="1" x14ac:dyDescent="0.15">
      <c r="A265" s="151" t="s">
        <v>4413</v>
      </c>
      <c r="B265" s="20" t="s">
        <v>2078</v>
      </c>
      <c r="C265" s="399" t="s">
        <v>3346</v>
      </c>
      <c r="D265" s="399" t="s">
        <v>3463</v>
      </c>
      <c r="E265" s="399" t="s">
        <v>4418</v>
      </c>
      <c r="F265" s="184" t="s">
        <v>4116</v>
      </c>
      <c r="G265" s="235" t="s">
        <v>4116</v>
      </c>
      <c r="H265" s="528" t="s">
        <v>4419</v>
      </c>
      <c r="I265" s="194">
        <v>0</v>
      </c>
      <c r="J265" s="194">
        <v>25140</v>
      </c>
      <c r="K265" s="185">
        <v>1</v>
      </c>
      <c r="L265" s="183" t="s">
        <v>1948</v>
      </c>
      <c r="M265" s="183" t="s">
        <v>162</v>
      </c>
      <c r="N265" s="183" t="s">
        <v>1784</v>
      </c>
      <c r="O265" s="528"/>
    </row>
    <row r="266" spans="1:15" s="182" customFormat="1" ht="21.75" customHeight="1" x14ac:dyDescent="0.15">
      <c r="A266" s="151" t="s">
        <v>4414</v>
      </c>
      <c r="B266" s="20" t="s">
        <v>2074</v>
      </c>
      <c r="C266" s="391" t="s">
        <v>3346</v>
      </c>
      <c r="D266" s="393" t="s">
        <v>3354</v>
      </c>
      <c r="E266" s="394" t="s">
        <v>3777</v>
      </c>
      <c r="F266" s="224" t="s">
        <v>3328</v>
      </c>
      <c r="G266" s="235" t="s">
        <v>3349</v>
      </c>
      <c r="H266" s="528">
        <v>20085</v>
      </c>
      <c r="I266" s="194">
        <v>0</v>
      </c>
      <c r="J266" s="194">
        <v>75000</v>
      </c>
      <c r="K266" s="185">
        <v>0.5</v>
      </c>
      <c r="L266" s="183" t="s">
        <v>285</v>
      </c>
      <c r="M266" s="184" t="s">
        <v>3725</v>
      </c>
      <c r="N266" s="184" t="s">
        <v>3725</v>
      </c>
      <c r="O266" s="528"/>
    </row>
    <row r="267" spans="1:15" s="182" customFormat="1" ht="21.75" customHeight="1" x14ac:dyDescent="0.15">
      <c r="A267" s="151" t="s">
        <v>4414</v>
      </c>
      <c r="B267" s="20" t="s">
        <v>2019</v>
      </c>
      <c r="C267" s="184" t="s">
        <v>3346</v>
      </c>
      <c r="D267" s="184" t="s">
        <v>3439</v>
      </c>
      <c r="E267" s="184" t="s">
        <v>4194</v>
      </c>
      <c r="F267" s="224" t="s">
        <v>4361</v>
      </c>
      <c r="G267" s="235" t="s">
        <v>3336</v>
      </c>
      <c r="H267" s="528">
        <v>20165</v>
      </c>
      <c r="I267" s="194">
        <v>0</v>
      </c>
      <c r="J267" s="194">
        <v>10500</v>
      </c>
      <c r="K267" s="185">
        <v>1</v>
      </c>
      <c r="L267" s="183" t="s">
        <v>1948</v>
      </c>
      <c r="M267" s="183" t="s">
        <v>155</v>
      </c>
      <c r="N267" s="183" t="s">
        <v>155</v>
      </c>
      <c r="O267" s="528"/>
    </row>
    <row r="268" spans="1:15" s="182" customFormat="1" ht="21.75" customHeight="1" x14ac:dyDescent="0.15">
      <c r="A268" s="151" t="s">
        <v>4414</v>
      </c>
      <c r="B268" s="20" t="s">
        <v>2373</v>
      </c>
      <c r="C268" s="184" t="s">
        <v>3346</v>
      </c>
      <c r="D268" s="184" t="s">
        <v>3326</v>
      </c>
      <c r="E268" s="184" t="s">
        <v>873</v>
      </c>
      <c r="F268" s="184" t="s">
        <v>3328</v>
      </c>
      <c r="G268" s="235" t="s">
        <v>3349</v>
      </c>
      <c r="H268" s="528">
        <v>19043</v>
      </c>
      <c r="I268" s="194">
        <v>0</v>
      </c>
      <c r="J268" s="194">
        <v>150000</v>
      </c>
      <c r="K268" s="185">
        <v>1</v>
      </c>
      <c r="L268" s="183" t="s">
        <v>285</v>
      </c>
      <c r="M268" s="183" t="s">
        <v>1880</v>
      </c>
      <c r="N268" s="183" t="s">
        <v>1880</v>
      </c>
      <c r="O268" s="528"/>
    </row>
    <row r="269" spans="1:15" s="182" customFormat="1" ht="21.75" customHeight="1" x14ac:dyDescent="0.15">
      <c r="A269" s="151" t="s">
        <v>4414</v>
      </c>
      <c r="B269" s="20" t="s">
        <v>624</v>
      </c>
      <c r="C269" s="399" t="s">
        <v>3346</v>
      </c>
      <c r="D269" s="399" t="s">
        <v>3463</v>
      </c>
      <c r="E269" s="399" t="s">
        <v>3806</v>
      </c>
      <c r="F269" s="184" t="s">
        <v>3328</v>
      </c>
      <c r="G269" s="235" t="s">
        <v>3349</v>
      </c>
      <c r="H269" s="529">
        <v>20149</v>
      </c>
      <c r="I269" s="194">
        <v>0</v>
      </c>
      <c r="J269" s="194">
        <v>121200</v>
      </c>
      <c r="K269" s="185">
        <v>1</v>
      </c>
      <c r="L269" s="183" t="s">
        <v>285</v>
      </c>
      <c r="M269" s="183" t="s">
        <v>162</v>
      </c>
      <c r="N269" s="183" t="s">
        <v>1784</v>
      </c>
      <c r="O269" s="529"/>
    </row>
    <row r="270" spans="1:15" s="182" customFormat="1" ht="21.75" customHeight="1" x14ac:dyDescent="0.15">
      <c r="A270" s="151" t="s">
        <v>4414</v>
      </c>
      <c r="B270" s="20" t="s">
        <v>2373</v>
      </c>
      <c r="C270" s="394" t="s">
        <v>3371</v>
      </c>
      <c r="D270" s="394" t="s">
        <v>3419</v>
      </c>
      <c r="E270" s="409" t="s">
        <v>4420</v>
      </c>
      <c r="F270" s="410" t="s">
        <v>3328</v>
      </c>
      <c r="G270" s="411" t="s">
        <v>3529</v>
      </c>
      <c r="H270" s="529">
        <v>13002</v>
      </c>
      <c r="I270" s="194">
        <v>0</v>
      </c>
      <c r="J270" s="194">
        <v>33520</v>
      </c>
      <c r="K270" s="185">
        <v>0.1</v>
      </c>
      <c r="L270" s="183" t="s">
        <v>1143</v>
      </c>
      <c r="M270" s="183" t="s">
        <v>155</v>
      </c>
      <c r="N270" s="183" t="s">
        <v>1880</v>
      </c>
      <c r="O270" s="529"/>
    </row>
    <row r="271" spans="1:15" s="182" customFormat="1" ht="21.75" customHeight="1" x14ac:dyDescent="0.15">
      <c r="A271" s="151" t="s">
        <v>4414</v>
      </c>
      <c r="B271" s="20" t="s">
        <v>2589</v>
      </c>
      <c r="C271" s="399" t="s">
        <v>3351</v>
      </c>
      <c r="D271" s="399" t="s">
        <v>3352</v>
      </c>
      <c r="E271" s="399" t="s">
        <v>3757</v>
      </c>
      <c r="F271" s="184" t="s">
        <v>3328</v>
      </c>
      <c r="G271" s="235" t="s">
        <v>3349</v>
      </c>
      <c r="H271" s="529">
        <v>20143</v>
      </c>
      <c r="I271" s="194">
        <v>0</v>
      </c>
      <c r="J271" s="194">
        <v>80000</v>
      </c>
      <c r="K271" s="185">
        <v>1</v>
      </c>
      <c r="L271" s="183" t="s">
        <v>285</v>
      </c>
      <c r="M271" s="183" t="s">
        <v>158</v>
      </c>
      <c r="N271" s="183" t="s">
        <v>158</v>
      </c>
      <c r="O271" s="529"/>
    </row>
    <row r="272" spans="1:15" s="182" customFormat="1" ht="21.75" customHeight="1" x14ac:dyDescent="0.15">
      <c r="A272" s="151" t="s">
        <v>4421</v>
      </c>
      <c r="B272" s="20" t="s">
        <v>358</v>
      </c>
      <c r="C272" s="530" t="s">
        <v>3346</v>
      </c>
      <c r="D272" s="530" t="s">
        <v>3347</v>
      </c>
      <c r="E272" s="530" t="s">
        <v>3348</v>
      </c>
      <c r="F272" s="184" t="s">
        <v>3328</v>
      </c>
      <c r="G272" s="235" t="s">
        <v>3386</v>
      </c>
      <c r="H272" s="529" t="s">
        <v>4388</v>
      </c>
      <c r="I272" s="194">
        <v>0</v>
      </c>
      <c r="J272" s="194">
        <v>68850</v>
      </c>
      <c r="K272" s="185">
        <v>0.9</v>
      </c>
      <c r="L272" s="183" t="s">
        <v>1948</v>
      </c>
      <c r="M272" s="183" t="s">
        <v>162</v>
      </c>
      <c r="N272" s="183" t="s">
        <v>1784</v>
      </c>
      <c r="O272" s="529"/>
    </row>
    <row r="273" spans="1:15" s="182" customFormat="1" ht="21.75" customHeight="1" x14ac:dyDescent="0.15">
      <c r="A273" s="151" t="s">
        <v>4421</v>
      </c>
      <c r="B273" s="20" t="s">
        <v>358</v>
      </c>
      <c r="C273" s="530" t="s">
        <v>3346</v>
      </c>
      <c r="D273" s="530" t="s">
        <v>3347</v>
      </c>
      <c r="E273" s="530" t="s">
        <v>3350</v>
      </c>
      <c r="F273" s="184" t="s">
        <v>3328</v>
      </c>
      <c r="G273" s="235" t="s">
        <v>3386</v>
      </c>
      <c r="H273" s="529" t="s">
        <v>4389</v>
      </c>
      <c r="I273" s="194">
        <v>0</v>
      </c>
      <c r="J273" s="194">
        <v>68850</v>
      </c>
      <c r="K273" s="185">
        <v>0.9</v>
      </c>
      <c r="L273" s="183" t="s">
        <v>1948</v>
      </c>
      <c r="M273" s="183" t="s">
        <v>162</v>
      </c>
      <c r="N273" s="183" t="s">
        <v>1784</v>
      </c>
      <c r="O273" s="529"/>
    </row>
    <row r="274" spans="1:15" s="182" customFormat="1" ht="21.75" customHeight="1" x14ac:dyDescent="0.15">
      <c r="A274" s="151" t="s">
        <v>4421</v>
      </c>
      <c r="B274" s="20" t="s">
        <v>1828</v>
      </c>
      <c r="C274" s="184" t="s">
        <v>3357</v>
      </c>
      <c r="D274" s="184" t="s">
        <v>3347</v>
      </c>
      <c r="E274" s="184" t="s">
        <v>3998</v>
      </c>
      <c r="F274" s="224" t="s">
        <v>3328</v>
      </c>
      <c r="G274" s="235" t="s">
        <v>3386</v>
      </c>
      <c r="H274" s="531">
        <v>20166</v>
      </c>
      <c r="I274" s="194">
        <v>0</v>
      </c>
      <c r="J274" s="194">
        <v>12600</v>
      </c>
      <c r="K274" s="185">
        <v>1</v>
      </c>
      <c r="L274" s="183" t="s">
        <v>1948</v>
      </c>
      <c r="M274" s="183" t="s">
        <v>3388</v>
      </c>
      <c r="N274" s="183" t="s">
        <v>3388</v>
      </c>
      <c r="O274" s="531"/>
    </row>
    <row r="275" spans="1:15" s="182" customFormat="1" ht="21.75" customHeight="1" x14ac:dyDescent="0.15">
      <c r="A275" s="151" t="s">
        <v>4421</v>
      </c>
      <c r="B275" s="20" t="s">
        <v>4422</v>
      </c>
      <c r="C275" s="399" t="s">
        <v>3357</v>
      </c>
      <c r="D275" s="399" t="s">
        <v>3326</v>
      </c>
      <c r="E275" s="399" t="s">
        <v>4423</v>
      </c>
      <c r="F275" s="184" t="s">
        <v>3328</v>
      </c>
      <c r="G275" s="235" t="s">
        <v>4424</v>
      </c>
      <c r="H275" s="531">
        <v>20107</v>
      </c>
      <c r="I275" s="194">
        <v>0</v>
      </c>
      <c r="J275" s="194">
        <v>29000</v>
      </c>
      <c r="K275" s="185">
        <v>1</v>
      </c>
      <c r="L275" s="183" t="s">
        <v>1948</v>
      </c>
      <c r="M275" s="183" t="s">
        <v>3388</v>
      </c>
      <c r="N275" s="183" t="s">
        <v>3388</v>
      </c>
      <c r="O275" s="531"/>
    </row>
    <row r="276" spans="1:15" s="182" customFormat="1" ht="21.75" customHeight="1" x14ac:dyDescent="0.15">
      <c r="A276" s="151" t="s">
        <v>4421</v>
      </c>
      <c r="B276" s="20" t="s">
        <v>2644</v>
      </c>
      <c r="C276" s="399" t="s">
        <v>3346</v>
      </c>
      <c r="D276" s="399" t="s">
        <v>3463</v>
      </c>
      <c r="E276" s="399" t="s">
        <v>964</v>
      </c>
      <c r="F276" s="184" t="s">
        <v>3328</v>
      </c>
      <c r="G276" s="235" t="s">
        <v>3349</v>
      </c>
      <c r="H276" s="530">
        <v>20152</v>
      </c>
      <c r="I276" s="194">
        <v>0</v>
      </c>
      <c r="J276" s="194">
        <v>121200</v>
      </c>
      <c r="K276" s="185">
        <v>1</v>
      </c>
      <c r="L276" s="183" t="s">
        <v>285</v>
      </c>
      <c r="M276" s="183" t="s">
        <v>162</v>
      </c>
      <c r="N276" s="183" t="s">
        <v>1784</v>
      </c>
      <c r="O276" s="530"/>
    </row>
    <row r="277" spans="1:15" s="182" customFormat="1" ht="21.75" customHeight="1" x14ac:dyDescent="0.15">
      <c r="A277" s="151" t="s">
        <v>4425</v>
      </c>
      <c r="B277" s="20" t="s">
        <v>1435</v>
      </c>
      <c r="C277" s="224" t="s">
        <v>3351</v>
      </c>
      <c r="D277" s="224" t="s">
        <v>3352</v>
      </c>
      <c r="E277" s="184" t="s">
        <v>2795</v>
      </c>
      <c r="F277" s="403" t="s">
        <v>3328</v>
      </c>
      <c r="G277" s="235" t="s">
        <v>3349</v>
      </c>
      <c r="H277" s="532">
        <v>20070</v>
      </c>
      <c r="I277" s="194">
        <v>0</v>
      </c>
      <c r="J277" s="194">
        <v>35000</v>
      </c>
      <c r="K277" s="185">
        <v>0.5</v>
      </c>
      <c r="L277" s="183" t="s">
        <v>285</v>
      </c>
      <c r="M277" s="183" t="s">
        <v>158</v>
      </c>
      <c r="N277" s="183" t="s">
        <v>158</v>
      </c>
      <c r="O277" s="532"/>
    </row>
    <row r="278" spans="1:15" s="182" customFormat="1" ht="21.75" customHeight="1" x14ac:dyDescent="0.15">
      <c r="A278" s="151" t="s">
        <v>4425</v>
      </c>
      <c r="B278" s="20" t="s">
        <v>1403</v>
      </c>
      <c r="C278" s="224" t="s">
        <v>3325</v>
      </c>
      <c r="D278" s="224" t="s">
        <v>3439</v>
      </c>
      <c r="E278" s="394" t="s">
        <v>4102</v>
      </c>
      <c r="F278" s="224" t="s">
        <v>3340</v>
      </c>
      <c r="G278" s="239" t="s">
        <v>3566</v>
      </c>
      <c r="H278" s="532">
        <v>18096</v>
      </c>
      <c r="I278" s="194">
        <v>0</v>
      </c>
      <c r="J278" s="194">
        <v>100000</v>
      </c>
      <c r="K278" s="185" t="s">
        <v>3105</v>
      </c>
      <c r="L278" s="183" t="s">
        <v>285</v>
      </c>
      <c r="M278" s="183" t="s">
        <v>155</v>
      </c>
      <c r="N278" s="183" t="s">
        <v>2660</v>
      </c>
      <c r="O278" s="532"/>
    </row>
    <row r="279" spans="1:15" s="182" customFormat="1" ht="21.75" customHeight="1" x14ac:dyDescent="0.15">
      <c r="A279" s="151" t="s">
        <v>4425</v>
      </c>
      <c r="B279" s="20" t="s">
        <v>1452</v>
      </c>
      <c r="C279" s="391" t="s">
        <v>3363</v>
      </c>
      <c r="D279" s="393" t="s">
        <v>3967</v>
      </c>
      <c r="E279" s="394" t="s">
        <v>3968</v>
      </c>
      <c r="F279" s="224" t="s">
        <v>3328</v>
      </c>
      <c r="G279" s="239" t="s">
        <v>3349</v>
      </c>
      <c r="H279" s="532">
        <v>19128</v>
      </c>
      <c r="I279" s="194">
        <v>0</v>
      </c>
      <c r="J279" s="194">
        <v>30000</v>
      </c>
      <c r="K279" s="185">
        <v>1</v>
      </c>
      <c r="L279" s="183" t="s">
        <v>285</v>
      </c>
      <c r="M279" s="183" t="s">
        <v>2660</v>
      </c>
      <c r="N279" s="183" t="s">
        <v>2660</v>
      </c>
      <c r="O279" s="532"/>
    </row>
    <row r="280" spans="1:15" s="182" customFormat="1" ht="21.75" customHeight="1" x14ac:dyDescent="0.15">
      <c r="A280" s="151" t="s">
        <v>4425</v>
      </c>
      <c r="B280" s="20" t="s">
        <v>1452</v>
      </c>
      <c r="C280" s="224" t="s">
        <v>3985</v>
      </c>
      <c r="D280" s="224" t="s">
        <v>4429</v>
      </c>
      <c r="E280" s="30" t="s">
        <v>4430</v>
      </c>
      <c r="F280" s="184" t="s">
        <v>3328</v>
      </c>
      <c r="G280" s="235" t="s">
        <v>3386</v>
      </c>
      <c r="H280" s="532">
        <v>20173</v>
      </c>
      <c r="I280" s="194">
        <v>0</v>
      </c>
      <c r="J280" s="194">
        <v>30000</v>
      </c>
      <c r="K280" s="185">
        <v>1</v>
      </c>
      <c r="L280" s="183" t="s">
        <v>1948</v>
      </c>
      <c r="M280" s="183" t="s">
        <v>2660</v>
      </c>
      <c r="N280" s="183" t="s">
        <v>2660</v>
      </c>
      <c r="O280" s="532"/>
    </row>
    <row r="281" spans="1:15" s="182" customFormat="1" ht="21.75" customHeight="1" x14ac:dyDescent="0.15">
      <c r="A281" s="151" t="s">
        <v>4426</v>
      </c>
      <c r="B281" s="20" t="s">
        <v>1447</v>
      </c>
      <c r="C281" s="391" t="s">
        <v>3363</v>
      </c>
      <c r="D281" s="393" t="s">
        <v>3967</v>
      </c>
      <c r="E281" s="394" t="s">
        <v>3969</v>
      </c>
      <c r="F281" s="224" t="s">
        <v>3328</v>
      </c>
      <c r="G281" s="239" t="s">
        <v>3349</v>
      </c>
      <c r="H281" s="533">
        <v>19129</v>
      </c>
      <c r="I281" s="194">
        <v>0</v>
      </c>
      <c r="J281" s="194">
        <v>30000</v>
      </c>
      <c r="K281" s="185">
        <v>1</v>
      </c>
      <c r="L281" s="183" t="s">
        <v>285</v>
      </c>
      <c r="M281" s="183" t="s">
        <v>2660</v>
      </c>
      <c r="N281" s="183" t="s">
        <v>2660</v>
      </c>
      <c r="O281" s="533"/>
    </row>
    <row r="282" spans="1:15" s="182" customFormat="1" ht="21.75" customHeight="1" x14ac:dyDescent="0.15">
      <c r="A282" s="151" t="s">
        <v>4426</v>
      </c>
      <c r="B282" s="20" t="s">
        <v>1461</v>
      </c>
      <c r="C282" s="391" t="s">
        <v>3363</v>
      </c>
      <c r="D282" s="393" t="s">
        <v>3967</v>
      </c>
      <c r="E282" s="394" t="s">
        <v>3975</v>
      </c>
      <c r="F282" s="224" t="s">
        <v>3328</v>
      </c>
      <c r="G282" s="239" t="s">
        <v>3349</v>
      </c>
      <c r="H282" s="533">
        <v>19127</v>
      </c>
      <c r="I282" s="194">
        <v>0</v>
      </c>
      <c r="J282" s="194">
        <v>30000</v>
      </c>
      <c r="K282" s="185">
        <v>1</v>
      </c>
      <c r="L282" s="183" t="s">
        <v>285</v>
      </c>
      <c r="M282" s="183" t="s">
        <v>2660</v>
      </c>
      <c r="N282" s="183" t="s">
        <v>2660</v>
      </c>
      <c r="O282" s="533"/>
    </row>
    <row r="283" spans="1:15" s="182" customFormat="1" ht="21.75" customHeight="1" x14ac:dyDescent="0.15">
      <c r="A283" s="151" t="s">
        <v>4426</v>
      </c>
      <c r="B283" s="20" t="s">
        <v>4427</v>
      </c>
      <c r="C283" s="399" t="s">
        <v>3337</v>
      </c>
      <c r="D283" s="399" t="s">
        <v>4176</v>
      </c>
      <c r="E283" s="399" t="s">
        <v>4177</v>
      </c>
      <c r="F283" s="184" t="s">
        <v>3328</v>
      </c>
      <c r="G283" s="235" t="s">
        <v>3378</v>
      </c>
      <c r="H283" s="533" t="s">
        <v>4180</v>
      </c>
      <c r="I283" s="194">
        <v>0</v>
      </c>
      <c r="J283" s="194">
        <v>180000</v>
      </c>
      <c r="K283" s="185">
        <v>0.4</v>
      </c>
      <c r="L283" s="183" t="s">
        <v>1172</v>
      </c>
      <c r="M283" s="183" t="s">
        <v>190</v>
      </c>
      <c r="N283" s="183" t="s">
        <v>190</v>
      </c>
      <c r="O283" s="533"/>
    </row>
    <row r="284" spans="1:15" s="182" customFormat="1" ht="21.75" customHeight="1" x14ac:dyDescent="0.15">
      <c r="A284" s="151" t="s">
        <v>4426</v>
      </c>
      <c r="B284" s="20" t="s">
        <v>4427</v>
      </c>
      <c r="C284" s="399" t="s">
        <v>3337</v>
      </c>
      <c r="D284" s="399" t="s">
        <v>4176</v>
      </c>
      <c r="E284" s="399" t="s">
        <v>4177</v>
      </c>
      <c r="F284" s="184" t="s">
        <v>4178</v>
      </c>
      <c r="G284" s="235" t="s">
        <v>4179</v>
      </c>
      <c r="H284" s="534" t="s">
        <v>4181</v>
      </c>
      <c r="I284" s="194">
        <v>0</v>
      </c>
      <c r="J284" s="194">
        <v>59200</v>
      </c>
      <c r="K284" s="185">
        <v>0.4</v>
      </c>
      <c r="L284" s="183" t="s">
        <v>1172</v>
      </c>
      <c r="M284" s="183" t="s">
        <v>190</v>
      </c>
      <c r="N284" s="183" t="s">
        <v>190</v>
      </c>
      <c r="O284" s="534"/>
    </row>
    <row r="285" spans="1:15" s="182" customFormat="1" ht="21.75" customHeight="1" x14ac:dyDescent="0.15">
      <c r="A285" s="151" t="s">
        <v>4426</v>
      </c>
      <c r="B285" s="20" t="s">
        <v>2373</v>
      </c>
      <c r="C285" s="394" t="s">
        <v>3371</v>
      </c>
      <c r="D285" s="394" t="s">
        <v>3419</v>
      </c>
      <c r="E285" s="409" t="s">
        <v>142</v>
      </c>
      <c r="F285" s="429" t="s">
        <v>3328</v>
      </c>
      <c r="G285" s="423" t="s">
        <v>3611</v>
      </c>
      <c r="H285" s="533">
        <v>15020</v>
      </c>
      <c r="I285" s="194">
        <v>0</v>
      </c>
      <c r="J285" s="194">
        <v>133000</v>
      </c>
      <c r="K285" s="185">
        <v>0.7</v>
      </c>
      <c r="L285" s="183" t="s">
        <v>2449</v>
      </c>
      <c r="M285" s="183" t="s">
        <v>165</v>
      </c>
      <c r="N285" s="183" t="s">
        <v>1880</v>
      </c>
      <c r="O285" s="533"/>
    </row>
    <row r="286" spans="1:15" s="182" customFormat="1" ht="21.75" customHeight="1" x14ac:dyDescent="0.15">
      <c r="A286" s="151" t="s">
        <v>4426</v>
      </c>
      <c r="B286" s="20" t="s">
        <v>2373</v>
      </c>
      <c r="C286" s="224" t="s">
        <v>3346</v>
      </c>
      <c r="D286" s="224" t="s">
        <v>3326</v>
      </c>
      <c r="E286" s="234" t="s">
        <v>873</v>
      </c>
      <c r="F286" s="224" t="s">
        <v>3328</v>
      </c>
      <c r="G286" s="239" t="s">
        <v>3613</v>
      </c>
      <c r="H286" s="534">
        <v>18169</v>
      </c>
      <c r="I286" s="194">
        <v>0</v>
      </c>
      <c r="J286" s="194">
        <v>77000</v>
      </c>
      <c r="K286" s="185">
        <v>0.7</v>
      </c>
      <c r="L286" s="183" t="s">
        <v>2449</v>
      </c>
      <c r="M286" s="183" t="s">
        <v>1880</v>
      </c>
      <c r="N286" s="183" t="s">
        <v>1880</v>
      </c>
      <c r="O286" s="534"/>
    </row>
    <row r="287" spans="1:15" s="182" customFormat="1" ht="21.75" customHeight="1" x14ac:dyDescent="0.15">
      <c r="A287" s="151" t="s">
        <v>4428</v>
      </c>
      <c r="B287" s="20" t="s">
        <v>1318</v>
      </c>
      <c r="C287" s="224" t="s">
        <v>3346</v>
      </c>
      <c r="D287" s="224" t="s">
        <v>3439</v>
      </c>
      <c r="E287" s="394" t="s">
        <v>3774</v>
      </c>
      <c r="F287" s="224" t="s">
        <v>3355</v>
      </c>
      <c r="G287" s="235" t="s">
        <v>3941</v>
      </c>
      <c r="H287" s="533">
        <v>19182</v>
      </c>
      <c r="I287" s="194">
        <v>0</v>
      </c>
      <c r="J287" s="194">
        <v>9400</v>
      </c>
      <c r="K287" s="185">
        <v>0.1</v>
      </c>
      <c r="L287" s="183" t="s">
        <v>1143</v>
      </c>
      <c r="M287" s="183" t="s">
        <v>155</v>
      </c>
      <c r="N287" s="183" t="s">
        <v>1880</v>
      </c>
      <c r="O287" s="533"/>
    </row>
    <row r="288" spans="1:15" s="182" customFormat="1" ht="21.75" customHeight="1" x14ac:dyDescent="0.15">
      <c r="A288" s="151" t="s">
        <v>4428</v>
      </c>
      <c r="B288" s="20" t="s">
        <v>482</v>
      </c>
      <c r="C288" s="399" t="s">
        <v>3346</v>
      </c>
      <c r="D288" s="399" t="s">
        <v>3463</v>
      </c>
      <c r="E288" s="399" t="s">
        <v>3809</v>
      </c>
      <c r="F288" s="184" t="s">
        <v>3328</v>
      </c>
      <c r="G288" s="235" t="s">
        <v>3349</v>
      </c>
      <c r="H288" s="532">
        <v>20150</v>
      </c>
      <c r="I288" s="194">
        <v>0</v>
      </c>
      <c r="J288" s="194">
        <v>121200</v>
      </c>
      <c r="K288" s="185">
        <v>1</v>
      </c>
      <c r="L288" s="183" t="s">
        <v>285</v>
      </c>
      <c r="M288" s="183" t="s">
        <v>162</v>
      </c>
      <c r="N288" s="183" t="s">
        <v>1784</v>
      </c>
      <c r="O288" s="532"/>
    </row>
    <row r="289" spans="1:15" s="182" customFormat="1" ht="21.75" customHeight="1" x14ac:dyDescent="0.15">
      <c r="A289" s="151" t="s">
        <v>4428</v>
      </c>
      <c r="B289" s="20" t="s">
        <v>489</v>
      </c>
      <c r="C289" s="399" t="s">
        <v>3346</v>
      </c>
      <c r="D289" s="399" t="s">
        <v>3463</v>
      </c>
      <c r="E289" s="399" t="s">
        <v>3808</v>
      </c>
      <c r="F289" s="184" t="s">
        <v>3328</v>
      </c>
      <c r="G289" s="235" t="s">
        <v>3349</v>
      </c>
      <c r="H289" s="535">
        <v>20154</v>
      </c>
      <c r="I289" s="194">
        <v>0</v>
      </c>
      <c r="J289" s="194">
        <v>121200</v>
      </c>
      <c r="K289" s="185">
        <v>1</v>
      </c>
      <c r="L289" s="183" t="s">
        <v>285</v>
      </c>
      <c r="M289" s="183" t="s">
        <v>162</v>
      </c>
      <c r="N289" s="183" t="s">
        <v>1784</v>
      </c>
      <c r="O289" s="535"/>
    </row>
    <row r="290" spans="1:15" s="182" customFormat="1" ht="21.75" customHeight="1" x14ac:dyDescent="0.15">
      <c r="A290" s="151" t="s">
        <v>4428</v>
      </c>
      <c r="B290" s="20" t="s">
        <v>490</v>
      </c>
      <c r="C290" s="399" t="s">
        <v>3346</v>
      </c>
      <c r="D290" s="399" t="s">
        <v>3463</v>
      </c>
      <c r="E290" s="399" t="s">
        <v>967</v>
      </c>
      <c r="F290" s="184" t="s">
        <v>3328</v>
      </c>
      <c r="G290" s="235" t="s">
        <v>3349</v>
      </c>
      <c r="H290" s="535">
        <v>20156</v>
      </c>
      <c r="I290" s="194">
        <v>0</v>
      </c>
      <c r="J290" s="194">
        <v>121200</v>
      </c>
      <c r="K290" s="185">
        <v>1</v>
      </c>
      <c r="L290" s="183" t="s">
        <v>285</v>
      </c>
      <c r="M290" s="183" t="s">
        <v>162</v>
      </c>
      <c r="N290" s="183" t="s">
        <v>1784</v>
      </c>
      <c r="O290" s="535"/>
    </row>
    <row r="291" spans="1:15" s="182" customFormat="1" ht="21.75" customHeight="1" x14ac:dyDescent="0.15">
      <c r="A291" s="151" t="s">
        <v>4428</v>
      </c>
      <c r="B291" s="20" t="s">
        <v>1394</v>
      </c>
      <c r="C291" s="409" t="s">
        <v>3351</v>
      </c>
      <c r="D291" s="409" t="s">
        <v>3352</v>
      </c>
      <c r="E291" s="484" t="s">
        <v>4431</v>
      </c>
      <c r="F291" s="429" t="s">
        <v>3328</v>
      </c>
      <c r="G291" s="430" t="s">
        <v>3378</v>
      </c>
      <c r="H291" s="535">
        <v>15029</v>
      </c>
      <c r="I291" s="194">
        <v>0</v>
      </c>
      <c r="J291" s="194">
        <v>34000</v>
      </c>
      <c r="K291" s="185">
        <v>0.05</v>
      </c>
      <c r="L291" s="183" t="s">
        <v>1143</v>
      </c>
      <c r="M291" s="183" t="s">
        <v>158</v>
      </c>
      <c r="N291" s="183" t="s">
        <v>158</v>
      </c>
      <c r="O291" s="535"/>
    </row>
    <row r="292" spans="1:15" s="182" customFormat="1" ht="21.75" customHeight="1" x14ac:dyDescent="0.15">
      <c r="A292" s="151" t="s">
        <v>4428</v>
      </c>
      <c r="B292" s="20" t="s">
        <v>1318</v>
      </c>
      <c r="C292" s="224" t="s">
        <v>3346</v>
      </c>
      <c r="D292" s="224" t="s">
        <v>3439</v>
      </c>
      <c r="E292" s="394" t="s">
        <v>3774</v>
      </c>
      <c r="F292" s="224" t="s">
        <v>3328</v>
      </c>
      <c r="G292" s="239" t="s">
        <v>3566</v>
      </c>
      <c r="H292" s="535">
        <v>18088</v>
      </c>
      <c r="I292" s="194">
        <v>0</v>
      </c>
      <c r="J292" s="194">
        <v>100000</v>
      </c>
      <c r="K292" s="185" t="s">
        <v>3105</v>
      </c>
      <c r="L292" s="183" t="s">
        <v>285</v>
      </c>
      <c r="M292" s="183" t="s">
        <v>155</v>
      </c>
      <c r="N292" s="183" t="s">
        <v>1880</v>
      </c>
      <c r="O292" s="535"/>
    </row>
    <row r="293" spans="1:15" s="182" customFormat="1" ht="21.75" customHeight="1" x14ac:dyDescent="0.15">
      <c r="A293" s="151" t="s">
        <v>4428</v>
      </c>
      <c r="B293" s="20" t="s">
        <v>1318</v>
      </c>
      <c r="C293" s="276" t="s">
        <v>4432</v>
      </c>
      <c r="D293" s="453" t="s">
        <v>4433</v>
      </c>
      <c r="E293" s="409" t="s">
        <v>4434</v>
      </c>
      <c r="F293" s="409" t="s">
        <v>4435</v>
      </c>
      <c r="G293" s="487" t="s">
        <v>4436</v>
      </c>
      <c r="H293" s="532">
        <v>16012</v>
      </c>
      <c r="I293" s="194">
        <v>0</v>
      </c>
      <c r="J293" s="194">
        <v>145000</v>
      </c>
      <c r="K293" s="185">
        <v>0.5</v>
      </c>
      <c r="L293" s="183" t="s">
        <v>285</v>
      </c>
      <c r="M293" s="183" t="s">
        <v>155</v>
      </c>
      <c r="N293" s="183" t="s">
        <v>1880</v>
      </c>
      <c r="O293" s="532"/>
    </row>
    <row r="294" spans="1:15" s="182" customFormat="1" ht="21.75" customHeight="1" x14ac:dyDescent="0.15">
      <c r="A294" s="151" t="s">
        <v>4428</v>
      </c>
      <c r="B294" s="20" t="s">
        <v>3711</v>
      </c>
      <c r="C294" s="184" t="s">
        <v>3346</v>
      </c>
      <c r="D294" s="184" t="s">
        <v>3712</v>
      </c>
      <c r="E294" s="184" t="s">
        <v>3713</v>
      </c>
      <c r="F294" s="224" t="s">
        <v>3328</v>
      </c>
      <c r="G294" s="239" t="s">
        <v>3349</v>
      </c>
      <c r="H294" s="532">
        <v>19177</v>
      </c>
      <c r="I294" s="194">
        <v>0</v>
      </c>
      <c r="J294" s="194">
        <v>90000</v>
      </c>
      <c r="K294" s="185">
        <v>1</v>
      </c>
      <c r="L294" s="183" t="s">
        <v>285</v>
      </c>
      <c r="M294" s="183" t="s">
        <v>1880</v>
      </c>
      <c r="N294" s="183" t="s">
        <v>1880</v>
      </c>
      <c r="O294" s="532"/>
    </row>
    <row r="295" spans="1:15" s="182" customFormat="1" ht="21.75" customHeight="1" x14ac:dyDescent="0.15">
      <c r="A295" s="151" t="s">
        <v>4437</v>
      </c>
      <c r="B295" s="20" t="s">
        <v>359</v>
      </c>
      <c r="C295" s="399" t="s">
        <v>3346</v>
      </c>
      <c r="D295" s="399" t="s">
        <v>3354</v>
      </c>
      <c r="E295" s="399" t="s">
        <v>3565</v>
      </c>
      <c r="F295" s="184" t="s">
        <v>3328</v>
      </c>
      <c r="G295" s="235" t="s">
        <v>3566</v>
      </c>
      <c r="H295" s="536">
        <v>19009</v>
      </c>
      <c r="I295" s="194">
        <v>0</v>
      </c>
      <c r="J295" s="194">
        <v>60000</v>
      </c>
      <c r="K295" s="185" t="s">
        <v>4222</v>
      </c>
      <c r="L295" s="183" t="s">
        <v>285</v>
      </c>
      <c r="M295" s="183" t="s">
        <v>1784</v>
      </c>
      <c r="N295" s="183" t="s">
        <v>1784</v>
      </c>
      <c r="O295" s="536"/>
    </row>
    <row r="296" spans="1:15" s="182" customFormat="1" ht="21.75" customHeight="1" x14ac:dyDescent="0.15">
      <c r="A296" s="151" t="s">
        <v>4437</v>
      </c>
      <c r="B296" s="20" t="s">
        <v>1653</v>
      </c>
      <c r="C296" s="399" t="s">
        <v>3346</v>
      </c>
      <c r="D296" s="399" t="s">
        <v>3463</v>
      </c>
      <c r="E296" s="399" t="s">
        <v>3800</v>
      </c>
      <c r="F296" s="184" t="s">
        <v>3328</v>
      </c>
      <c r="G296" s="235" t="s">
        <v>3349</v>
      </c>
      <c r="H296" s="536">
        <v>20159</v>
      </c>
      <c r="I296" s="194">
        <v>0</v>
      </c>
      <c r="J296" s="194">
        <v>121200</v>
      </c>
      <c r="K296" s="185">
        <v>1</v>
      </c>
      <c r="L296" s="183" t="s">
        <v>285</v>
      </c>
      <c r="M296" s="183" t="s">
        <v>162</v>
      </c>
      <c r="N296" s="183" t="s">
        <v>1784</v>
      </c>
      <c r="O296" s="536"/>
    </row>
    <row r="297" spans="1:15" s="182" customFormat="1" ht="21.75" customHeight="1" x14ac:dyDescent="0.15">
      <c r="A297" s="151" t="s">
        <v>4437</v>
      </c>
      <c r="B297" s="20" t="s">
        <v>343</v>
      </c>
      <c r="C297" s="399" t="s">
        <v>3346</v>
      </c>
      <c r="D297" s="399" t="s">
        <v>3463</v>
      </c>
      <c r="E297" s="399" t="s">
        <v>2953</v>
      </c>
      <c r="F297" s="184" t="s">
        <v>3328</v>
      </c>
      <c r="G297" s="235" t="s">
        <v>3349</v>
      </c>
      <c r="H297" s="536" t="s">
        <v>4438</v>
      </c>
      <c r="I297" s="194">
        <v>0</v>
      </c>
      <c r="J297" s="194">
        <v>121200</v>
      </c>
      <c r="K297" s="185">
        <v>1</v>
      </c>
      <c r="L297" s="183" t="s">
        <v>285</v>
      </c>
      <c r="M297" s="183" t="s">
        <v>162</v>
      </c>
      <c r="N297" s="183" t="s">
        <v>1784</v>
      </c>
      <c r="O297" s="536"/>
    </row>
    <row r="298" spans="1:15" s="182" customFormat="1" ht="21.75" customHeight="1" x14ac:dyDescent="0.15">
      <c r="A298" s="151" t="s">
        <v>4437</v>
      </c>
      <c r="B298" s="20" t="s">
        <v>343</v>
      </c>
      <c r="C298" s="399" t="s">
        <v>3346</v>
      </c>
      <c r="D298" s="399" t="s">
        <v>3463</v>
      </c>
      <c r="E298" s="399" t="s">
        <v>2954</v>
      </c>
      <c r="F298" s="184" t="s">
        <v>3328</v>
      </c>
      <c r="G298" s="235" t="s">
        <v>3349</v>
      </c>
      <c r="H298" s="536" t="s">
        <v>4439</v>
      </c>
      <c r="I298" s="194">
        <v>0</v>
      </c>
      <c r="J298" s="194">
        <v>121200</v>
      </c>
      <c r="K298" s="185">
        <v>1</v>
      </c>
      <c r="L298" s="183" t="s">
        <v>285</v>
      </c>
      <c r="M298" s="183" t="s">
        <v>162</v>
      </c>
      <c r="N298" s="183" t="s">
        <v>1784</v>
      </c>
      <c r="O298" s="536"/>
    </row>
    <row r="299" spans="1:15" s="182" customFormat="1" ht="21.75" customHeight="1" x14ac:dyDescent="0.15">
      <c r="A299" s="151" t="s">
        <v>4437</v>
      </c>
      <c r="B299" s="20" t="s">
        <v>343</v>
      </c>
      <c r="C299" s="399" t="s">
        <v>3346</v>
      </c>
      <c r="D299" s="399" t="s">
        <v>3463</v>
      </c>
      <c r="E299" s="399" t="s">
        <v>2955</v>
      </c>
      <c r="F299" s="184" t="s">
        <v>3328</v>
      </c>
      <c r="G299" s="235" t="s">
        <v>3349</v>
      </c>
      <c r="H299" s="536" t="s">
        <v>4440</v>
      </c>
      <c r="I299" s="194">
        <v>0</v>
      </c>
      <c r="J299" s="194">
        <v>121200</v>
      </c>
      <c r="K299" s="185">
        <v>1</v>
      </c>
      <c r="L299" s="183" t="s">
        <v>285</v>
      </c>
      <c r="M299" s="183" t="s">
        <v>162</v>
      </c>
      <c r="N299" s="183" t="s">
        <v>1784</v>
      </c>
      <c r="O299" s="536"/>
    </row>
    <row r="300" spans="1:15" s="182" customFormat="1" ht="21.75" customHeight="1" x14ac:dyDescent="0.15">
      <c r="A300" s="151" t="s">
        <v>4437</v>
      </c>
      <c r="B300" s="20" t="s">
        <v>343</v>
      </c>
      <c r="C300" s="399" t="s">
        <v>3346</v>
      </c>
      <c r="D300" s="399" t="s">
        <v>3463</v>
      </c>
      <c r="E300" s="399" t="s">
        <v>2956</v>
      </c>
      <c r="F300" s="184" t="s">
        <v>3328</v>
      </c>
      <c r="G300" s="235" t="s">
        <v>3349</v>
      </c>
      <c r="H300" s="536" t="s">
        <v>4441</v>
      </c>
      <c r="I300" s="194">
        <v>0</v>
      </c>
      <c r="J300" s="194">
        <v>121200</v>
      </c>
      <c r="K300" s="185">
        <v>1</v>
      </c>
      <c r="L300" s="183" t="s">
        <v>285</v>
      </c>
      <c r="M300" s="183" t="s">
        <v>162</v>
      </c>
      <c r="N300" s="183" t="s">
        <v>1784</v>
      </c>
      <c r="O300" s="536"/>
    </row>
    <row r="301" spans="1:15" s="182" customFormat="1" ht="21.75" customHeight="1" x14ac:dyDescent="0.15">
      <c r="A301" s="151" t="s">
        <v>4437</v>
      </c>
      <c r="B301" s="20" t="s">
        <v>174</v>
      </c>
      <c r="C301" s="399" t="s">
        <v>3346</v>
      </c>
      <c r="D301" s="399" t="s">
        <v>3463</v>
      </c>
      <c r="E301" s="399" t="s">
        <v>934</v>
      </c>
      <c r="F301" s="184" t="s">
        <v>3328</v>
      </c>
      <c r="G301" s="235" t="s">
        <v>3349</v>
      </c>
      <c r="H301" s="536">
        <v>20145</v>
      </c>
      <c r="I301" s="194">
        <v>0</v>
      </c>
      <c r="J301" s="194">
        <v>121200</v>
      </c>
      <c r="K301" s="185">
        <v>1</v>
      </c>
      <c r="L301" s="183" t="s">
        <v>285</v>
      </c>
      <c r="M301" s="183" t="s">
        <v>162</v>
      </c>
      <c r="N301" s="183" t="s">
        <v>1784</v>
      </c>
      <c r="O301" s="536"/>
    </row>
    <row r="302" spans="1:15" s="182" customFormat="1" ht="21.75" customHeight="1" x14ac:dyDescent="0.15">
      <c r="A302" s="151" t="s">
        <v>4437</v>
      </c>
      <c r="B302" s="20" t="s">
        <v>497</v>
      </c>
      <c r="C302" s="399" t="s">
        <v>4442</v>
      </c>
      <c r="D302" s="399" t="s">
        <v>4443</v>
      </c>
      <c r="E302" s="409" t="s">
        <v>54</v>
      </c>
      <c r="F302" s="429" t="s">
        <v>3328</v>
      </c>
      <c r="G302" s="430" t="s">
        <v>3378</v>
      </c>
      <c r="H302" s="536">
        <v>11047</v>
      </c>
      <c r="I302" s="194">
        <v>0</v>
      </c>
      <c r="J302" s="194">
        <v>46200</v>
      </c>
      <c r="K302" s="185">
        <v>0.1</v>
      </c>
      <c r="L302" s="183" t="s">
        <v>1143</v>
      </c>
      <c r="M302" s="183" t="s">
        <v>155</v>
      </c>
      <c r="N302" s="183" t="s">
        <v>1880</v>
      </c>
      <c r="O302" s="536"/>
    </row>
    <row r="303" spans="1:15" s="182" customFormat="1" ht="21.75" customHeight="1" x14ac:dyDescent="0.15">
      <c r="A303" s="151" t="s">
        <v>4444</v>
      </c>
      <c r="B303" s="20" t="s">
        <v>359</v>
      </c>
      <c r="C303" s="399" t="s">
        <v>3346</v>
      </c>
      <c r="D303" s="399" t="s">
        <v>3354</v>
      </c>
      <c r="E303" s="399" t="s">
        <v>3675</v>
      </c>
      <c r="F303" s="184" t="s">
        <v>3328</v>
      </c>
      <c r="G303" s="235" t="s">
        <v>3566</v>
      </c>
      <c r="H303" s="536">
        <v>19010</v>
      </c>
      <c r="I303" s="194">
        <v>0</v>
      </c>
      <c r="J303" s="194">
        <v>60000</v>
      </c>
      <c r="K303" s="185" t="s">
        <v>4222</v>
      </c>
      <c r="L303" s="183" t="s">
        <v>285</v>
      </c>
      <c r="M303" s="183" t="s">
        <v>1784</v>
      </c>
      <c r="N303" s="183" t="s">
        <v>1784</v>
      </c>
      <c r="O303" s="536"/>
    </row>
    <row r="304" spans="1:15" s="182" customFormat="1" ht="21.75" customHeight="1" x14ac:dyDescent="0.15">
      <c r="A304" s="151" t="s">
        <v>4444</v>
      </c>
      <c r="B304" s="20" t="s">
        <v>2646</v>
      </c>
      <c r="C304" s="399" t="s">
        <v>3346</v>
      </c>
      <c r="D304" s="399" t="s">
        <v>3463</v>
      </c>
      <c r="E304" s="399" t="s">
        <v>3789</v>
      </c>
      <c r="F304" s="184" t="s">
        <v>3328</v>
      </c>
      <c r="G304" s="235" t="s">
        <v>3349</v>
      </c>
      <c r="H304" s="537">
        <v>20155</v>
      </c>
      <c r="I304" s="194">
        <v>0</v>
      </c>
      <c r="J304" s="194">
        <v>121200</v>
      </c>
      <c r="K304" s="185">
        <v>1</v>
      </c>
      <c r="L304" s="183" t="s">
        <v>285</v>
      </c>
      <c r="M304" s="183" t="s">
        <v>162</v>
      </c>
      <c r="N304" s="183" t="s">
        <v>1784</v>
      </c>
      <c r="O304" s="537"/>
    </row>
    <row r="305" spans="1:15" s="182" customFormat="1" ht="21.75" customHeight="1" x14ac:dyDescent="0.15">
      <c r="A305" s="151" t="s">
        <v>4444</v>
      </c>
      <c r="B305" s="20" t="s">
        <v>1341</v>
      </c>
      <c r="C305" s="184" t="s">
        <v>3351</v>
      </c>
      <c r="D305" s="184" t="s">
        <v>3457</v>
      </c>
      <c r="E305" s="184" t="s">
        <v>4445</v>
      </c>
      <c r="F305" s="184" t="s">
        <v>3328</v>
      </c>
      <c r="G305" s="235" t="s">
        <v>3611</v>
      </c>
      <c r="H305" s="537">
        <v>20119</v>
      </c>
      <c r="I305" s="194">
        <v>0</v>
      </c>
      <c r="J305" s="194">
        <v>206000</v>
      </c>
      <c r="K305" s="185" t="s">
        <v>4446</v>
      </c>
      <c r="L305" s="183" t="s">
        <v>4447</v>
      </c>
      <c r="M305" s="183" t="s">
        <v>170</v>
      </c>
      <c r="N305" s="183" t="s">
        <v>170</v>
      </c>
      <c r="O305" s="537"/>
    </row>
    <row r="306" spans="1:15" s="182" customFormat="1" ht="21.75" customHeight="1" x14ac:dyDescent="0.15">
      <c r="A306" s="151" t="s">
        <v>4444</v>
      </c>
      <c r="B306" s="20" t="s">
        <v>1986</v>
      </c>
      <c r="C306" s="224" t="s">
        <v>3346</v>
      </c>
      <c r="D306" s="224" t="s">
        <v>3439</v>
      </c>
      <c r="E306" s="224" t="s">
        <v>3843</v>
      </c>
      <c r="F306" s="224" t="s">
        <v>3340</v>
      </c>
      <c r="G306" s="239" t="s">
        <v>3566</v>
      </c>
      <c r="H306" s="537">
        <v>18153</v>
      </c>
      <c r="I306" s="194">
        <v>0</v>
      </c>
      <c r="J306" s="194">
        <v>100000</v>
      </c>
      <c r="K306" s="185" t="s">
        <v>3105</v>
      </c>
      <c r="L306" s="183" t="s">
        <v>285</v>
      </c>
      <c r="M306" s="183" t="s">
        <v>155</v>
      </c>
      <c r="N306" s="183" t="s">
        <v>1880</v>
      </c>
      <c r="O306" s="537"/>
    </row>
    <row r="307" spans="1:15" s="182" customFormat="1" ht="21.75" customHeight="1" x14ac:dyDescent="0.15">
      <c r="A307" s="151" t="s">
        <v>4444</v>
      </c>
      <c r="B307" s="20" t="s">
        <v>1986</v>
      </c>
      <c r="C307" s="184" t="s">
        <v>3346</v>
      </c>
      <c r="D307" s="184" t="s">
        <v>3439</v>
      </c>
      <c r="E307" s="184" t="s">
        <v>3843</v>
      </c>
      <c r="F307" s="224" t="s">
        <v>3355</v>
      </c>
      <c r="G307" s="235" t="s">
        <v>4195</v>
      </c>
      <c r="H307" s="537">
        <v>19180</v>
      </c>
      <c r="I307" s="194">
        <v>0</v>
      </c>
      <c r="J307" s="194">
        <v>9400</v>
      </c>
      <c r="K307" s="185">
        <v>0.1</v>
      </c>
      <c r="L307" s="183" t="s">
        <v>1143</v>
      </c>
      <c r="M307" s="183" t="s">
        <v>155</v>
      </c>
      <c r="N307" s="183" t="s">
        <v>1880</v>
      </c>
      <c r="O307" s="537"/>
    </row>
    <row r="308" spans="1:15" s="182" customFormat="1" ht="21.75" customHeight="1" x14ac:dyDescent="0.15">
      <c r="A308" s="151" t="s">
        <v>4444</v>
      </c>
      <c r="B308" s="20" t="s">
        <v>2019</v>
      </c>
      <c r="C308" s="399" t="s">
        <v>3346</v>
      </c>
      <c r="D308" s="399" t="s">
        <v>3439</v>
      </c>
      <c r="E308" s="399" t="s">
        <v>4194</v>
      </c>
      <c r="F308" s="184" t="s">
        <v>3355</v>
      </c>
      <c r="G308" s="235" t="s">
        <v>4017</v>
      </c>
      <c r="H308" s="537">
        <v>20033</v>
      </c>
      <c r="I308" s="194">
        <v>0</v>
      </c>
      <c r="J308" s="194">
        <v>84600</v>
      </c>
      <c r="K308" s="185">
        <v>0.9</v>
      </c>
      <c r="L308" s="183" t="s">
        <v>1948</v>
      </c>
      <c r="M308" s="183" t="s">
        <v>155</v>
      </c>
      <c r="N308" s="183" t="s">
        <v>1880</v>
      </c>
      <c r="O308" s="537"/>
    </row>
    <row r="309" spans="1:15" s="182" customFormat="1" ht="21.75" customHeight="1" x14ac:dyDescent="0.15">
      <c r="A309" s="151" t="s">
        <v>4444</v>
      </c>
      <c r="B309" s="20" t="s">
        <v>2019</v>
      </c>
      <c r="C309" s="224" t="s">
        <v>3346</v>
      </c>
      <c r="D309" s="224" t="s">
        <v>3439</v>
      </c>
      <c r="E309" s="224" t="s">
        <v>4194</v>
      </c>
      <c r="F309" s="224" t="s">
        <v>3340</v>
      </c>
      <c r="G309" s="239" t="s">
        <v>3566</v>
      </c>
      <c r="H309" s="537">
        <v>18152</v>
      </c>
      <c r="I309" s="194">
        <v>0</v>
      </c>
      <c r="J309" s="194">
        <v>100000</v>
      </c>
      <c r="K309" s="185" t="s">
        <v>3105</v>
      </c>
      <c r="L309" s="183" t="s">
        <v>285</v>
      </c>
      <c r="M309" s="183" t="s">
        <v>155</v>
      </c>
      <c r="N309" s="183" t="s">
        <v>1880</v>
      </c>
      <c r="O309" s="537"/>
    </row>
    <row r="310" spans="1:15" s="182" customFormat="1" ht="21.75" customHeight="1" x14ac:dyDescent="0.15">
      <c r="A310" s="151" t="s">
        <v>4444</v>
      </c>
      <c r="B310" s="20" t="s">
        <v>2936</v>
      </c>
      <c r="C310" s="224" t="s">
        <v>3363</v>
      </c>
      <c r="D310" s="224" t="s">
        <v>3352</v>
      </c>
      <c r="E310" s="224" t="s">
        <v>3991</v>
      </c>
      <c r="F310" s="224" t="s">
        <v>3328</v>
      </c>
      <c r="G310" s="239" t="s">
        <v>3386</v>
      </c>
      <c r="H310" s="537">
        <v>20176</v>
      </c>
      <c r="I310" s="194">
        <v>0</v>
      </c>
      <c r="J310" s="194">
        <v>25000</v>
      </c>
      <c r="K310" s="185">
        <v>1</v>
      </c>
      <c r="L310" s="183" t="s">
        <v>1948</v>
      </c>
      <c r="M310" s="183" t="s">
        <v>2660</v>
      </c>
      <c r="N310" s="183" t="s">
        <v>2660</v>
      </c>
      <c r="O310" s="537"/>
    </row>
    <row r="311" spans="1:15" s="182" customFormat="1" ht="21.75" customHeight="1" x14ac:dyDescent="0.15">
      <c r="A311" s="151" t="s">
        <v>4444</v>
      </c>
      <c r="B311" s="20" t="s">
        <v>248</v>
      </c>
      <c r="C311" s="224" t="s">
        <v>3363</v>
      </c>
      <c r="D311" s="224" t="s">
        <v>3352</v>
      </c>
      <c r="E311" s="224" t="s">
        <v>4411</v>
      </c>
      <c r="F311" s="224" t="s">
        <v>3328</v>
      </c>
      <c r="G311" s="239" t="s">
        <v>3386</v>
      </c>
      <c r="H311" s="538">
        <v>20177</v>
      </c>
      <c r="I311" s="194">
        <v>0</v>
      </c>
      <c r="J311" s="194">
        <v>25000</v>
      </c>
      <c r="K311" s="185">
        <v>1</v>
      </c>
      <c r="L311" s="183" t="s">
        <v>1948</v>
      </c>
      <c r="M311" s="183" t="s">
        <v>2660</v>
      </c>
      <c r="N311" s="183" t="s">
        <v>2660</v>
      </c>
      <c r="O311" s="538"/>
    </row>
    <row r="312" spans="1:15" s="182" customFormat="1" ht="21.75" customHeight="1" x14ac:dyDescent="0.15">
      <c r="A312" s="151" t="s">
        <v>4448</v>
      </c>
      <c r="B312" s="20" t="s">
        <v>3556</v>
      </c>
      <c r="C312" s="399" t="s">
        <v>3346</v>
      </c>
      <c r="D312" s="391" t="s">
        <v>3354</v>
      </c>
      <c r="E312" s="405" t="s">
        <v>845</v>
      </c>
      <c r="F312" s="184" t="s">
        <v>3328</v>
      </c>
      <c r="G312" s="235" t="s">
        <v>3349</v>
      </c>
      <c r="H312" s="539">
        <v>20018</v>
      </c>
      <c r="I312" s="194">
        <v>0</v>
      </c>
      <c r="J312" s="194">
        <v>75000</v>
      </c>
      <c r="K312" s="185">
        <v>0.5</v>
      </c>
      <c r="L312" s="183" t="s">
        <v>285</v>
      </c>
      <c r="M312" s="183" t="s">
        <v>162</v>
      </c>
      <c r="N312" s="183" t="s">
        <v>1784</v>
      </c>
      <c r="O312" s="539"/>
    </row>
    <row r="313" spans="1:15" s="182" customFormat="1" ht="21.75" customHeight="1" x14ac:dyDescent="0.15">
      <c r="A313" s="151" t="s">
        <v>4448</v>
      </c>
      <c r="B313" s="20" t="s">
        <v>1437</v>
      </c>
      <c r="C313" s="224" t="s">
        <v>3351</v>
      </c>
      <c r="D313" s="224" t="s">
        <v>3352</v>
      </c>
      <c r="E313" s="394" t="s">
        <v>4451</v>
      </c>
      <c r="F313" s="403" t="s">
        <v>3328</v>
      </c>
      <c r="G313" s="235" t="s">
        <v>3381</v>
      </c>
      <c r="H313" s="539">
        <v>20078</v>
      </c>
      <c r="I313" s="194">
        <v>0</v>
      </c>
      <c r="J313" s="194">
        <v>35000</v>
      </c>
      <c r="K313" s="185">
        <v>0.5</v>
      </c>
      <c r="L313" s="183" t="s">
        <v>285</v>
      </c>
      <c r="M313" s="183" t="s">
        <v>158</v>
      </c>
      <c r="N313" s="183" t="s">
        <v>158</v>
      </c>
      <c r="O313" s="539"/>
    </row>
    <row r="314" spans="1:15" s="182" customFormat="1" ht="21.75" customHeight="1" x14ac:dyDescent="0.15">
      <c r="A314" s="151" t="s">
        <v>4448</v>
      </c>
      <c r="B314" s="20" t="s">
        <v>1437</v>
      </c>
      <c r="C314" s="224" t="s">
        <v>3351</v>
      </c>
      <c r="D314" s="224" t="s">
        <v>3352</v>
      </c>
      <c r="E314" s="224" t="s">
        <v>3644</v>
      </c>
      <c r="F314" s="403" t="s">
        <v>3328</v>
      </c>
      <c r="G314" s="235" t="s">
        <v>3381</v>
      </c>
      <c r="H314" s="539">
        <v>20079</v>
      </c>
      <c r="I314" s="194">
        <v>0</v>
      </c>
      <c r="J314" s="194">
        <v>35000</v>
      </c>
      <c r="K314" s="185">
        <v>0.5</v>
      </c>
      <c r="L314" s="183" t="s">
        <v>285</v>
      </c>
      <c r="M314" s="183" t="s">
        <v>158</v>
      </c>
      <c r="N314" s="183" t="s">
        <v>158</v>
      </c>
      <c r="O314" s="539"/>
    </row>
    <row r="315" spans="1:15" s="182" customFormat="1" ht="21.75" customHeight="1" x14ac:dyDescent="0.15">
      <c r="A315" s="151" t="s">
        <v>4448</v>
      </c>
      <c r="B315" s="20" t="s">
        <v>4450</v>
      </c>
      <c r="C315" s="184" t="s">
        <v>3346</v>
      </c>
      <c r="D315" s="184" t="s">
        <v>3326</v>
      </c>
      <c r="E315" s="184" t="s">
        <v>4452</v>
      </c>
      <c r="F315" s="184" t="s">
        <v>3579</v>
      </c>
      <c r="G315" s="235" t="s">
        <v>3623</v>
      </c>
      <c r="H315" s="539">
        <v>20131</v>
      </c>
      <c r="I315" s="194">
        <v>0</v>
      </c>
      <c r="J315" s="194">
        <v>32000</v>
      </c>
      <c r="K315" s="185">
        <v>0.4</v>
      </c>
      <c r="L315" s="183" t="s">
        <v>1162</v>
      </c>
      <c r="M315" s="183" t="s">
        <v>1880</v>
      </c>
      <c r="N315" s="183" t="s">
        <v>1880</v>
      </c>
      <c r="O315" s="539"/>
    </row>
    <row r="316" spans="1:15" s="182" customFormat="1" ht="21.75" customHeight="1" x14ac:dyDescent="0.15">
      <c r="A316" s="151" t="s">
        <v>4448</v>
      </c>
      <c r="B316" s="20" t="s">
        <v>455</v>
      </c>
      <c r="C316" s="184" t="s">
        <v>3346</v>
      </c>
      <c r="D316" s="184" t="s">
        <v>3439</v>
      </c>
      <c r="E316" s="184" t="s">
        <v>4203</v>
      </c>
      <c r="F316" s="224" t="s">
        <v>3355</v>
      </c>
      <c r="G316" s="235" t="s">
        <v>3941</v>
      </c>
      <c r="H316" s="538">
        <v>19179</v>
      </c>
      <c r="I316" s="194">
        <v>0</v>
      </c>
      <c r="J316" s="194">
        <v>9400</v>
      </c>
      <c r="K316" s="185">
        <v>0.1</v>
      </c>
      <c r="L316" s="183" t="s">
        <v>1143</v>
      </c>
      <c r="M316" s="183" t="s">
        <v>155</v>
      </c>
      <c r="N316" s="183" t="s">
        <v>1880</v>
      </c>
      <c r="O316" s="538"/>
    </row>
    <row r="317" spans="1:15" s="182" customFormat="1" ht="21.75" customHeight="1" x14ac:dyDescent="0.15">
      <c r="A317" s="151" t="s">
        <v>4448</v>
      </c>
      <c r="B317" s="20" t="s">
        <v>455</v>
      </c>
      <c r="C317" s="224" t="s">
        <v>3346</v>
      </c>
      <c r="D317" s="224" t="s">
        <v>3439</v>
      </c>
      <c r="E317" s="394" t="s">
        <v>4203</v>
      </c>
      <c r="F317" s="224" t="s">
        <v>3328</v>
      </c>
      <c r="G317" s="239" t="s">
        <v>3566</v>
      </c>
      <c r="H317" s="530">
        <v>18087</v>
      </c>
      <c r="I317" s="194">
        <v>0</v>
      </c>
      <c r="J317" s="194">
        <v>100000</v>
      </c>
      <c r="K317" s="185" t="s">
        <v>3105</v>
      </c>
      <c r="L317" s="183" t="s">
        <v>285</v>
      </c>
      <c r="M317" s="183" t="s">
        <v>155</v>
      </c>
      <c r="N317" s="183" t="s">
        <v>1880</v>
      </c>
      <c r="O317" s="530"/>
    </row>
    <row r="318" spans="1:15" s="182" customFormat="1" ht="21.75" customHeight="1" x14ac:dyDescent="0.15">
      <c r="A318" s="151" t="s">
        <v>4449</v>
      </c>
      <c r="B318" s="20" t="s">
        <v>4043</v>
      </c>
      <c r="C318" s="224" t="s">
        <v>3363</v>
      </c>
      <c r="D318" s="224" t="s">
        <v>3354</v>
      </c>
      <c r="E318" s="30" t="s">
        <v>4057</v>
      </c>
      <c r="F318" s="184" t="s">
        <v>3328</v>
      </c>
      <c r="G318" s="235" t="s">
        <v>3336</v>
      </c>
      <c r="H318" s="440">
        <v>20186</v>
      </c>
      <c r="I318" s="194">
        <v>0</v>
      </c>
      <c r="J318" s="194">
        <v>38000</v>
      </c>
      <c r="K318" s="185">
        <v>1</v>
      </c>
      <c r="L318" s="183" t="s">
        <v>1948</v>
      </c>
      <c r="M318" s="183" t="s">
        <v>2660</v>
      </c>
      <c r="N318" s="183" t="s">
        <v>2660</v>
      </c>
      <c r="O318" s="440"/>
    </row>
    <row r="319" spans="1:15" s="182" customFormat="1" ht="21.75" customHeight="1" x14ac:dyDescent="0.15">
      <c r="A319" s="151" t="s">
        <v>4449</v>
      </c>
      <c r="B319" s="20" t="s">
        <v>4453</v>
      </c>
      <c r="C319" s="224" t="s">
        <v>3363</v>
      </c>
      <c r="D319" s="224" t="s">
        <v>3354</v>
      </c>
      <c r="E319" s="30" t="s">
        <v>4454</v>
      </c>
      <c r="F319" s="184" t="s">
        <v>3328</v>
      </c>
      <c r="G319" s="235" t="s">
        <v>3336</v>
      </c>
      <c r="H319" s="540">
        <v>20185</v>
      </c>
      <c r="I319" s="194">
        <v>0</v>
      </c>
      <c r="J319" s="194">
        <v>38000</v>
      </c>
      <c r="K319" s="185">
        <v>1</v>
      </c>
      <c r="L319" s="183" t="s">
        <v>1948</v>
      </c>
      <c r="M319" s="183" t="s">
        <v>2660</v>
      </c>
      <c r="N319" s="183" t="s">
        <v>2660</v>
      </c>
      <c r="O319" s="540"/>
    </row>
    <row r="320" spans="1:15" s="182" customFormat="1" ht="21.75" customHeight="1" x14ac:dyDescent="0.15">
      <c r="A320" s="151"/>
      <c r="B320" s="20"/>
      <c r="C320" s="20"/>
      <c r="D320" s="20"/>
      <c r="E320" s="30"/>
      <c r="F320" s="30"/>
      <c r="G320" s="30"/>
      <c r="H320" s="440"/>
      <c r="I320" s="194"/>
      <c r="J320" s="194"/>
      <c r="K320" s="185"/>
      <c r="L320" s="183"/>
      <c r="M320" s="183"/>
      <c r="N320" s="183"/>
      <c r="O320" s="440"/>
    </row>
    <row r="321" spans="1:15" s="182" customFormat="1" ht="21.75" customHeight="1" x14ac:dyDescent="0.15">
      <c r="A321" s="1165" t="s">
        <v>4009</v>
      </c>
      <c r="B321" s="1166"/>
      <c r="C321" s="1166"/>
      <c r="D321" s="1166"/>
      <c r="E321" s="1166"/>
      <c r="F321" s="1166"/>
      <c r="G321" s="1166"/>
      <c r="H321" s="1167"/>
      <c r="I321" s="230">
        <f>SUM(I3:I320)</f>
        <v>759415.34</v>
      </c>
      <c r="J321" s="230">
        <f>SUM(J3:J320)</f>
        <v>23201014.82</v>
      </c>
      <c r="K321" s="231"/>
      <c r="L321" s="232"/>
      <c r="M321" s="232"/>
      <c r="N321" s="232"/>
      <c r="O321" s="233"/>
    </row>
  </sheetData>
  <autoFilter ref="A2:O319" xr:uid="{942BD51C-DD4D-41F8-8B6A-3CAFDCE8D5C7}"/>
  <mergeCells count="2">
    <mergeCell ref="A1:O1"/>
    <mergeCell ref="A321:H321"/>
  </mergeCells>
  <phoneticPr fontId="11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8"/>
  <sheetViews>
    <sheetView topLeftCell="A113" zoomScaleNormal="100" workbookViewId="0">
      <selection activeCell="F113" sqref="A113:XFD113"/>
    </sheetView>
  </sheetViews>
  <sheetFormatPr defaultRowHeight="13.5" x14ac:dyDescent="0.15"/>
  <cols>
    <col min="1" max="1" width="10.75" customWidth="1"/>
    <col min="2" max="2" width="24.625" customWidth="1"/>
    <col min="3" max="4" width="10.625" customWidth="1"/>
    <col min="5" max="5" width="17.5" customWidth="1"/>
    <col min="6" max="6" width="15" customWidth="1"/>
    <col min="7" max="7" width="24.875" customWidth="1"/>
    <col min="8" max="11" width="15.375" customWidth="1"/>
    <col min="12" max="12" width="18.625" customWidth="1"/>
    <col min="13" max="14" width="15.375" customWidth="1"/>
    <col min="15" max="15" width="45.625" customWidth="1"/>
  </cols>
  <sheetData>
    <row r="1" spans="1:15" s="176" customFormat="1" ht="40.5" customHeight="1" x14ac:dyDescent="0.15">
      <c r="A1" s="1164" t="s">
        <v>3198</v>
      </c>
      <c r="B1" s="1164"/>
      <c r="C1" s="1164"/>
      <c r="D1" s="1164"/>
      <c r="E1" s="1164"/>
      <c r="F1" s="1164"/>
      <c r="G1" s="1164"/>
      <c r="H1" s="1164"/>
      <c r="I1" s="1164"/>
      <c r="J1" s="1164"/>
      <c r="K1" s="1164"/>
      <c r="L1" s="1164"/>
      <c r="M1" s="1164"/>
      <c r="N1" s="1164"/>
      <c r="O1" s="1164"/>
    </row>
    <row r="2" spans="1:15" s="176" customFormat="1" ht="21.75" customHeight="1" x14ac:dyDescent="0.15">
      <c r="A2" s="16" t="s">
        <v>2319</v>
      </c>
      <c r="B2" s="16" t="s">
        <v>128</v>
      </c>
      <c r="C2" s="245" t="s">
        <v>3322</v>
      </c>
      <c r="D2" s="245" t="s">
        <v>3321</v>
      </c>
      <c r="E2" s="245" t="s">
        <v>1756</v>
      </c>
      <c r="F2" s="245" t="s">
        <v>3323</v>
      </c>
      <c r="G2" s="245" t="s">
        <v>3324</v>
      </c>
      <c r="H2" s="16" t="s">
        <v>130</v>
      </c>
      <c r="I2" s="193" t="s">
        <v>1757</v>
      </c>
      <c r="J2" s="193" t="s">
        <v>1758</v>
      </c>
      <c r="K2" s="16" t="s">
        <v>1759</v>
      </c>
      <c r="L2" s="16" t="s">
        <v>1760</v>
      </c>
      <c r="M2" s="16" t="s">
        <v>3243</v>
      </c>
      <c r="N2" s="16" t="s">
        <v>3244</v>
      </c>
      <c r="O2" s="16" t="s">
        <v>509</v>
      </c>
    </row>
    <row r="3" spans="1:15" s="176" customFormat="1" ht="21.75" customHeight="1" x14ac:dyDescent="0.15">
      <c r="A3" s="151" t="s">
        <v>3199</v>
      </c>
      <c r="B3" s="11" t="s">
        <v>3200</v>
      </c>
      <c r="C3" s="234" t="s">
        <v>3325</v>
      </c>
      <c r="D3" s="234" t="s">
        <v>3326</v>
      </c>
      <c r="E3" s="234" t="s">
        <v>3327</v>
      </c>
      <c r="F3" s="224" t="s">
        <v>3328</v>
      </c>
      <c r="G3" s="235" t="s">
        <v>3329</v>
      </c>
      <c r="H3" s="157">
        <v>18156</v>
      </c>
      <c r="I3" s="194">
        <v>0</v>
      </c>
      <c r="J3" s="194">
        <v>281088</v>
      </c>
      <c r="K3" s="159">
        <v>0.6</v>
      </c>
      <c r="L3" s="159" t="s">
        <v>3202</v>
      </c>
      <c r="M3" s="157" t="s">
        <v>2846</v>
      </c>
      <c r="N3" s="157" t="s">
        <v>3201</v>
      </c>
      <c r="O3" s="157"/>
    </row>
    <row r="4" spans="1:15" s="176" customFormat="1" ht="21.75" customHeight="1" x14ac:dyDescent="0.15">
      <c r="A4" s="151" t="s">
        <v>3203</v>
      </c>
      <c r="B4" s="20" t="s">
        <v>3204</v>
      </c>
      <c r="C4" s="236" t="s">
        <v>3330</v>
      </c>
      <c r="D4" s="237" t="s">
        <v>3331</v>
      </c>
      <c r="E4" s="30" t="s">
        <v>3207</v>
      </c>
      <c r="F4" s="238" t="s">
        <v>3332</v>
      </c>
      <c r="G4" s="240" t="s">
        <v>3333</v>
      </c>
      <c r="H4" s="157">
        <v>15015</v>
      </c>
      <c r="I4" s="194">
        <v>0</v>
      </c>
      <c r="J4" s="194">
        <v>3100</v>
      </c>
      <c r="K4" s="159">
        <v>0.1</v>
      </c>
      <c r="L4" s="159" t="s">
        <v>3205</v>
      </c>
      <c r="M4" s="157" t="s">
        <v>158</v>
      </c>
      <c r="N4" s="157" t="s">
        <v>3206</v>
      </c>
      <c r="O4" s="157"/>
    </row>
    <row r="5" spans="1:15" s="176" customFormat="1" ht="21.75" customHeight="1" x14ac:dyDescent="0.15">
      <c r="A5" s="151" t="s">
        <v>3208</v>
      </c>
      <c r="B5" s="20" t="s">
        <v>1941</v>
      </c>
      <c r="C5" s="224" t="s">
        <v>3334</v>
      </c>
      <c r="D5" s="224" t="s">
        <v>3326</v>
      </c>
      <c r="E5" s="224" t="s">
        <v>3335</v>
      </c>
      <c r="F5" s="224" t="s">
        <v>3328</v>
      </c>
      <c r="G5" s="239" t="s">
        <v>3336</v>
      </c>
      <c r="H5" s="152">
        <v>18144</v>
      </c>
      <c r="I5" s="194">
        <v>0</v>
      </c>
      <c r="J5" s="195">
        <v>36000</v>
      </c>
      <c r="K5" s="159">
        <v>1</v>
      </c>
      <c r="L5" s="159" t="s">
        <v>3209</v>
      </c>
      <c r="M5" s="157" t="s">
        <v>170</v>
      </c>
      <c r="N5" s="157" t="s">
        <v>170</v>
      </c>
      <c r="O5" s="152"/>
    </row>
    <row r="6" spans="1:15" s="176" customFormat="1" ht="21.75" customHeight="1" x14ac:dyDescent="0.15">
      <c r="A6" s="151" t="s">
        <v>3210</v>
      </c>
      <c r="B6" s="11" t="s">
        <v>3211</v>
      </c>
      <c r="C6" s="224" t="s">
        <v>3337</v>
      </c>
      <c r="D6" s="224" t="s">
        <v>3338</v>
      </c>
      <c r="E6" s="224" t="s">
        <v>3339</v>
      </c>
      <c r="F6" s="224" t="s">
        <v>3340</v>
      </c>
      <c r="G6" s="239" t="s">
        <v>3341</v>
      </c>
      <c r="H6" s="152">
        <v>18163</v>
      </c>
      <c r="I6" s="194">
        <v>0</v>
      </c>
      <c r="J6" s="195">
        <v>40000</v>
      </c>
      <c r="K6" s="154">
        <v>0.25</v>
      </c>
      <c r="L6" s="154" t="s">
        <v>3212</v>
      </c>
      <c r="M6" s="157" t="s">
        <v>190</v>
      </c>
      <c r="N6" s="157" t="s">
        <v>190</v>
      </c>
      <c r="O6" s="152"/>
    </row>
    <row r="7" spans="1:15" s="176" customFormat="1" ht="21.75" customHeight="1" x14ac:dyDescent="0.15">
      <c r="A7" s="151" t="s">
        <v>3210</v>
      </c>
      <c r="B7" s="11" t="s">
        <v>3213</v>
      </c>
      <c r="C7" s="236" t="s">
        <v>3342</v>
      </c>
      <c r="D7" s="157" t="s">
        <v>3343</v>
      </c>
      <c r="E7" s="228" t="s">
        <v>3215</v>
      </c>
      <c r="F7" s="236" t="s">
        <v>3344</v>
      </c>
      <c r="G7" s="236" t="s">
        <v>3345</v>
      </c>
      <c r="H7" s="152">
        <v>15065</v>
      </c>
      <c r="I7" s="194">
        <v>0</v>
      </c>
      <c r="J7" s="195">
        <v>19000</v>
      </c>
      <c r="K7" s="154">
        <v>0.1</v>
      </c>
      <c r="L7" s="154" t="s">
        <v>3214</v>
      </c>
      <c r="M7" s="157" t="s">
        <v>190</v>
      </c>
      <c r="N7" s="157" t="s">
        <v>190</v>
      </c>
      <c r="O7" s="152"/>
    </row>
    <row r="8" spans="1:15" s="176" customFormat="1" ht="21.75" customHeight="1" x14ac:dyDescent="0.15">
      <c r="A8" s="151" t="s">
        <v>3216</v>
      </c>
      <c r="B8" s="11" t="s">
        <v>3217</v>
      </c>
      <c r="C8" s="157" t="s">
        <v>3346</v>
      </c>
      <c r="D8" s="157" t="s">
        <v>3347</v>
      </c>
      <c r="E8" s="207" t="s">
        <v>3348</v>
      </c>
      <c r="F8" s="184" t="s">
        <v>3328</v>
      </c>
      <c r="G8" s="235" t="s">
        <v>3349</v>
      </c>
      <c r="H8" s="152">
        <v>18044</v>
      </c>
      <c r="I8" s="194">
        <v>0</v>
      </c>
      <c r="J8" s="195">
        <v>160000</v>
      </c>
      <c r="K8" s="154">
        <v>1</v>
      </c>
      <c r="L8" s="154" t="s">
        <v>3218</v>
      </c>
      <c r="M8" s="154" t="s">
        <v>3246</v>
      </c>
      <c r="N8" s="152" t="s">
        <v>3219</v>
      </c>
      <c r="O8" s="152"/>
    </row>
    <row r="9" spans="1:15" s="176" customFormat="1" ht="21.75" customHeight="1" x14ac:dyDescent="0.15">
      <c r="A9" s="151" t="s">
        <v>3216</v>
      </c>
      <c r="B9" s="11" t="s">
        <v>3217</v>
      </c>
      <c r="C9" s="157" t="s">
        <v>3346</v>
      </c>
      <c r="D9" s="157" t="s">
        <v>3347</v>
      </c>
      <c r="E9" s="207" t="s">
        <v>3350</v>
      </c>
      <c r="F9" s="184" t="s">
        <v>3328</v>
      </c>
      <c r="G9" s="235" t="s">
        <v>3349</v>
      </c>
      <c r="H9" s="152">
        <v>18045</v>
      </c>
      <c r="I9" s="194">
        <v>0</v>
      </c>
      <c r="J9" s="195">
        <v>160000</v>
      </c>
      <c r="K9" s="154">
        <v>1</v>
      </c>
      <c r="L9" s="154" t="s">
        <v>3218</v>
      </c>
      <c r="M9" s="154" t="s">
        <v>3246</v>
      </c>
      <c r="N9" s="152" t="s">
        <v>3219</v>
      </c>
      <c r="O9" s="152"/>
    </row>
    <row r="10" spans="1:15" s="176" customFormat="1" ht="21.75" customHeight="1" x14ac:dyDescent="0.15">
      <c r="A10" s="151" t="s">
        <v>3220</v>
      </c>
      <c r="B10" s="11" t="s">
        <v>227</v>
      </c>
      <c r="C10" s="224" t="s">
        <v>3351</v>
      </c>
      <c r="D10" s="224" t="s">
        <v>3352</v>
      </c>
      <c r="E10" s="180" t="s">
        <v>2866</v>
      </c>
      <c r="F10" s="224" t="s">
        <v>3328</v>
      </c>
      <c r="G10" s="239" t="s">
        <v>3353</v>
      </c>
      <c r="H10" s="152">
        <v>18148</v>
      </c>
      <c r="I10" s="194">
        <v>0</v>
      </c>
      <c r="J10" s="195">
        <v>8700</v>
      </c>
      <c r="K10" s="154">
        <v>1</v>
      </c>
      <c r="L10" s="154" t="s">
        <v>3221</v>
      </c>
      <c r="M10" s="157" t="s">
        <v>158</v>
      </c>
      <c r="N10" s="157" t="s">
        <v>158</v>
      </c>
      <c r="O10" s="152"/>
    </row>
    <row r="11" spans="1:15" s="176" customFormat="1" ht="21.75" customHeight="1" x14ac:dyDescent="0.15">
      <c r="A11" s="151" t="s">
        <v>3222</v>
      </c>
      <c r="B11" s="11" t="s">
        <v>3223</v>
      </c>
      <c r="C11" s="157" t="s">
        <v>3346</v>
      </c>
      <c r="D11" s="157" t="s">
        <v>3354</v>
      </c>
      <c r="E11" s="207" t="s">
        <v>3225</v>
      </c>
      <c r="F11" s="184" t="s">
        <v>3355</v>
      </c>
      <c r="G11" s="26" t="s">
        <v>3356</v>
      </c>
      <c r="H11" s="152" t="s">
        <v>3224</v>
      </c>
      <c r="I11" s="194">
        <v>0</v>
      </c>
      <c r="J11" s="195">
        <v>200000</v>
      </c>
      <c r="K11" s="154" t="s">
        <v>3228</v>
      </c>
      <c r="L11" s="154" t="s">
        <v>3226</v>
      </c>
      <c r="M11" s="154" t="s">
        <v>3246</v>
      </c>
      <c r="N11" s="152" t="s">
        <v>3227</v>
      </c>
      <c r="O11" s="152"/>
    </row>
    <row r="12" spans="1:15" s="176" customFormat="1" ht="21.75" customHeight="1" x14ac:dyDescent="0.15">
      <c r="A12" s="151" t="s">
        <v>3229</v>
      </c>
      <c r="B12" s="11" t="s">
        <v>3230</v>
      </c>
      <c r="C12" s="236" t="s">
        <v>3357</v>
      </c>
      <c r="D12" s="236" t="s">
        <v>3347</v>
      </c>
      <c r="E12" s="180" t="s">
        <v>3358</v>
      </c>
      <c r="F12" s="184" t="s">
        <v>3332</v>
      </c>
      <c r="G12" s="184" t="s">
        <v>3359</v>
      </c>
      <c r="H12" s="152">
        <v>16116</v>
      </c>
      <c r="I12" s="194">
        <v>0</v>
      </c>
      <c r="J12" s="195">
        <v>29900</v>
      </c>
      <c r="K12" s="154">
        <v>0.05</v>
      </c>
      <c r="L12" s="154" t="s">
        <v>3231</v>
      </c>
      <c r="M12" s="152" t="s">
        <v>170</v>
      </c>
      <c r="N12" s="152" t="s">
        <v>3232</v>
      </c>
      <c r="O12" s="152"/>
    </row>
    <row r="13" spans="1:15" s="176" customFormat="1" ht="21.75" customHeight="1" x14ac:dyDescent="0.15">
      <c r="A13" s="151" t="s">
        <v>3233</v>
      </c>
      <c r="B13" s="11" t="s">
        <v>3234</v>
      </c>
      <c r="C13" s="224" t="s">
        <v>3346</v>
      </c>
      <c r="D13" s="224" t="s">
        <v>3360</v>
      </c>
      <c r="E13" s="30" t="s">
        <v>3235</v>
      </c>
      <c r="F13" s="224" t="s">
        <v>3328</v>
      </c>
      <c r="G13" s="239" t="s">
        <v>3361</v>
      </c>
      <c r="H13" s="152">
        <v>18127</v>
      </c>
      <c r="I13" s="194">
        <v>0</v>
      </c>
      <c r="J13" s="195">
        <v>64000</v>
      </c>
      <c r="K13" s="154">
        <v>1</v>
      </c>
      <c r="L13" s="154" t="s">
        <v>3236</v>
      </c>
      <c r="M13" s="154" t="s">
        <v>3245</v>
      </c>
      <c r="N13" s="152" t="s">
        <v>3237</v>
      </c>
      <c r="O13" s="152"/>
    </row>
    <row r="14" spans="1:15" s="182" customFormat="1" ht="21.75" customHeight="1" x14ac:dyDescent="0.15">
      <c r="A14" s="151" t="s">
        <v>3238</v>
      </c>
      <c r="B14" s="20" t="s">
        <v>3239</v>
      </c>
      <c r="C14" s="224" t="s">
        <v>3351</v>
      </c>
      <c r="D14" s="224" t="s">
        <v>3352</v>
      </c>
      <c r="E14" s="229" t="s">
        <v>3240</v>
      </c>
      <c r="F14" s="224" t="s">
        <v>3328</v>
      </c>
      <c r="G14" s="239" t="s">
        <v>3362</v>
      </c>
      <c r="H14" s="157">
        <v>18198</v>
      </c>
      <c r="I14" s="194">
        <v>0</v>
      </c>
      <c r="J14" s="194">
        <v>79620</v>
      </c>
      <c r="K14" s="185">
        <v>0.3</v>
      </c>
      <c r="L14" s="183" t="s">
        <v>3241</v>
      </c>
      <c r="M14" s="183" t="s">
        <v>158</v>
      </c>
      <c r="N14" s="183" t="s">
        <v>3242</v>
      </c>
      <c r="O14" s="157"/>
    </row>
    <row r="15" spans="1:15" s="182" customFormat="1" ht="21.75" customHeight="1" x14ac:dyDescent="0.15">
      <c r="A15" s="151" t="s">
        <v>3252</v>
      </c>
      <c r="B15" s="20" t="s">
        <v>3258</v>
      </c>
      <c r="C15" s="224" t="s">
        <v>3346</v>
      </c>
      <c r="D15" s="224" t="s">
        <v>3360</v>
      </c>
      <c r="E15" s="180" t="s">
        <v>3259</v>
      </c>
      <c r="F15" s="224" t="s">
        <v>3328</v>
      </c>
      <c r="G15" s="239" t="s">
        <v>3361</v>
      </c>
      <c r="H15" s="157">
        <v>18122</v>
      </c>
      <c r="I15" s="194">
        <v>0</v>
      </c>
      <c r="J15" s="194">
        <v>64000</v>
      </c>
      <c r="K15" s="154">
        <v>1</v>
      </c>
      <c r="L15" s="154" t="s">
        <v>285</v>
      </c>
      <c r="M15" s="154" t="s">
        <v>155</v>
      </c>
      <c r="N15" s="152" t="s">
        <v>1880</v>
      </c>
      <c r="O15" s="157"/>
    </row>
    <row r="16" spans="1:15" s="182" customFormat="1" ht="21.75" customHeight="1" x14ac:dyDescent="0.15">
      <c r="A16" s="151" t="s">
        <v>3248</v>
      </c>
      <c r="B16" s="20" t="s">
        <v>3249</v>
      </c>
      <c r="C16" s="224" t="s">
        <v>3346</v>
      </c>
      <c r="D16" s="224" t="s">
        <v>3360</v>
      </c>
      <c r="E16" s="224" t="s">
        <v>3250</v>
      </c>
      <c r="F16" s="224" t="s">
        <v>3328</v>
      </c>
      <c r="G16" s="239" t="s">
        <v>3361</v>
      </c>
      <c r="H16" s="157">
        <v>18125</v>
      </c>
      <c r="I16" s="194">
        <v>0</v>
      </c>
      <c r="J16" s="194">
        <v>64000</v>
      </c>
      <c r="K16" s="185">
        <v>1</v>
      </c>
      <c r="L16" s="183" t="s">
        <v>3251</v>
      </c>
      <c r="M16" s="154" t="s">
        <v>155</v>
      </c>
      <c r="N16" s="152" t="s">
        <v>1880</v>
      </c>
      <c r="O16" s="157"/>
    </row>
    <row r="17" spans="1:15" s="182" customFormat="1" ht="21.75" customHeight="1" x14ac:dyDescent="0.15">
      <c r="A17" s="151" t="s">
        <v>3253</v>
      </c>
      <c r="B17" s="20" t="s">
        <v>3260</v>
      </c>
      <c r="C17" s="224" t="s">
        <v>3346</v>
      </c>
      <c r="D17" s="224" t="s">
        <v>3360</v>
      </c>
      <c r="E17" s="30" t="s">
        <v>3261</v>
      </c>
      <c r="F17" s="224" t="s">
        <v>3328</v>
      </c>
      <c r="G17" s="239" t="s">
        <v>3361</v>
      </c>
      <c r="H17" s="157">
        <v>18126</v>
      </c>
      <c r="I17" s="194">
        <v>0</v>
      </c>
      <c r="J17" s="194">
        <v>64000</v>
      </c>
      <c r="K17" s="185">
        <v>1</v>
      </c>
      <c r="L17" s="183" t="s">
        <v>285</v>
      </c>
      <c r="M17" s="154" t="s">
        <v>155</v>
      </c>
      <c r="N17" s="152" t="s">
        <v>1880</v>
      </c>
      <c r="O17" s="157"/>
    </row>
    <row r="18" spans="1:15" s="182" customFormat="1" ht="21.75" customHeight="1" x14ac:dyDescent="0.15">
      <c r="A18" s="151" t="s">
        <v>3253</v>
      </c>
      <c r="B18" s="20" t="s">
        <v>293</v>
      </c>
      <c r="C18" s="224" t="s">
        <v>3346</v>
      </c>
      <c r="D18" s="224" t="s">
        <v>3360</v>
      </c>
      <c r="E18" s="30" t="s">
        <v>3262</v>
      </c>
      <c r="F18" s="224" t="s">
        <v>3328</v>
      </c>
      <c r="G18" s="239" t="s">
        <v>3361</v>
      </c>
      <c r="H18" s="157">
        <v>18124</v>
      </c>
      <c r="I18" s="194">
        <v>0</v>
      </c>
      <c r="J18" s="194">
        <v>64000</v>
      </c>
      <c r="K18" s="185">
        <v>1</v>
      </c>
      <c r="L18" s="183" t="s">
        <v>285</v>
      </c>
      <c r="M18" s="154" t="s">
        <v>155</v>
      </c>
      <c r="N18" s="152" t="s">
        <v>1880</v>
      </c>
      <c r="O18" s="157"/>
    </row>
    <row r="19" spans="1:15" s="182" customFormat="1" ht="21.75" customHeight="1" x14ac:dyDescent="0.15">
      <c r="A19" s="151" t="s">
        <v>3253</v>
      </c>
      <c r="B19" s="20" t="s">
        <v>3254</v>
      </c>
      <c r="C19" s="224" t="s">
        <v>3346</v>
      </c>
      <c r="D19" s="224" t="s">
        <v>3360</v>
      </c>
      <c r="E19" s="30" t="s">
        <v>1508</v>
      </c>
      <c r="F19" s="224" t="s">
        <v>3328</v>
      </c>
      <c r="G19" s="239" t="s">
        <v>3361</v>
      </c>
      <c r="H19" s="157">
        <v>18129</v>
      </c>
      <c r="I19" s="194">
        <v>0</v>
      </c>
      <c r="J19" s="194">
        <v>64000</v>
      </c>
      <c r="K19" s="185">
        <v>1</v>
      </c>
      <c r="L19" s="183" t="s">
        <v>285</v>
      </c>
      <c r="M19" s="154" t="s">
        <v>155</v>
      </c>
      <c r="N19" s="152" t="s">
        <v>1880</v>
      </c>
      <c r="O19" s="157"/>
    </row>
    <row r="20" spans="1:15" s="182" customFormat="1" ht="21.75" customHeight="1" x14ac:dyDescent="0.15">
      <c r="A20" s="151" t="s">
        <v>3253</v>
      </c>
      <c r="B20" s="20" t="s">
        <v>3255</v>
      </c>
      <c r="C20" s="224" t="s">
        <v>3346</v>
      </c>
      <c r="D20" s="224" t="s">
        <v>3360</v>
      </c>
      <c r="E20" s="30" t="s">
        <v>1737</v>
      </c>
      <c r="F20" s="224" t="s">
        <v>3328</v>
      </c>
      <c r="G20" s="239" t="s">
        <v>3361</v>
      </c>
      <c r="H20" s="157">
        <v>18123</v>
      </c>
      <c r="I20" s="194">
        <v>0</v>
      </c>
      <c r="J20" s="194">
        <v>64000</v>
      </c>
      <c r="K20" s="185">
        <v>1</v>
      </c>
      <c r="L20" s="183" t="s">
        <v>285</v>
      </c>
      <c r="M20" s="154" t="s">
        <v>155</v>
      </c>
      <c r="N20" s="152" t="s">
        <v>1880</v>
      </c>
      <c r="O20" s="157"/>
    </row>
    <row r="21" spans="1:15" s="182" customFormat="1" ht="21.75" customHeight="1" x14ac:dyDescent="0.15">
      <c r="A21" s="151" t="s">
        <v>3253</v>
      </c>
      <c r="B21" s="20" t="s">
        <v>69</v>
      </c>
      <c r="C21" s="224" t="s">
        <v>3346</v>
      </c>
      <c r="D21" s="224" t="s">
        <v>3360</v>
      </c>
      <c r="E21" s="30" t="s">
        <v>1507</v>
      </c>
      <c r="F21" s="224" t="s">
        <v>3328</v>
      </c>
      <c r="G21" s="239" t="s">
        <v>3361</v>
      </c>
      <c r="H21" s="157">
        <v>18128</v>
      </c>
      <c r="I21" s="194">
        <v>0</v>
      </c>
      <c r="J21" s="194">
        <v>64000</v>
      </c>
      <c r="K21" s="185">
        <v>1</v>
      </c>
      <c r="L21" s="183" t="s">
        <v>285</v>
      </c>
      <c r="M21" s="154" t="s">
        <v>155</v>
      </c>
      <c r="N21" s="152" t="s">
        <v>1880</v>
      </c>
      <c r="O21" s="157"/>
    </row>
    <row r="22" spans="1:15" s="182" customFormat="1" ht="21.75" customHeight="1" x14ac:dyDescent="0.15">
      <c r="A22" s="151" t="s">
        <v>3253</v>
      </c>
      <c r="B22" s="20" t="s">
        <v>3263</v>
      </c>
      <c r="C22" s="224" t="s">
        <v>3363</v>
      </c>
      <c r="D22" s="224" t="s">
        <v>3352</v>
      </c>
      <c r="E22" s="30" t="s">
        <v>3264</v>
      </c>
      <c r="F22" s="224" t="s">
        <v>3328</v>
      </c>
      <c r="G22" s="239" t="s">
        <v>3349</v>
      </c>
      <c r="H22" s="157">
        <v>18194</v>
      </c>
      <c r="I22" s="194">
        <v>0</v>
      </c>
      <c r="J22" s="194">
        <v>89000</v>
      </c>
      <c r="K22" s="185">
        <v>1</v>
      </c>
      <c r="L22" s="183" t="s">
        <v>285</v>
      </c>
      <c r="M22" s="183" t="s">
        <v>3265</v>
      </c>
      <c r="N22" s="183" t="s">
        <v>3265</v>
      </c>
      <c r="O22" s="157"/>
    </row>
    <row r="23" spans="1:15" s="182" customFormat="1" ht="21.75" customHeight="1" x14ac:dyDescent="0.15">
      <c r="A23" s="151" t="s">
        <v>3253</v>
      </c>
      <c r="B23" s="20" t="s">
        <v>1075</v>
      </c>
      <c r="C23" s="224" t="s">
        <v>3363</v>
      </c>
      <c r="D23" s="224" t="s">
        <v>3352</v>
      </c>
      <c r="E23" s="30" t="s">
        <v>3266</v>
      </c>
      <c r="F23" s="224" t="s">
        <v>3328</v>
      </c>
      <c r="G23" s="239" t="s">
        <v>3349</v>
      </c>
      <c r="H23" s="157">
        <v>18195</v>
      </c>
      <c r="I23" s="194">
        <v>0</v>
      </c>
      <c r="J23" s="194">
        <v>89000</v>
      </c>
      <c r="K23" s="185">
        <v>1</v>
      </c>
      <c r="L23" s="183" t="s">
        <v>285</v>
      </c>
      <c r="M23" s="183" t="s">
        <v>3265</v>
      </c>
      <c r="N23" s="183" t="s">
        <v>3265</v>
      </c>
      <c r="O23" s="157"/>
    </row>
    <row r="24" spans="1:15" s="182" customFormat="1" ht="21.75" customHeight="1" x14ac:dyDescent="0.15">
      <c r="A24" s="151" t="s">
        <v>3256</v>
      </c>
      <c r="B24" s="20" t="s">
        <v>3267</v>
      </c>
      <c r="C24" s="224" t="s">
        <v>3364</v>
      </c>
      <c r="D24" s="224" t="s">
        <v>3326</v>
      </c>
      <c r="E24" s="180" t="s">
        <v>3268</v>
      </c>
      <c r="F24" s="224" t="s">
        <v>3328</v>
      </c>
      <c r="G24" s="239" t="s">
        <v>3349</v>
      </c>
      <c r="H24" s="157">
        <v>18174</v>
      </c>
      <c r="I24" s="194">
        <v>0</v>
      </c>
      <c r="J24" s="194">
        <v>75000</v>
      </c>
      <c r="K24" s="185">
        <v>0.3</v>
      </c>
      <c r="L24" s="183" t="s">
        <v>285</v>
      </c>
      <c r="M24" s="183" t="s">
        <v>3270</v>
      </c>
      <c r="N24" s="183" t="s">
        <v>3270</v>
      </c>
      <c r="O24" s="157"/>
    </row>
    <row r="25" spans="1:15" s="182" customFormat="1" ht="21.75" customHeight="1" x14ac:dyDescent="0.15">
      <c r="A25" s="151" t="s">
        <v>3256</v>
      </c>
      <c r="B25" s="20" t="s">
        <v>3257</v>
      </c>
      <c r="C25" s="224" t="s">
        <v>3364</v>
      </c>
      <c r="D25" s="224" t="s">
        <v>3326</v>
      </c>
      <c r="E25" s="180" t="s">
        <v>3269</v>
      </c>
      <c r="F25" s="224" t="s">
        <v>3328</v>
      </c>
      <c r="G25" s="239" t="s">
        <v>3349</v>
      </c>
      <c r="H25" s="157">
        <v>18175</v>
      </c>
      <c r="I25" s="194">
        <v>0</v>
      </c>
      <c r="J25" s="194">
        <v>75000</v>
      </c>
      <c r="K25" s="185">
        <v>0.3</v>
      </c>
      <c r="L25" s="183" t="s">
        <v>285</v>
      </c>
      <c r="M25" s="183" t="s">
        <v>3270</v>
      </c>
      <c r="N25" s="183" t="s">
        <v>3270</v>
      </c>
      <c r="O25" s="157"/>
    </row>
    <row r="26" spans="1:15" s="182" customFormat="1" ht="21.75" customHeight="1" x14ac:dyDescent="0.15">
      <c r="A26" s="151" t="s">
        <v>3271</v>
      </c>
      <c r="B26" s="20" t="s">
        <v>3272</v>
      </c>
      <c r="C26" s="241" t="s">
        <v>3365</v>
      </c>
      <c r="D26" s="157" t="s">
        <v>3354</v>
      </c>
      <c r="E26" s="30" t="s">
        <v>3273</v>
      </c>
      <c r="F26" s="207" t="s">
        <v>3366</v>
      </c>
      <c r="G26" s="242" t="s">
        <v>3367</v>
      </c>
      <c r="H26" s="157">
        <v>17019</v>
      </c>
      <c r="I26" s="194">
        <v>0</v>
      </c>
      <c r="J26" s="194">
        <v>2574</v>
      </c>
      <c r="K26" s="185">
        <v>0.1</v>
      </c>
      <c r="L26" s="183" t="s">
        <v>3274</v>
      </c>
      <c r="M26" s="183" t="s">
        <v>3275</v>
      </c>
      <c r="N26" s="183" t="s">
        <v>3276</v>
      </c>
      <c r="O26" s="157"/>
    </row>
    <row r="27" spans="1:15" s="182" customFormat="1" ht="21.75" customHeight="1" x14ac:dyDescent="0.15">
      <c r="A27" s="151" t="s">
        <v>3271</v>
      </c>
      <c r="B27" s="20" t="s">
        <v>1457</v>
      </c>
      <c r="C27" s="157" t="s">
        <v>3368</v>
      </c>
      <c r="D27" s="157" t="s">
        <v>3369</v>
      </c>
      <c r="E27" s="30" t="s">
        <v>3277</v>
      </c>
      <c r="F27" s="184" t="s">
        <v>3332</v>
      </c>
      <c r="G27" s="235" t="s">
        <v>3370</v>
      </c>
      <c r="H27" s="157">
        <v>18004</v>
      </c>
      <c r="I27" s="194">
        <v>0</v>
      </c>
      <c r="J27" s="194">
        <v>98863.58</v>
      </c>
      <c r="K27" s="185" t="s">
        <v>3279</v>
      </c>
      <c r="L27" s="183" t="s">
        <v>3280</v>
      </c>
      <c r="M27" s="183" t="s">
        <v>3278</v>
      </c>
      <c r="N27" s="183" t="s">
        <v>3278</v>
      </c>
      <c r="O27" s="157"/>
    </row>
    <row r="28" spans="1:15" s="182" customFormat="1" ht="21.75" customHeight="1" x14ac:dyDescent="0.15">
      <c r="A28" s="151" t="s">
        <v>3281</v>
      </c>
      <c r="B28" s="20" t="s">
        <v>3282</v>
      </c>
      <c r="C28" s="206" t="s">
        <v>3371</v>
      </c>
      <c r="D28" s="206" t="s">
        <v>3372</v>
      </c>
      <c r="E28" s="30" t="s">
        <v>3283</v>
      </c>
      <c r="F28" s="206" t="s">
        <v>3332</v>
      </c>
      <c r="G28" s="243" t="s">
        <v>3329</v>
      </c>
      <c r="H28" s="157">
        <v>11047</v>
      </c>
      <c r="I28" s="194">
        <v>0</v>
      </c>
      <c r="J28" s="194">
        <v>92400</v>
      </c>
      <c r="K28" s="185">
        <v>0.2</v>
      </c>
      <c r="L28" s="183" t="s">
        <v>3284</v>
      </c>
      <c r="M28" s="183" t="s">
        <v>3285</v>
      </c>
      <c r="N28" s="183" t="s">
        <v>3286</v>
      </c>
      <c r="O28" s="157"/>
    </row>
    <row r="29" spans="1:15" s="182" customFormat="1" ht="21.75" customHeight="1" x14ac:dyDescent="0.15">
      <c r="A29" s="151" t="s">
        <v>3281</v>
      </c>
      <c r="B29" s="20" t="s">
        <v>1720</v>
      </c>
      <c r="C29" s="206" t="s">
        <v>3373</v>
      </c>
      <c r="D29" s="206" t="s">
        <v>3374</v>
      </c>
      <c r="E29" s="30" t="s">
        <v>3288</v>
      </c>
      <c r="F29" s="206" t="s">
        <v>3332</v>
      </c>
      <c r="G29" s="243" t="s">
        <v>3375</v>
      </c>
      <c r="H29" s="157">
        <v>12006</v>
      </c>
      <c r="I29" s="194">
        <v>0</v>
      </c>
      <c r="J29" s="194">
        <v>198000</v>
      </c>
      <c r="K29" s="185">
        <v>0.1</v>
      </c>
      <c r="L29" s="183" t="s">
        <v>3287</v>
      </c>
      <c r="M29" s="183" t="s">
        <v>3289</v>
      </c>
      <c r="N29" s="183" t="s">
        <v>3290</v>
      </c>
      <c r="O29" s="157"/>
    </row>
    <row r="30" spans="1:15" s="182" customFormat="1" ht="21.75" customHeight="1" x14ac:dyDescent="0.15">
      <c r="A30" s="151" t="s">
        <v>3281</v>
      </c>
      <c r="B30" s="20" t="s">
        <v>3291</v>
      </c>
      <c r="C30" s="236" t="s">
        <v>3376</v>
      </c>
      <c r="D30" s="157" t="s">
        <v>3377</v>
      </c>
      <c r="E30" s="30" t="s">
        <v>3292</v>
      </c>
      <c r="F30" s="180" t="s">
        <v>3328</v>
      </c>
      <c r="G30" s="26" t="s">
        <v>3378</v>
      </c>
      <c r="H30" s="157">
        <v>17074</v>
      </c>
      <c r="I30" s="194">
        <v>177846.75</v>
      </c>
      <c r="J30" s="194">
        <v>0</v>
      </c>
      <c r="K30" s="185" t="s">
        <v>3293</v>
      </c>
      <c r="L30" s="183" t="s">
        <v>1147</v>
      </c>
      <c r="M30" s="183" t="s">
        <v>3294</v>
      </c>
      <c r="N30" s="183" t="s">
        <v>3294</v>
      </c>
      <c r="O30" s="157" t="s">
        <v>3295</v>
      </c>
    </row>
    <row r="31" spans="1:15" s="182" customFormat="1" ht="21.75" customHeight="1" x14ac:dyDescent="0.15">
      <c r="A31" s="151" t="s">
        <v>3300</v>
      </c>
      <c r="B31" s="20" t="s">
        <v>3296</v>
      </c>
      <c r="C31" s="157" t="s">
        <v>3337</v>
      </c>
      <c r="D31" s="157" t="s">
        <v>3347</v>
      </c>
      <c r="E31" s="184" t="s">
        <v>3297</v>
      </c>
      <c r="F31" s="224" t="s">
        <v>3328</v>
      </c>
      <c r="G31" s="244" t="s">
        <v>3379</v>
      </c>
      <c r="H31" s="157">
        <v>19002</v>
      </c>
      <c r="I31" s="194">
        <v>0</v>
      </c>
      <c r="J31" s="194">
        <v>25000</v>
      </c>
      <c r="K31" s="185">
        <v>1</v>
      </c>
      <c r="L31" s="183" t="s">
        <v>3298</v>
      </c>
      <c r="M31" s="183" t="s">
        <v>3299</v>
      </c>
      <c r="N31" s="183" t="s">
        <v>3299</v>
      </c>
      <c r="O31" s="157"/>
    </row>
    <row r="32" spans="1:15" s="182" customFormat="1" ht="21.75" customHeight="1" x14ac:dyDescent="0.15">
      <c r="A32" s="151" t="s">
        <v>3301</v>
      </c>
      <c r="B32" s="20" t="s">
        <v>3302</v>
      </c>
      <c r="C32" s="224" t="s">
        <v>3346</v>
      </c>
      <c r="D32" s="224" t="s">
        <v>3360</v>
      </c>
      <c r="E32" s="224" t="s">
        <v>3303</v>
      </c>
      <c r="F32" s="224" t="s">
        <v>3328</v>
      </c>
      <c r="G32" s="239" t="s">
        <v>3361</v>
      </c>
      <c r="H32" s="157">
        <v>18131</v>
      </c>
      <c r="I32" s="194">
        <v>0</v>
      </c>
      <c r="J32" s="194">
        <v>64000</v>
      </c>
      <c r="K32" s="185">
        <v>1</v>
      </c>
      <c r="L32" s="183" t="s">
        <v>285</v>
      </c>
      <c r="M32" s="154" t="s">
        <v>155</v>
      </c>
      <c r="N32" s="152" t="s">
        <v>1880</v>
      </c>
      <c r="O32" s="157"/>
    </row>
    <row r="33" spans="1:15" s="182" customFormat="1" ht="21.75" customHeight="1" x14ac:dyDescent="0.15">
      <c r="A33" s="151" t="s">
        <v>3304</v>
      </c>
      <c r="B33" s="20" t="s">
        <v>3305</v>
      </c>
      <c r="C33" s="157" t="s">
        <v>3346</v>
      </c>
      <c r="D33" s="157" t="s">
        <v>3347</v>
      </c>
      <c r="E33" s="30" t="s">
        <v>3306</v>
      </c>
      <c r="F33" s="184" t="s">
        <v>3328</v>
      </c>
      <c r="G33" s="235" t="s">
        <v>3349</v>
      </c>
      <c r="H33" s="157">
        <v>18043</v>
      </c>
      <c r="I33" s="194">
        <v>0</v>
      </c>
      <c r="J33" s="194">
        <v>160000</v>
      </c>
      <c r="K33" s="185">
        <v>1</v>
      </c>
      <c r="L33" s="183" t="s">
        <v>3307</v>
      </c>
      <c r="M33" s="183" t="s">
        <v>3308</v>
      </c>
      <c r="N33" s="183" t="s">
        <v>3309</v>
      </c>
      <c r="O33" s="157"/>
    </row>
    <row r="34" spans="1:15" s="182" customFormat="1" ht="21.75" customHeight="1" x14ac:dyDescent="0.15">
      <c r="A34" s="151" t="s">
        <v>3310</v>
      </c>
      <c r="B34" s="20" t="s">
        <v>3311</v>
      </c>
      <c r="C34" s="224" t="s">
        <v>3346</v>
      </c>
      <c r="D34" s="224" t="s">
        <v>3360</v>
      </c>
      <c r="E34" s="30" t="s">
        <v>3312</v>
      </c>
      <c r="F34" s="224" t="s">
        <v>3328</v>
      </c>
      <c r="G34" s="239" t="s">
        <v>3361</v>
      </c>
      <c r="H34" s="157">
        <v>18130</v>
      </c>
      <c r="I34" s="194">
        <v>0</v>
      </c>
      <c r="J34" s="194">
        <v>64000</v>
      </c>
      <c r="K34" s="185">
        <v>1</v>
      </c>
      <c r="L34" s="183" t="s">
        <v>285</v>
      </c>
      <c r="M34" s="154" t="s">
        <v>155</v>
      </c>
      <c r="N34" s="152" t="s">
        <v>1880</v>
      </c>
      <c r="O34" s="157"/>
    </row>
    <row r="35" spans="1:15" s="182" customFormat="1" ht="21.75" customHeight="1" x14ac:dyDescent="0.15">
      <c r="A35" s="151" t="s">
        <v>3313</v>
      </c>
      <c r="B35" s="20" t="s">
        <v>3314</v>
      </c>
      <c r="C35" s="236" t="s">
        <v>3371</v>
      </c>
      <c r="D35" s="236" t="s">
        <v>3380</v>
      </c>
      <c r="E35" s="30" t="s">
        <v>3315</v>
      </c>
      <c r="F35" s="184" t="s">
        <v>3332</v>
      </c>
      <c r="G35" s="235" t="s">
        <v>3381</v>
      </c>
      <c r="H35" s="157">
        <v>16091</v>
      </c>
      <c r="I35" s="194">
        <v>0</v>
      </c>
      <c r="J35" s="194">
        <v>126000</v>
      </c>
      <c r="K35" s="185" t="s">
        <v>3319</v>
      </c>
      <c r="L35" s="183" t="s">
        <v>3316</v>
      </c>
      <c r="M35" s="183" t="s">
        <v>3317</v>
      </c>
      <c r="N35" s="183" t="s">
        <v>3318</v>
      </c>
      <c r="O35" s="226" t="s">
        <v>3320</v>
      </c>
    </row>
    <row r="36" spans="1:15" s="182" customFormat="1" ht="21.75" customHeight="1" x14ac:dyDescent="0.15">
      <c r="A36" s="151" t="s">
        <v>3382</v>
      </c>
      <c r="B36" s="20" t="s">
        <v>3383</v>
      </c>
      <c r="C36" s="224" t="s">
        <v>3384</v>
      </c>
      <c r="D36" s="224" t="s">
        <v>3326</v>
      </c>
      <c r="E36" s="224" t="s">
        <v>3385</v>
      </c>
      <c r="F36" s="224" t="s">
        <v>3328</v>
      </c>
      <c r="G36" s="239" t="s">
        <v>3386</v>
      </c>
      <c r="H36" s="157">
        <v>18200</v>
      </c>
      <c r="I36" s="194">
        <v>0</v>
      </c>
      <c r="J36" s="194">
        <v>48200</v>
      </c>
      <c r="K36" s="185">
        <v>1</v>
      </c>
      <c r="L36" s="183" t="s">
        <v>3387</v>
      </c>
      <c r="M36" s="183" t="s">
        <v>3388</v>
      </c>
      <c r="N36" s="183" t="s">
        <v>3388</v>
      </c>
      <c r="O36" s="157"/>
    </row>
    <row r="37" spans="1:15" s="182" customFormat="1" ht="21.75" customHeight="1" x14ac:dyDescent="0.15">
      <c r="A37" s="151" t="s">
        <v>3389</v>
      </c>
      <c r="B37" s="20" t="s">
        <v>3390</v>
      </c>
      <c r="C37" s="251" t="s">
        <v>3371</v>
      </c>
      <c r="D37" s="256" t="s">
        <v>3374</v>
      </c>
      <c r="E37" s="251" t="s">
        <v>62</v>
      </c>
      <c r="F37" s="227" t="s">
        <v>3332</v>
      </c>
      <c r="G37" s="257" t="s">
        <v>3431</v>
      </c>
      <c r="H37" s="157">
        <v>17154</v>
      </c>
      <c r="I37" s="194">
        <v>0</v>
      </c>
      <c r="J37" s="194">
        <v>60000</v>
      </c>
      <c r="K37" s="185">
        <v>0.4</v>
      </c>
      <c r="L37" s="183" t="s">
        <v>285</v>
      </c>
      <c r="M37" s="183" t="s">
        <v>1784</v>
      </c>
      <c r="N37" s="183" t="s">
        <v>1784</v>
      </c>
      <c r="O37" s="157"/>
    </row>
    <row r="38" spans="1:15" s="182" customFormat="1" ht="21.75" customHeight="1" x14ac:dyDescent="0.15">
      <c r="A38" s="151" t="s">
        <v>3446</v>
      </c>
      <c r="B38" s="20" t="s">
        <v>2604</v>
      </c>
      <c r="C38" s="236" t="s">
        <v>3337</v>
      </c>
      <c r="D38" s="157" t="s">
        <v>3447</v>
      </c>
      <c r="E38" s="180" t="s">
        <v>3448</v>
      </c>
      <c r="F38" s="184" t="s">
        <v>3344</v>
      </c>
      <c r="G38" s="184" t="s">
        <v>3345</v>
      </c>
      <c r="H38" s="157">
        <v>16083</v>
      </c>
      <c r="I38" s="194">
        <v>26457</v>
      </c>
      <c r="J38" s="194">
        <v>0</v>
      </c>
      <c r="K38" s="185" t="s">
        <v>3449</v>
      </c>
      <c r="L38" s="183" t="s">
        <v>249</v>
      </c>
      <c r="M38" s="183" t="s">
        <v>190</v>
      </c>
      <c r="N38" s="183" t="s">
        <v>190</v>
      </c>
      <c r="O38" s="226" t="s">
        <v>2438</v>
      </c>
    </row>
    <row r="39" spans="1:15" s="182" customFormat="1" ht="21.75" customHeight="1" x14ac:dyDescent="0.15">
      <c r="A39" s="151" t="s">
        <v>3391</v>
      </c>
      <c r="B39" s="20" t="s">
        <v>3392</v>
      </c>
      <c r="C39" s="157" t="s">
        <v>3334</v>
      </c>
      <c r="D39" s="157" t="s">
        <v>3326</v>
      </c>
      <c r="E39" s="207" t="s">
        <v>3335</v>
      </c>
      <c r="F39" s="184" t="s">
        <v>3332</v>
      </c>
      <c r="G39" s="235" t="s">
        <v>3341</v>
      </c>
      <c r="H39" s="157">
        <v>18001</v>
      </c>
      <c r="I39" s="194">
        <v>0</v>
      </c>
      <c r="J39" s="194">
        <v>112500</v>
      </c>
      <c r="K39" s="185">
        <v>0.25</v>
      </c>
      <c r="L39" s="183" t="s">
        <v>3393</v>
      </c>
      <c r="M39" s="183" t="s">
        <v>3394</v>
      </c>
      <c r="N39" s="183" t="s">
        <v>3394</v>
      </c>
      <c r="O39" s="157"/>
    </row>
    <row r="40" spans="1:15" s="182" customFormat="1" ht="21.75" customHeight="1" x14ac:dyDescent="0.15">
      <c r="A40" s="151" t="s">
        <v>3395</v>
      </c>
      <c r="B40" s="20" t="s">
        <v>3396</v>
      </c>
      <c r="C40" s="157" t="s">
        <v>3346</v>
      </c>
      <c r="D40" s="157" t="s">
        <v>3398</v>
      </c>
      <c r="E40" s="157" t="s">
        <v>3399</v>
      </c>
      <c r="F40" s="184" t="s">
        <v>3400</v>
      </c>
      <c r="G40" s="235" t="s">
        <v>3401</v>
      </c>
      <c r="H40" s="157">
        <v>19035</v>
      </c>
      <c r="I40" s="194">
        <v>0</v>
      </c>
      <c r="J40" s="194">
        <v>80000</v>
      </c>
      <c r="K40" s="185">
        <v>1</v>
      </c>
      <c r="L40" s="183" t="s">
        <v>3397</v>
      </c>
      <c r="M40" s="183" t="s">
        <v>3402</v>
      </c>
      <c r="N40" s="183" t="s">
        <v>3402</v>
      </c>
      <c r="O40" s="157"/>
    </row>
    <row r="41" spans="1:15" s="182" customFormat="1" ht="21.75" customHeight="1" x14ac:dyDescent="0.15">
      <c r="A41" s="151" t="s">
        <v>3403</v>
      </c>
      <c r="B41" s="20" t="s">
        <v>3404</v>
      </c>
      <c r="C41" s="157" t="s">
        <v>3371</v>
      </c>
      <c r="D41" s="157" t="s">
        <v>3405</v>
      </c>
      <c r="E41" s="207" t="s">
        <v>3406</v>
      </c>
      <c r="F41" s="184" t="s">
        <v>3332</v>
      </c>
      <c r="G41" s="235" t="s">
        <v>3381</v>
      </c>
      <c r="H41" s="157">
        <v>18029</v>
      </c>
      <c r="I41" s="194">
        <v>0</v>
      </c>
      <c r="J41" s="194">
        <v>50000</v>
      </c>
      <c r="K41" s="185">
        <v>0.5</v>
      </c>
      <c r="L41" s="183" t="s">
        <v>3393</v>
      </c>
      <c r="M41" s="183" t="s">
        <v>3402</v>
      </c>
      <c r="N41" s="183" t="s">
        <v>3402</v>
      </c>
      <c r="O41" s="157"/>
    </row>
    <row r="42" spans="1:15" s="182" customFormat="1" ht="21.75" customHeight="1" x14ac:dyDescent="0.15">
      <c r="A42" s="151" t="s">
        <v>3407</v>
      </c>
      <c r="B42" s="20" t="s">
        <v>3408</v>
      </c>
      <c r="C42" s="183" t="s">
        <v>3409</v>
      </c>
      <c r="D42" s="157" t="s">
        <v>3410</v>
      </c>
      <c r="E42" s="45" t="s">
        <v>3411</v>
      </c>
      <c r="F42" s="184" t="s">
        <v>3332</v>
      </c>
      <c r="G42" s="235" t="s">
        <v>3381</v>
      </c>
      <c r="H42" s="157">
        <v>16091</v>
      </c>
      <c r="I42" s="194">
        <v>0</v>
      </c>
      <c r="J42" s="194">
        <v>126000</v>
      </c>
      <c r="K42" s="185" t="s">
        <v>3105</v>
      </c>
      <c r="L42" s="183" t="s">
        <v>285</v>
      </c>
      <c r="M42" s="183" t="s">
        <v>165</v>
      </c>
      <c r="N42" s="183" t="s">
        <v>1880</v>
      </c>
      <c r="O42" s="157"/>
    </row>
    <row r="43" spans="1:15" s="182" customFormat="1" ht="21.75" customHeight="1" x14ac:dyDescent="0.15">
      <c r="A43" s="151" t="s">
        <v>3412</v>
      </c>
      <c r="B43" s="20" t="s">
        <v>3413</v>
      </c>
      <c r="C43" s="184" t="s">
        <v>3414</v>
      </c>
      <c r="D43" s="157" t="s">
        <v>3415</v>
      </c>
      <c r="E43" s="207" t="s">
        <v>3416</v>
      </c>
      <c r="F43" s="184" t="s">
        <v>3332</v>
      </c>
      <c r="G43" s="235" t="s">
        <v>3417</v>
      </c>
      <c r="H43" s="157">
        <v>18005</v>
      </c>
      <c r="I43" s="194">
        <v>0</v>
      </c>
      <c r="J43" s="194">
        <v>351360</v>
      </c>
      <c r="K43" s="185">
        <v>0.8</v>
      </c>
      <c r="L43" s="183" t="s">
        <v>3418</v>
      </c>
      <c r="M43" s="183" t="s">
        <v>3394</v>
      </c>
      <c r="N43" s="183" t="s">
        <v>3394</v>
      </c>
      <c r="O43" s="157"/>
    </row>
    <row r="44" spans="1:15" s="182" customFormat="1" ht="21.75" customHeight="1" x14ac:dyDescent="0.15">
      <c r="A44" s="151" t="s">
        <v>3412</v>
      </c>
      <c r="B44" s="20" t="s">
        <v>3392</v>
      </c>
      <c r="C44" s="180" t="s">
        <v>3334</v>
      </c>
      <c r="D44" s="180" t="s">
        <v>3419</v>
      </c>
      <c r="E44" s="246" t="s">
        <v>3420</v>
      </c>
      <c r="F44" s="247" t="s">
        <v>3328</v>
      </c>
      <c r="G44" s="248" t="s">
        <v>3421</v>
      </c>
      <c r="H44" s="157">
        <v>13048</v>
      </c>
      <c r="I44" s="194">
        <v>0</v>
      </c>
      <c r="J44" s="194">
        <v>223214.28</v>
      </c>
      <c r="K44" s="185" t="s">
        <v>3424</v>
      </c>
      <c r="L44" s="183" t="s">
        <v>3423</v>
      </c>
      <c r="M44" s="249" t="s">
        <v>3422</v>
      </c>
      <c r="N44" s="183" t="s">
        <v>3394</v>
      </c>
      <c r="O44" s="157"/>
    </row>
    <row r="45" spans="1:15" s="182" customFormat="1" ht="21.75" customHeight="1" x14ac:dyDescent="0.15">
      <c r="A45" s="151" t="s">
        <v>3425</v>
      </c>
      <c r="B45" s="20" t="s">
        <v>3426</v>
      </c>
      <c r="C45" s="250" t="s">
        <v>3427</v>
      </c>
      <c r="D45" s="250" t="s">
        <v>3428</v>
      </c>
      <c r="E45" s="250" t="s">
        <v>3429</v>
      </c>
      <c r="F45" s="251" t="s">
        <v>3430</v>
      </c>
      <c r="G45" s="252" t="s">
        <v>3431</v>
      </c>
      <c r="H45" s="157">
        <v>19019</v>
      </c>
      <c r="I45" s="194">
        <v>0</v>
      </c>
      <c r="J45" s="194">
        <v>95000</v>
      </c>
      <c r="K45" s="185">
        <v>1</v>
      </c>
      <c r="L45" s="183" t="s">
        <v>3432</v>
      </c>
      <c r="M45" s="184" t="s">
        <v>3433</v>
      </c>
      <c r="N45" s="184" t="s">
        <v>3434</v>
      </c>
      <c r="O45" s="157"/>
    </row>
    <row r="46" spans="1:15" s="182" customFormat="1" ht="21.75" customHeight="1" x14ac:dyDescent="0.15">
      <c r="A46" s="151" t="s">
        <v>3435</v>
      </c>
      <c r="B46" s="20" t="s">
        <v>3436</v>
      </c>
      <c r="C46" s="224" t="s">
        <v>3325</v>
      </c>
      <c r="D46" s="234" t="s">
        <v>3439</v>
      </c>
      <c r="E46" s="224" t="s">
        <v>3440</v>
      </c>
      <c r="F46" s="199" t="s">
        <v>3328</v>
      </c>
      <c r="G46" s="253" t="s">
        <v>3441</v>
      </c>
      <c r="H46" s="157" t="s">
        <v>3437</v>
      </c>
      <c r="I46" s="194">
        <v>0</v>
      </c>
      <c r="J46" s="194">
        <v>1641750</v>
      </c>
      <c r="K46" s="185">
        <v>0.55000000000000004</v>
      </c>
      <c r="L46" s="183" t="s">
        <v>3444</v>
      </c>
      <c r="M46" s="224" t="s">
        <v>3433</v>
      </c>
      <c r="N46" s="183" t="s">
        <v>3445</v>
      </c>
      <c r="O46" s="157"/>
    </row>
    <row r="47" spans="1:15" s="182" customFormat="1" ht="21.75" customHeight="1" x14ac:dyDescent="0.15">
      <c r="A47" s="151" t="s">
        <v>3435</v>
      </c>
      <c r="B47" s="20" t="s">
        <v>3436</v>
      </c>
      <c r="C47" s="224" t="s">
        <v>3325</v>
      </c>
      <c r="D47" s="234" t="s">
        <v>3439</v>
      </c>
      <c r="E47" s="224" t="s">
        <v>3440</v>
      </c>
      <c r="F47" s="224" t="s">
        <v>3442</v>
      </c>
      <c r="G47" s="254" t="s">
        <v>3443</v>
      </c>
      <c r="H47" s="157" t="s">
        <v>3438</v>
      </c>
      <c r="I47" s="194">
        <v>0</v>
      </c>
      <c r="J47" s="194">
        <v>1867250</v>
      </c>
      <c r="K47" s="185">
        <v>0.55000000000000004</v>
      </c>
      <c r="L47" s="183" t="s">
        <v>3444</v>
      </c>
      <c r="M47" s="224" t="s">
        <v>3433</v>
      </c>
      <c r="N47" s="183" t="s">
        <v>3445</v>
      </c>
      <c r="O47" s="157"/>
    </row>
    <row r="48" spans="1:15" s="182" customFormat="1" ht="21.75" customHeight="1" x14ac:dyDescent="0.15">
      <c r="A48" s="151" t="s">
        <v>3450</v>
      </c>
      <c r="B48" s="20" t="s">
        <v>3451</v>
      </c>
      <c r="C48" s="255" t="s">
        <v>3357</v>
      </c>
      <c r="D48" s="255" t="s">
        <v>3360</v>
      </c>
      <c r="E48" s="236" t="s">
        <v>3452</v>
      </c>
      <c r="F48" s="180" t="s">
        <v>3328</v>
      </c>
      <c r="G48" s="240" t="s">
        <v>3453</v>
      </c>
      <c r="H48" s="255">
        <v>17065</v>
      </c>
      <c r="I48" s="194">
        <v>0</v>
      </c>
      <c r="J48" s="194">
        <v>92205</v>
      </c>
      <c r="K48" s="185">
        <v>0.2</v>
      </c>
      <c r="L48" s="183" t="s">
        <v>1713</v>
      </c>
      <c r="M48" s="183" t="s">
        <v>170</v>
      </c>
      <c r="N48" s="183" t="s">
        <v>170</v>
      </c>
      <c r="O48" s="255"/>
    </row>
    <row r="49" spans="1:15" s="182" customFormat="1" ht="21.75" customHeight="1" x14ac:dyDescent="0.15">
      <c r="A49" s="151" t="s">
        <v>3454</v>
      </c>
      <c r="B49" s="20" t="s">
        <v>1973</v>
      </c>
      <c r="C49" s="258" t="s">
        <v>3337</v>
      </c>
      <c r="D49" s="258" t="s">
        <v>3347</v>
      </c>
      <c r="E49" s="258" t="s">
        <v>3455</v>
      </c>
      <c r="F49" s="206" t="s">
        <v>3328</v>
      </c>
      <c r="G49" s="243" t="s">
        <v>3386</v>
      </c>
      <c r="H49" s="157">
        <v>19038</v>
      </c>
      <c r="I49" s="194">
        <v>0</v>
      </c>
      <c r="J49" s="194">
        <v>24000</v>
      </c>
      <c r="K49" s="185">
        <v>1</v>
      </c>
      <c r="L49" s="183" t="s">
        <v>1948</v>
      </c>
      <c r="M49" s="183" t="s">
        <v>190</v>
      </c>
      <c r="N49" s="183" t="s">
        <v>190</v>
      </c>
      <c r="O49" s="157"/>
    </row>
    <row r="50" spans="1:15" s="182" customFormat="1" ht="21.75" customHeight="1" x14ac:dyDescent="0.15">
      <c r="A50" s="151" t="s">
        <v>3456</v>
      </c>
      <c r="B50" s="20" t="s">
        <v>409</v>
      </c>
      <c r="C50" s="224" t="s">
        <v>3363</v>
      </c>
      <c r="D50" s="224" t="s">
        <v>3457</v>
      </c>
      <c r="E50" s="224" t="s">
        <v>3458</v>
      </c>
      <c r="F50" s="184" t="s">
        <v>3328</v>
      </c>
      <c r="G50" s="243" t="s">
        <v>3459</v>
      </c>
      <c r="H50" s="259">
        <v>19049</v>
      </c>
      <c r="I50" s="194">
        <v>0</v>
      </c>
      <c r="J50" s="194">
        <v>33000</v>
      </c>
      <c r="K50" s="185">
        <v>1</v>
      </c>
      <c r="L50" s="183" t="s">
        <v>1948</v>
      </c>
      <c r="M50" s="183" t="s">
        <v>2660</v>
      </c>
      <c r="N50" s="183" t="s">
        <v>2660</v>
      </c>
      <c r="O50" s="259"/>
    </row>
    <row r="51" spans="1:15" s="182" customFormat="1" ht="21.75" customHeight="1" x14ac:dyDescent="0.15">
      <c r="A51" s="151" t="s">
        <v>3456</v>
      </c>
      <c r="B51" s="20" t="s">
        <v>1290</v>
      </c>
      <c r="C51" s="224" t="s">
        <v>3363</v>
      </c>
      <c r="D51" s="224" t="s">
        <v>3460</v>
      </c>
      <c r="E51" s="224" t="s">
        <v>3461</v>
      </c>
      <c r="F51" s="224" t="s">
        <v>3328</v>
      </c>
      <c r="G51" s="239" t="s">
        <v>3349</v>
      </c>
      <c r="H51" s="260">
        <v>18145</v>
      </c>
      <c r="I51" s="194">
        <v>0</v>
      </c>
      <c r="J51" s="194">
        <v>22500</v>
      </c>
      <c r="K51" s="222">
        <v>0.22500000000000001</v>
      </c>
      <c r="L51" s="183" t="s">
        <v>285</v>
      </c>
      <c r="M51" s="183" t="s">
        <v>2660</v>
      </c>
      <c r="N51" s="183" t="s">
        <v>2660</v>
      </c>
      <c r="O51" s="260"/>
    </row>
    <row r="52" spans="1:15" s="182" customFormat="1" ht="21.75" customHeight="1" x14ac:dyDescent="0.15">
      <c r="A52" s="151" t="s">
        <v>3462</v>
      </c>
      <c r="B52" s="20" t="s">
        <v>563</v>
      </c>
      <c r="C52" s="224" t="s">
        <v>3325</v>
      </c>
      <c r="D52" s="224" t="s">
        <v>3457</v>
      </c>
      <c r="E52" s="224" t="s">
        <v>2777</v>
      </c>
      <c r="F52" s="224" t="s">
        <v>3328</v>
      </c>
      <c r="G52" s="239" t="s">
        <v>3349</v>
      </c>
      <c r="H52" s="261">
        <v>18140</v>
      </c>
      <c r="I52" s="194">
        <v>0</v>
      </c>
      <c r="J52" s="194">
        <v>8200</v>
      </c>
      <c r="K52" s="185">
        <v>0.1</v>
      </c>
      <c r="L52" s="183" t="s">
        <v>1143</v>
      </c>
      <c r="M52" s="183" t="s">
        <v>2660</v>
      </c>
      <c r="N52" s="183" t="s">
        <v>2660</v>
      </c>
      <c r="O52" s="261"/>
    </row>
    <row r="53" spans="1:15" s="182" customFormat="1" ht="21.75" customHeight="1" x14ac:dyDescent="0.15">
      <c r="A53" s="151" t="s">
        <v>3462</v>
      </c>
      <c r="B53" s="20" t="s">
        <v>2260</v>
      </c>
      <c r="C53" s="262" t="s">
        <v>3346</v>
      </c>
      <c r="D53" s="262" t="s">
        <v>3463</v>
      </c>
      <c r="E53" s="262" t="s">
        <v>3464</v>
      </c>
      <c r="F53" s="184" t="s">
        <v>3328</v>
      </c>
      <c r="G53" s="235" t="s">
        <v>3465</v>
      </c>
      <c r="H53" s="261">
        <v>19029</v>
      </c>
      <c r="I53" s="194">
        <v>0</v>
      </c>
      <c r="J53" s="194">
        <v>15800</v>
      </c>
      <c r="K53" s="185">
        <v>1</v>
      </c>
      <c r="L53" s="183" t="s">
        <v>1948</v>
      </c>
      <c r="M53" s="183" t="s">
        <v>1880</v>
      </c>
      <c r="N53" s="183" t="s">
        <v>1880</v>
      </c>
      <c r="O53" s="261"/>
    </row>
    <row r="54" spans="1:15" s="182" customFormat="1" ht="21.75" customHeight="1" x14ac:dyDescent="0.15">
      <c r="A54" s="151" t="s">
        <v>3462</v>
      </c>
      <c r="B54" s="20" t="s">
        <v>1457</v>
      </c>
      <c r="C54" s="164" t="s">
        <v>3368</v>
      </c>
      <c r="D54" s="164" t="s">
        <v>3369</v>
      </c>
      <c r="E54" s="225" t="s">
        <v>3466</v>
      </c>
      <c r="F54" s="184" t="s">
        <v>3355</v>
      </c>
      <c r="G54" s="235" t="s">
        <v>3467</v>
      </c>
      <c r="H54" s="262">
        <v>18036</v>
      </c>
      <c r="I54" s="194">
        <v>0</v>
      </c>
      <c r="J54" s="194">
        <v>77452.3</v>
      </c>
      <c r="K54" s="185">
        <v>0.9</v>
      </c>
      <c r="L54" s="183" t="s">
        <v>1147</v>
      </c>
      <c r="M54" s="183" t="s">
        <v>158</v>
      </c>
      <c r="N54" s="183" t="s">
        <v>158</v>
      </c>
      <c r="O54" s="262"/>
    </row>
    <row r="55" spans="1:15" s="182" customFormat="1" ht="21.75" customHeight="1" x14ac:dyDescent="0.15">
      <c r="A55" s="151" t="s">
        <v>3468</v>
      </c>
      <c r="B55" s="20" t="s">
        <v>2599</v>
      </c>
      <c r="C55" s="263" t="s">
        <v>3346</v>
      </c>
      <c r="D55" s="263" t="s">
        <v>3470</v>
      </c>
      <c r="E55" s="207" t="s">
        <v>3471</v>
      </c>
      <c r="F55" s="184" t="s">
        <v>3328</v>
      </c>
      <c r="G55" s="235" t="s">
        <v>3417</v>
      </c>
      <c r="H55" s="263" t="s">
        <v>2553</v>
      </c>
      <c r="I55" s="194">
        <v>0</v>
      </c>
      <c r="J55" s="194">
        <v>101100</v>
      </c>
      <c r="K55" s="185" t="s">
        <v>3473</v>
      </c>
      <c r="L55" s="183" t="s">
        <v>3469</v>
      </c>
      <c r="M55" s="183" t="s">
        <v>162</v>
      </c>
      <c r="N55" s="183" t="s">
        <v>1784</v>
      </c>
      <c r="O55" s="263"/>
    </row>
    <row r="56" spans="1:15" s="182" customFormat="1" ht="21.75" customHeight="1" x14ac:dyDescent="0.15">
      <c r="A56" s="151" t="s">
        <v>3468</v>
      </c>
      <c r="B56" s="20" t="s">
        <v>2599</v>
      </c>
      <c r="C56" s="263" t="s">
        <v>3346</v>
      </c>
      <c r="D56" s="263" t="s">
        <v>3470</v>
      </c>
      <c r="E56" s="207" t="s">
        <v>3472</v>
      </c>
      <c r="F56" s="184" t="s">
        <v>3332</v>
      </c>
      <c r="G56" s="235" t="s">
        <v>3417</v>
      </c>
      <c r="H56" s="263" t="s">
        <v>2601</v>
      </c>
      <c r="I56" s="194">
        <v>0</v>
      </c>
      <c r="J56" s="194">
        <v>101100</v>
      </c>
      <c r="K56" s="185" t="s">
        <v>3473</v>
      </c>
      <c r="L56" s="183" t="s">
        <v>3469</v>
      </c>
      <c r="M56" s="183" t="s">
        <v>162</v>
      </c>
      <c r="N56" s="183" t="s">
        <v>1784</v>
      </c>
      <c r="O56" s="263"/>
    </row>
    <row r="57" spans="1:15" s="182" customFormat="1" ht="21.75" customHeight="1" x14ac:dyDescent="0.15">
      <c r="A57" s="151" t="s">
        <v>3468</v>
      </c>
      <c r="B57" s="20" t="s">
        <v>2599</v>
      </c>
      <c r="C57" s="263" t="s">
        <v>3346</v>
      </c>
      <c r="D57" s="263" t="s">
        <v>3470</v>
      </c>
      <c r="E57" s="207" t="s">
        <v>3471</v>
      </c>
      <c r="F57" s="184" t="s">
        <v>3355</v>
      </c>
      <c r="G57" s="26" t="s">
        <v>3356</v>
      </c>
      <c r="H57" s="263" t="s">
        <v>3224</v>
      </c>
      <c r="I57" s="194">
        <v>0</v>
      </c>
      <c r="J57" s="194">
        <v>100000</v>
      </c>
      <c r="K57" s="185" t="s">
        <v>3105</v>
      </c>
      <c r="L57" s="183" t="s">
        <v>3469</v>
      </c>
      <c r="M57" s="183" t="s">
        <v>162</v>
      </c>
      <c r="N57" s="183" t="s">
        <v>1784</v>
      </c>
      <c r="O57" s="263"/>
    </row>
    <row r="58" spans="1:15" s="182" customFormat="1" ht="21.75" customHeight="1" x14ac:dyDescent="0.15">
      <c r="A58" s="151" t="s">
        <v>3468</v>
      </c>
      <c r="B58" s="20" t="s">
        <v>2604</v>
      </c>
      <c r="C58" s="183" t="s">
        <v>3474</v>
      </c>
      <c r="D58" s="263" t="s">
        <v>3475</v>
      </c>
      <c r="E58" s="180" t="s">
        <v>3476</v>
      </c>
      <c r="F58" s="184" t="s">
        <v>3344</v>
      </c>
      <c r="G58" s="184" t="s">
        <v>3477</v>
      </c>
      <c r="H58" s="263">
        <v>16083</v>
      </c>
      <c r="I58" s="194">
        <v>0</v>
      </c>
      <c r="J58" s="194">
        <v>5000</v>
      </c>
      <c r="K58" s="185" t="s">
        <v>3478</v>
      </c>
      <c r="L58" s="183" t="s">
        <v>249</v>
      </c>
      <c r="M58" s="183" t="s">
        <v>190</v>
      </c>
      <c r="N58" s="183" t="s">
        <v>190</v>
      </c>
      <c r="O58" s="263"/>
    </row>
    <row r="59" spans="1:15" s="182" customFormat="1" ht="21.75" customHeight="1" x14ac:dyDescent="0.15">
      <c r="A59" s="151" t="s">
        <v>3479</v>
      </c>
      <c r="B59" s="20" t="s">
        <v>3480</v>
      </c>
      <c r="C59" s="164" t="s">
        <v>3346</v>
      </c>
      <c r="D59" s="164" t="s">
        <v>3481</v>
      </c>
      <c r="E59" s="225" t="s">
        <v>3482</v>
      </c>
      <c r="F59" s="206" t="s">
        <v>3483</v>
      </c>
      <c r="G59" s="265" t="s">
        <v>3483</v>
      </c>
      <c r="H59" s="264">
        <v>18031</v>
      </c>
      <c r="I59" s="194">
        <v>0</v>
      </c>
      <c r="J59" s="194">
        <v>10000</v>
      </c>
      <c r="K59" s="185" t="s">
        <v>3485</v>
      </c>
      <c r="L59" s="183" t="s">
        <v>3486</v>
      </c>
      <c r="M59" s="183" t="s">
        <v>3484</v>
      </c>
      <c r="N59" s="183" t="s">
        <v>3484</v>
      </c>
      <c r="O59" s="264"/>
    </row>
    <row r="60" spans="1:15" s="182" customFormat="1" ht="21.75" customHeight="1" x14ac:dyDescent="0.15">
      <c r="A60" s="151" t="s">
        <v>3487</v>
      </c>
      <c r="B60" s="20" t="s">
        <v>3480</v>
      </c>
      <c r="C60" s="164" t="s">
        <v>3346</v>
      </c>
      <c r="D60" s="164" t="s">
        <v>3481</v>
      </c>
      <c r="E60" s="225" t="s">
        <v>3482</v>
      </c>
      <c r="F60" s="206" t="s">
        <v>3483</v>
      </c>
      <c r="G60" s="265" t="s">
        <v>3483</v>
      </c>
      <c r="H60" s="266">
        <v>18031</v>
      </c>
      <c r="I60" s="194">
        <v>20000</v>
      </c>
      <c r="J60" s="194">
        <v>0</v>
      </c>
      <c r="K60" s="185" t="s">
        <v>3488</v>
      </c>
      <c r="L60" s="183" t="s">
        <v>1414</v>
      </c>
      <c r="M60" s="183" t="s">
        <v>1880</v>
      </c>
      <c r="N60" s="183" t="s">
        <v>1880</v>
      </c>
      <c r="O60" s="266" t="s">
        <v>3489</v>
      </c>
    </row>
    <row r="61" spans="1:15" s="182" customFormat="1" ht="21.75" customHeight="1" x14ac:dyDescent="0.15">
      <c r="A61" s="151" t="s">
        <v>3487</v>
      </c>
      <c r="B61" s="20" t="s">
        <v>3490</v>
      </c>
      <c r="C61" s="224" t="s">
        <v>3346</v>
      </c>
      <c r="D61" s="224" t="s">
        <v>3347</v>
      </c>
      <c r="E61" s="184" t="s">
        <v>3348</v>
      </c>
      <c r="F61" s="267" t="s">
        <v>3355</v>
      </c>
      <c r="G61" s="235" t="s">
        <v>3356</v>
      </c>
      <c r="H61" s="266">
        <v>18090</v>
      </c>
      <c r="I61" s="194">
        <v>0</v>
      </c>
      <c r="J61" s="194">
        <v>52500</v>
      </c>
      <c r="K61" s="185">
        <v>1</v>
      </c>
      <c r="L61" s="183" t="s">
        <v>3491</v>
      </c>
      <c r="M61" s="183" t="s">
        <v>3492</v>
      </c>
      <c r="N61" s="183" t="s">
        <v>3493</v>
      </c>
      <c r="O61" s="266"/>
    </row>
    <row r="62" spans="1:15" s="182" customFormat="1" ht="21.75" customHeight="1" x14ac:dyDescent="0.15">
      <c r="A62" s="151" t="s">
        <v>3495</v>
      </c>
      <c r="B62" s="20" t="s">
        <v>3496</v>
      </c>
      <c r="C62" s="224" t="s">
        <v>3363</v>
      </c>
      <c r="D62" s="224" t="s">
        <v>3460</v>
      </c>
      <c r="E62" s="224" t="s">
        <v>3461</v>
      </c>
      <c r="F62" s="224" t="s">
        <v>3328</v>
      </c>
      <c r="G62" s="239" t="s">
        <v>3349</v>
      </c>
      <c r="H62" s="268">
        <v>18145</v>
      </c>
      <c r="I62" s="194">
        <v>0</v>
      </c>
      <c r="J62" s="194">
        <v>25000</v>
      </c>
      <c r="K62" s="185">
        <v>0.25</v>
      </c>
      <c r="L62" s="183" t="s">
        <v>3497</v>
      </c>
      <c r="M62" s="183" t="s">
        <v>3498</v>
      </c>
      <c r="N62" s="183" t="s">
        <v>3498</v>
      </c>
      <c r="O62" s="268"/>
    </row>
    <row r="63" spans="1:15" s="182" customFormat="1" ht="21.75" customHeight="1" x14ac:dyDescent="0.15">
      <c r="A63" s="151" t="s">
        <v>3499</v>
      </c>
      <c r="B63" s="20" t="s">
        <v>3500</v>
      </c>
      <c r="C63" s="164" t="s">
        <v>3346</v>
      </c>
      <c r="D63" s="164" t="s">
        <v>3481</v>
      </c>
      <c r="E63" s="225" t="s">
        <v>3482</v>
      </c>
      <c r="F63" s="206" t="s">
        <v>3483</v>
      </c>
      <c r="G63" s="265" t="s">
        <v>3483</v>
      </c>
      <c r="H63" s="269">
        <v>18031</v>
      </c>
      <c r="I63" s="194">
        <v>20000</v>
      </c>
      <c r="J63" s="194">
        <v>0</v>
      </c>
      <c r="K63" s="185" t="s">
        <v>3488</v>
      </c>
      <c r="L63" s="183" t="s">
        <v>1414</v>
      </c>
      <c r="M63" s="183" t="s">
        <v>1880</v>
      </c>
      <c r="N63" s="183" t="s">
        <v>1880</v>
      </c>
      <c r="O63" s="226" t="s">
        <v>3502</v>
      </c>
    </row>
    <row r="64" spans="1:15" s="182" customFormat="1" ht="21.75" customHeight="1" x14ac:dyDescent="0.15">
      <c r="A64" s="151" t="s">
        <v>3501</v>
      </c>
      <c r="B64" s="20" t="s">
        <v>3</v>
      </c>
      <c r="C64" s="269" t="s">
        <v>3371</v>
      </c>
      <c r="D64" s="269" t="s">
        <v>3374</v>
      </c>
      <c r="E64" s="207" t="s">
        <v>3503</v>
      </c>
      <c r="F64" s="184" t="s">
        <v>3328</v>
      </c>
      <c r="G64" s="235" t="s">
        <v>3349</v>
      </c>
      <c r="H64" s="269">
        <v>18007</v>
      </c>
      <c r="I64" s="194">
        <v>0</v>
      </c>
      <c r="J64" s="194">
        <v>75000</v>
      </c>
      <c r="K64" s="185">
        <v>0.5</v>
      </c>
      <c r="L64" s="183" t="s">
        <v>3505</v>
      </c>
      <c r="M64" s="183" t="s">
        <v>3506</v>
      </c>
      <c r="N64" s="183" t="s">
        <v>3507</v>
      </c>
      <c r="O64" s="269"/>
    </row>
    <row r="65" spans="1:15" s="182" customFormat="1" ht="21.75" customHeight="1" x14ac:dyDescent="0.15">
      <c r="A65" s="151" t="s">
        <v>3501</v>
      </c>
      <c r="B65" s="20" t="s">
        <v>3</v>
      </c>
      <c r="C65" s="269" t="s">
        <v>3371</v>
      </c>
      <c r="D65" s="269" t="s">
        <v>3374</v>
      </c>
      <c r="E65" s="207" t="s">
        <v>3504</v>
      </c>
      <c r="F65" s="184" t="s">
        <v>3332</v>
      </c>
      <c r="G65" s="235" t="s">
        <v>3381</v>
      </c>
      <c r="H65" s="269">
        <v>18008</v>
      </c>
      <c r="I65" s="194">
        <v>0</v>
      </c>
      <c r="J65" s="194">
        <v>75000</v>
      </c>
      <c r="K65" s="185">
        <v>0.5</v>
      </c>
      <c r="L65" s="183" t="s">
        <v>3505</v>
      </c>
      <c r="M65" s="183" t="s">
        <v>3506</v>
      </c>
      <c r="N65" s="183" t="s">
        <v>3507</v>
      </c>
      <c r="O65" s="269"/>
    </row>
    <row r="66" spans="1:15" s="182" customFormat="1" ht="21.75" customHeight="1" x14ac:dyDescent="0.15">
      <c r="A66" s="151" t="s">
        <v>3508</v>
      </c>
      <c r="B66" s="20" t="s">
        <v>3509</v>
      </c>
      <c r="C66" s="270" t="s">
        <v>3371</v>
      </c>
      <c r="D66" s="270" t="s">
        <v>3374</v>
      </c>
      <c r="E66" s="207" t="s">
        <v>3510</v>
      </c>
      <c r="F66" s="184" t="s">
        <v>3332</v>
      </c>
      <c r="G66" s="235" t="s">
        <v>3381</v>
      </c>
      <c r="H66" s="269">
        <v>18010</v>
      </c>
      <c r="I66" s="194">
        <v>0</v>
      </c>
      <c r="J66" s="194">
        <v>75000</v>
      </c>
      <c r="K66" s="185">
        <v>0.5</v>
      </c>
      <c r="L66" s="183" t="s">
        <v>285</v>
      </c>
      <c r="M66" s="183" t="s">
        <v>162</v>
      </c>
      <c r="N66" s="183" t="s">
        <v>1784</v>
      </c>
      <c r="O66" s="269"/>
    </row>
    <row r="67" spans="1:15" s="182" customFormat="1" ht="21.75" customHeight="1" x14ac:dyDescent="0.15">
      <c r="A67" s="151" t="s">
        <v>3511</v>
      </c>
      <c r="B67" s="20" t="s">
        <v>3512</v>
      </c>
      <c r="C67" s="180" t="s">
        <v>3515</v>
      </c>
      <c r="D67" s="271" t="s">
        <v>3516</v>
      </c>
      <c r="E67" s="273" t="s">
        <v>3517</v>
      </c>
      <c r="F67" s="238" t="s">
        <v>3328</v>
      </c>
      <c r="G67" s="240" t="s">
        <v>3518</v>
      </c>
      <c r="H67" s="271">
        <v>15023</v>
      </c>
      <c r="I67" s="194">
        <v>0</v>
      </c>
      <c r="J67" s="194">
        <v>38800</v>
      </c>
      <c r="K67" s="185">
        <v>0.1</v>
      </c>
      <c r="L67" s="183" t="s">
        <v>3513</v>
      </c>
      <c r="M67" s="183" t="s">
        <v>3514</v>
      </c>
      <c r="N67" s="183" t="s">
        <v>3514</v>
      </c>
      <c r="O67" s="271"/>
    </row>
    <row r="68" spans="1:15" s="182" customFormat="1" ht="21.75" customHeight="1" x14ac:dyDescent="0.15">
      <c r="A68" s="151" t="s">
        <v>3519</v>
      </c>
      <c r="B68" s="20" t="s">
        <v>3520</v>
      </c>
      <c r="C68" s="275" t="s">
        <v>3330</v>
      </c>
      <c r="D68" s="272" t="s">
        <v>3374</v>
      </c>
      <c r="E68" s="275" t="s">
        <v>3521</v>
      </c>
      <c r="F68" s="207" t="s">
        <v>3366</v>
      </c>
      <c r="G68" s="235" t="s">
        <v>3378</v>
      </c>
      <c r="H68" s="272">
        <v>17136</v>
      </c>
      <c r="I68" s="194">
        <v>0</v>
      </c>
      <c r="J68" s="194">
        <v>294624</v>
      </c>
      <c r="K68" s="185">
        <v>0.9</v>
      </c>
      <c r="L68" s="183" t="s">
        <v>3522</v>
      </c>
      <c r="M68" s="183" t="s">
        <v>3523</v>
      </c>
      <c r="N68" s="183" t="s">
        <v>3523</v>
      </c>
      <c r="O68" s="272"/>
    </row>
    <row r="69" spans="1:15" s="182" customFormat="1" ht="21.75" customHeight="1" x14ac:dyDescent="0.15">
      <c r="A69" s="151" t="s">
        <v>3519</v>
      </c>
      <c r="B69" s="20" t="s">
        <v>3524</v>
      </c>
      <c r="C69" s="224" t="s">
        <v>3364</v>
      </c>
      <c r="D69" s="224" t="s">
        <v>3326</v>
      </c>
      <c r="E69" s="180" t="s">
        <v>3268</v>
      </c>
      <c r="F69" s="224" t="s">
        <v>3328</v>
      </c>
      <c r="G69" s="239" t="s">
        <v>3349</v>
      </c>
      <c r="H69" s="272">
        <v>18174</v>
      </c>
      <c r="I69" s="194">
        <v>0</v>
      </c>
      <c r="J69" s="194">
        <v>75000</v>
      </c>
      <c r="K69" s="185">
        <v>0.3</v>
      </c>
      <c r="L69" s="183" t="s">
        <v>3525</v>
      </c>
      <c r="M69" s="183" t="s">
        <v>3526</v>
      </c>
      <c r="N69" s="183" t="s">
        <v>3526</v>
      </c>
      <c r="O69" s="272"/>
    </row>
    <row r="70" spans="1:15" s="182" customFormat="1" ht="21.75" customHeight="1" x14ac:dyDescent="0.15">
      <c r="A70" s="151" t="s">
        <v>3519</v>
      </c>
      <c r="B70" s="20" t="s">
        <v>3524</v>
      </c>
      <c r="C70" s="224" t="s">
        <v>3364</v>
      </c>
      <c r="D70" s="224" t="s">
        <v>3326</v>
      </c>
      <c r="E70" s="180" t="s">
        <v>3269</v>
      </c>
      <c r="F70" s="224" t="s">
        <v>3328</v>
      </c>
      <c r="G70" s="239" t="s">
        <v>3349</v>
      </c>
      <c r="H70" s="272">
        <v>18175</v>
      </c>
      <c r="I70" s="194">
        <v>0</v>
      </c>
      <c r="J70" s="194">
        <v>75000</v>
      </c>
      <c r="K70" s="185">
        <v>0.3</v>
      </c>
      <c r="L70" s="183" t="s">
        <v>3525</v>
      </c>
      <c r="M70" s="183" t="s">
        <v>3526</v>
      </c>
      <c r="N70" s="183" t="s">
        <v>3526</v>
      </c>
      <c r="O70" s="272"/>
    </row>
    <row r="71" spans="1:15" s="182" customFormat="1" ht="21.75" customHeight="1" x14ac:dyDescent="0.15">
      <c r="A71" s="151" t="s">
        <v>3519</v>
      </c>
      <c r="B71" s="20" t="s">
        <v>3527</v>
      </c>
      <c r="C71" s="183" t="s">
        <v>3351</v>
      </c>
      <c r="D71" s="274" t="s">
        <v>3354</v>
      </c>
      <c r="E71" s="45" t="s">
        <v>3528</v>
      </c>
      <c r="F71" s="276" t="s">
        <v>3328</v>
      </c>
      <c r="G71" s="277" t="s">
        <v>3529</v>
      </c>
      <c r="H71" s="272">
        <v>16066</v>
      </c>
      <c r="I71" s="194">
        <v>0</v>
      </c>
      <c r="J71" s="194">
        <v>11980</v>
      </c>
      <c r="K71" s="185">
        <v>0.1</v>
      </c>
      <c r="L71" s="183" t="s">
        <v>3530</v>
      </c>
      <c r="M71" s="183" t="s">
        <v>3531</v>
      </c>
      <c r="N71" s="183" t="s">
        <v>3531</v>
      </c>
      <c r="O71" s="272"/>
    </row>
    <row r="72" spans="1:15" s="182" customFormat="1" ht="21.75" customHeight="1" x14ac:dyDescent="0.15">
      <c r="A72" s="151" t="s">
        <v>3532</v>
      </c>
      <c r="B72" s="20" t="s">
        <v>3533</v>
      </c>
      <c r="C72" s="184" t="s">
        <v>3330</v>
      </c>
      <c r="D72" s="279" t="s">
        <v>3534</v>
      </c>
      <c r="E72" s="184" t="s">
        <v>3535</v>
      </c>
      <c r="F72" s="184" t="s">
        <v>3536</v>
      </c>
      <c r="G72" s="235" t="s">
        <v>3537</v>
      </c>
      <c r="H72" s="269">
        <v>18002</v>
      </c>
      <c r="I72" s="194">
        <v>0</v>
      </c>
      <c r="J72" s="194">
        <v>268624</v>
      </c>
      <c r="K72" s="185">
        <v>0.4</v>
      </c>
      <c r="L72" s="183" t="s">
        <v>3538</v>
      </c>
      <c r="M72" s="183" t="s">
        <v>3539</v>
      </c>
      <c r="N72" s="183" t="s">
        <v>3539</v>
      </c>
      <c r="O72" s="269"/>
    </row>
    <row r="73" spans="1:15" s="182" customFormat="1" ht="21.75" customHeight="1" x14ac:dyDescent="0.15">
      <c r="A73" s="151" t="s">
        <v>3540</v>
      </c>
      <c r="B73" s="20" t="s">
        <v>3541</v>
      </c>
      <c r="C73" s="224" t="s">
        <v>3346</v>
      </c>
      <c r="D73" s="224" t="s">
        <v>3347</v>
      </c>
      <c r="E73" s="184" t="s">
        <v>3542</v>
      </c>
      <c r="F73" s="267" t="s">
        <v>3355</v>
      </c>
      <c r="G73" s="235" t="s">
        <v>3356</v>
      </c>
      <c r="H73" s="278">
        <v>18089</v>
      </c>
      <c r="I73" s="194">
        <v>0</v>
      </c>
      <c r="J73" s="194">
        <v>52500</v>
      </c>
      <c r="K73" s="185">
        <v>1</v>
      </c>
      <c r="L73" s="183" t="s">
        <v>3543</v>
      </c>
      <c r="M73" s="183" t="s">
        <v>162</v>
      </c>
      <c r="N73" s="183" t="s">
        <v>1784</v>
      </c>
      <c r="O73" s="278"/>
    </row>
    <row r="74" spans="1:15" s="182" customFormat="1" ht="21.75" customHeight="1" x14ac:dyDescent="0.15">
      <c r="A74" s="151" t="s">
        <v>3544</v>
      </c>
      <c r="B74" s="20" t="s">
        <v>3545</v>
      </c>
      <c r="C74" s="280" t="s">
        <v>3546</v>
      </c>
      <c r="D74" s="280" t="s">
        <v>3547</v>
      </c>
      <c r="E74" s="45" t="s">
        <v>3548</v>
      </c>
      <c r="F74" s="246" t="s">
        <v>3328</v>
      </c>
      <c r="G74" s="58" t="s">
        <v>3549</v>
      </c>
      <c r="H74" s="280">
        <v>13004</v>
      </c>
      <c r="I74" s="194">
        <v>0</v>
      </c>
      <c r="J74" s="194">
        <v>100000</v>
      </c>
      <c r="K74" s="185" t="s">
        <v>3551</v>
      </c>
      <c r="L74" s="183" t="s">
        <v>3550</v>
      </c>
      <c r="M74" s="30" t="s">
        <v>3552</v>
      </c>
      <c r="N74" s="183" t="s">
        <v>3553</v>
      </c>
      <c r="O74" s="280"/>
    </row>
    <row r="75" spans="1:15" s="182" customFormat="1" ht="21.75" customHeight="1" x14ac:dyDescent="0.15">
      <c r="A75" s="151" t="s">
        <v>3544</v>
      </c>
      <c r="B75" s="20" t="s">
        <v>282</v>
      </c>
      <c r="C75" s="45" t="s">
        <v>3598</v>
      </c>
      <c r="D75" s="287" t="s">
        <v>3419</v>
      </c>
      <c r="E75" s="45" t="s">
        <v>3599</v>
      </c>
      <c r="F75" s="238" t="s">
        <v>3328</v>
      </c>
      <c r="G75" s="240" t="s">
        <v>3600</v>
      </c>
      <c r="H75" s="287">
        <v>15002</v>
      </c>
      <c r="I75" s="194">
        <v>50000</v>
      </c>
      <c r="J75" s="194">
        <v>0</v>
      </c>
      <c r="K75" s="185" t="s">
        <v>3601</v>
      </c>
      <c r="L75" s="183" t="s">
        <v>1414</v>
      </c>
      <c r="M75" s="183" t="s">
        <v>158</v>
      </c>
      <c r="N75" s="183" t="s">
        <v>158</v>
      </c>
      <c r="O75" s="287" t="s">
        <v>3602</v>
      </c>
    </row>
    <row r="76" spans="1:15" s="182" customFormat="1" ht="21.75" customHeight="1" x14ac:dyDescent="0.15">
      <c r="A76" s="151" t="s">
        <v>3554</v>
      </c>
      <c r="B76" s="20" t="s">
        <v>3555</v>
      </c>
      <c r="C76" s="250" t="s">
        <v>3371</v>
      </c>
      <c r="D76" s="250" t="s">
        <v>3374</v>
      </c>
      <c r="E76" s="227" t="s">
        <v>1</v>
      </c>
      <c r="F76" s="184" t="s">
        <v>3332</v>
      </c>
      <c r="G76" s="235" t="s">
        <v>3381</v>
      </c>
      <c r="H76" s="178">
        <v>18011</v>
      </c>
      <c r="I76" s="194">
        <v>0</v>
      </c>
      <c r="J76" s="194">
        <v>75000</v>
      </c>
      <c r="K76" s="185">
        <v>0.5</v>
      </c>
      <c r="L76" s="183" t="s">
        <v>3557</v>
      </c>
      <c r="M76" s="183" t="s">
        <v>3558</v>
      </c>
      <c r="N76" s="183" t="s">
        <v>3559</v>
      </c>
      <c r="O76" s="280"/>
    </row>
    <row r="77" spans="1:15" s="182" customFormat="1" ht="21.75" customHeight="1" x14ac:dyDescent="0.15">
      <c r="A77" s="151" t="s">
        <v>3554</v>
      </c>
      <c r="B77" s="20" t="s">
        <v>3556</v>
      </c>
      <c r="C77" s="250" t="s">
        <v>3371</v>
      </c>
      <c r="D77" s="250" t="s">
        <v>3374</v>
      </c>
      <c r="E77" s="227" t="s">
        <v>13</v>
      </c>
      <c r="F77" s="184" t="s">
        <v>3332</v>
      </c>
      <c r="G77" s="235" t="s">
        <v>3381</v>
      </c>
      <c r="H77" s="178">
        <v>18012</v>
      </c>
      <c r="I77" s="194">
        <v>0</v>
      </c>
      <c r="J77" s="194">
        <v>75000</v>
      </c>
      <c r="K77" s="185">
        <v>0.5</v>
      </c>
      <c r="L77" s="183" t="s">
        <v>3557</v>
      </c>
      <c r="M77" s="183" t="s">
        <v>3558</v>
      </c>
      <c r="N77" s="183" t="s">
        <v>3559</v>
      </c>
      <c r="O77" s="280"/>
    </row>
    <row r="78" spans="1:15" s="182" customFormat="1" ht="21.75" customHeight="1" x14ac:dyDescent="0.15">
      <c r="A78" s="151" t="s">
        <v>3560</v>
      </c>
      <c r="B78" s="20" t="s">
        <v>3561</v>
      </c>
      <c r="C78" s="281" t="s">
        <v>3371</v>
      </c>
      <c r="D78" s="281" t="s">
        <v>3374</v>
      </c>
      <c r="E78" s="207" t="s">
        <v>3562</v>
      </c>
      <c r="F78" s="184" t="s">
        <v>3332</v>
      </c>
      <c r="G78" s="235" t="s">
        <v>3381</v>
      </c>
      <c r="H78" s="281">
        <v>18009</v>
      </c>
      <c r="I78" s="194">
        <v>0</v>
      </c>
      <c r="J78" s="194">
        <v>75000</v>
      </c>
      <c r="K78" s="185">
        <v>0.5</v>
      </c>
      <c r="L78" s="183" t="s">
        <v>285</v>
      </c>
      <c r="M78" s="183" t="s">
        <v>162</v>
      </c>
      <c r="N78" s="183" t="s">
        <v>1784</v>
      </c>
      <c r="O78" s="281"/>
    </row>
    <row r="79" spans="1:15" s="182" customFormat="1" ht="21.75" customHeight="1" x14ac:dyDescent="0.15">
      <c r="A79" s="151" t="s">
        <v>3563</v>
      </c>
      <c r="B79" s="20" t="s">
        <v>515</v>
      </c>
      <c r="C79" s="282" t="s">
        <v>3346</v>
      </c>
      <c r="D79" s="282" t="s">
        <v>3354</v>
      </c>
      <c r="E79" s="282" t="s">
        <v>3565</v>
      </c>
      <c r="F79" s="184" t="s">
        <v>3328</v>
      </c>
      <c r="G79" s="235" t="s">
        <v>3566</v>
      </c>
      <c r="H79" s="282">
        <v>19009</v>
      </c>
      <c r="I79" s="194">
        <v>0</v>
      </c>
      <c r="J79" s="194">
        <v>28934</v>
      </c>
      <c r="K79" s="185" t="s">
        <v>3593</v>
      </c>
      <c r="L79" s="183" t="s">
        <v>285</v>
      </c>
      <c r="M79" s="183" t="s">
        <v>3564</v>
      </c>
      <c r="N79" s="183" t="s">
        <v>3564</v>
      </c>
      <c r="O79" s="282"/>
    </row>
    <row r="80" spans="1:15" s="182" customFormat="1" ht="21.75" customHeight="1" x14ac:dyDescent="0.15">
      <c r="A80" s="151" t="s">
        <v>3563</v>
      </c>
      <c r="B80" s="20" t="s">
        <v>515</v>
      </c>
      <c r="C80" s="282" t="s">
        <v>3346</v>
      </c>
      <c r="D80" s="282" t="s">
        <v>3354</v>
      </c>
      <c r="E80" s="282" t="s">
        <v>3565</v>
      </c>
      <c r="F80" s="184" t="s">
        <v>3328</v>
      </c>
      <c r="G80" s="243" t="s">
        <v>3567</v>
      </c>
      <c r="H80" s="282">
        <v>19007</v>
      </c>
      <c r="I80" s="194">
        <v>0</v>
      </c>
      <c r="J80" s="194">
        <v>5330</v>
      </c>
      <c r="K80" s="185">
        <v>1</v>
      </c>
      <c r="L80" s="183" t="s">
        <v>3568</v>
      </c>
      <c r="M80" s="183" t="s">
        <v>3564</v>
      </c>
      <c r="N80" s="183" t="s">
        <v>3564</v>
      </c>
      <c r="O80" s="282"/>
    </row>
    <row r="81" spans="1:15" s="182" customFormat="1" ht="21.75" customHeight="1" x14ac:dyDescent="0.15">
      <c r="A81" s="151" t="s">
        <v>3569</v>
      </c>
      <c r="B81" s="20" t="s">
        <v>3571</v>
      </c>
      <c r="C81" s="164" t="s">
        <v>3371</v>
      </c>
      <c r="D81" s="164" t="s">
        <v>3572</v>
      </c>
      <c r="E81" s="246" t="s">
        <v>3573</v>
      </c>
      <c r="F81" s="247" t="s">
        <v>3328</v>
      </c>
      <c r="G81" s="248" t="s">
        <v>3574</v>
      </c>
      <c r="H81" s="283">
        <v>14062</v>
      </c>
      <c r="I81" s="194">
        <v>0</v>
      </c>
      <c r="J81" s="194">
        <v>17500</v>
      </c>
      <c r="K81" s="185">
        <v>0.1</v>
      </c>
      <c r="L81" s="183" t="s">
        <v>3575</v>
      </c>
      <c r="M81" s="179" t="s">
        <v>3433</v>
      </c>
      <c r="N81" s="183" t="s">
        <v>3576</v>
      </c>
      <c r="O81" s="283"/>
    </row>
    <row r="82" spans="1:15" s="182" customFormat="1" ht="21.75" customHeight="1" x14ac:dyDescent="0.15">
      <c r="A82" s="151" t="s">
        <v>3570</v>
      </c>
      <c r="B82" s="20" t="s">
        <v>3581</v>
      </c>
      <c r="C82" s="184" t="s">
        <v>3346</v>
      </c>
      <c r="D82" s="283" t="s">
        <v>3577</v>
      </c>
      <c r="E82" s="285" t="s">
        <v>3578</v>
      </c>
      <c r="F82" s="184" t="s">
        <v>3579</v>
      </c>
      <c r="G82" s="235" t="s">
        <v>3580</v>
      </c>
      <c r="H82" s="283">
        <v>17108</v>
      </c>
      <c r="I82" s="194">
        <v>0</v>
      </c>
      <c r="J82" s="194">
        <v>9950</v>
      </c>
      <c r="K82" s="185">
        <v>0.1</v>
      </c>
      <c r="L82" s="183" t="s">
        <v>1143</v>
      </c>
      <c r="M82" s="183" t="s">
        <v>3582</v>
      </c>
      <c r="N82" s="183" t="s">
        <v>3582</v>
      </c>
      <c r="O82" s="283"/>
    </row>
    <row r="83" spans="1:15" s="182" customFormat="1" ht="21.75" customHeight="1" x14ac:dyDescent="0.15">
      <c r="A83" s="151" t="s">
        <v>3583</v>
      </c>
      <c r="B83" s="20" t="s">
        <v>3585</v>
      </c>
      <c r="C83" s="164" t="s">
        <v>3346</v>
      </c>
      <c r="D83" s="164" t="s">
        <v>3481</v>
      </c>
      <c r="E83" s="225" t="s">
        <v>3482</v>
      </c>
      <c r="F83" s="206" t="s">
        <v>3483</v>
      </c>
      <c r="G83" s="265" t="s">
        <v>3483</v>
      </c>
      <c r="H83" s="284">
        <v>18031</v>
      </c>
      <c r="I83" s="194">
        <v>0</v>
      </c>
      <c r="J83" s="194">
        <v>29000</v>
      </c>
      <c r="K83" s="185" t="s">
        <v>3588</v>
      </c>
      <c r="L83" s="183" t="s">
        <v>3586</v>
      </c>
      <c r="M83" s="183" t="s">
        <v>3587</v>
      </c>
      <c r="N83" s="183" t="s">
        <v>3587</v>
      </c>
      <c r="O83" s="284"/>
    </row>
    <row r="84" spans="1:15" s="182" customFormat="1" ht="21.75" customHeight="1" x14ac:dyDescent="0.15">
      <c r="A84" s="151" t="s">
        <v>3583</v>
      </c>
      <c r="B84" s="20" t="s">
        <v>3584</v>
      </c>
      <c r="C84" s="224" t="s">
        <v>3346</v>
      </c>
      <c r="D84" s="224" t="s">
        <v>3352</v>
      </c>
      <c r="E84" s="180" t="s">
        <v>987</v>
      </c>
      <c r="F84" s="224" t="s">
        <v>3355</v>
      </c>
      <c r="G84" s="235" t="s">
        <v>3356</v>
      </c>
      <c r="H84" s="284">
        <v>18094</v>
      </c>
      <c r="I84" s="194">
        <v>0</v>
      </c>
      <c r="J84" s="194">
        <v>81000</v>
      </c>
      <c r="K84" s="185">
        <v>0.9</v>
      </c>
      <c r="L84" s="183" t="s">
        <v>3589</v>
      </c>
      <c r="M84" s="179" t="s">
        <v>3433</v>
      </c>
      <c r="N84" s="183" t="s">
        <v>1880</v>
      </c>
      <c r="O84" s="284"/>
    </row>
    <row r="85" spans="1:15" s="182" customFormat="1" ht="21.75" customHeight="1" x14ac:dyDescent="0.15">
      <c r="A85" s="151" t="s">
        <v>3590</v>
      </c>
      <c r="B85" s="20" t="s">
        <v>3591</v>
      </c>
      <c r="C85" s="224" t="s">
        <v>3346</v>
      </c>
      <c r="D85" s="224" t="s">
        <v>3398</v>
      </c>
      <c r="E85" s="224" t="s">
        <v>3592</v>
      </c>
      <c r="F85" s="184" t="s">
        <v>3355</v>
      </c>
      <c r="G85" s="243" t="s">
        <v>3580</v>
      </c>
      <c r="H85" s="284">
        <v>19048</v>
      </c>
      <c r="I85" s="194">
        <v>0</v>
      </c>
      <c r="J85" s="194">
        <v>80000</v>
      </c>
      <c r="K85" s="185">
        <v>1</v>
      </c>
      <c r="L85" s="183" t="s">
        <v>1948</v>
      </c>
      <c r="M85" s="183" t="s">
        <v>1880</v>
      </c>
      <c r="N85" s="183" t="s">
        <v>1880</v>
      </c>
      <c r="O85" s="284"/>
    </row>
    <row r="86" spans="1:15" s="182" customFormat="1" ht="21.75" customHeight="1" x14ac:dyDescent="0.15">
      <c r="A86" s="151" t="s">
        <v>3594</v>
      </c>
      <c r="B86" s="20" t="s">
        <v>2466</v>
      </c>
      <c r="C86" s="183" t="s">
        <v>3346</v>
      </c>
      <c r="D86" s="286" t="s">
        <v>3481</v>
      </c>
      <c r="E86" s="236" t="s">
        <v>3596</v>
      </c>
      <c r="F86" s="236" t="s">
        <v>3355</v>
      </c>
      <c r="G86" s="26" t="s">
        <v>3597</v>
      </c>
      <c r="H86" s="286">
        <v>17043</v>
      </c>
      <c r="I86" s="194">
        <v>0</v>
      </c>
      <c r="J86" s="194">
        <v>32000</v>
      </c>
      <c r="K86" s="185">
        <v>0.1</v>
      </c>
      <c r="L86" s="183" t="s">
        <v>1414</v>
      </c>
      <c r="M86" s="183" t="s">
        <v>1880</v>
      </c>
      <c r="N86" s="183" t="s">
        <v>1880</v>
      </c>
      <c r="O86" s="286"/>
    </row>
    <row r="87" spans="1:15" s="182" customFormat="1" ht="21.75" customHeight="1" x14ac:dyDescent="0.15">
      <c r="A87" s="151" t="s">
        <v>3594</v>
      </c>
      <c r="B87" s="20" t="s">
        <v>2051</v>
      </c>
      <c r="C87" s="184" t="s">
        <v>3365</v>
      </c>
      <c r="D87" s="184" t="s">
        <v>3463</v>
      </c>
      <c r="E87" s="184" t="s">
        <v>3595</v>
      </c>
      <c r="F87" s="184" t="s">
        <v>3328</v>
      </c>
      <c r="G87" s="235" t="s">
        <v>3349</v>
      </c>
      <c r="H87" s="286">
        <v>19042</v>
      </c>
      <c r="I87" s="194">
        <v>0</v>
      </c>
      <c r="J87" s="194">
        <v>99000</v>
      </c>
      <c r="K87" s="185">
        <v>1</v>
      </c>
      <c r="L87" s="183" t="s">
        <v>285</v>
      </c>
      <c r="M87" s="183" t="s">
        <v>3276</v>
      </c>
      <c r="N87" s="183" t="s">
        <v>3276</v>
      </c>
      <c r="O87" s="286"/>
    </row>
    <row r="88" spans="1:15" s="182" customFormat="1" ht="21.75" customHeight="1" x14ac:dyDescent="0.15">
      <c r="A88" s="151" t="s">
        <v>3594</v>
      </c>
      <c r="B88" s="20" t="s">
        <v>2164</v>
      </c>
      <c r="C88" s="250" t="s">
        <v>3603</v>
      </c>
      <c r="D88" s="250" t="s">
        <v>3604</v>
      </c>
      <c r="E88" s="250" t="s">
        <v>3605</v>
      </c>
      <c r="F88" s="288" t="s">
        <v>3430</v>
      </c>
      <c r="G88" s="289" t="s">
        <v>3606</v>
      </c>
      <c r="H88" s="286">
        <v>16071</v>
      </c>
      <c r="I88" s="194">
        <v>469100</v>
      </c>
      <c r="J88" s="194">
        <v>0</v>
      </c>
      <c r="K88" s="185" t="s">
        <v>3607</v>
      </c>
      <c r="L88" s="183" t="s">
        <v>3609</v>
      </c>
      <c r="M88" s="183" t="s">
        <v>158</v>
      </c>
      <c r="N88" s="183" t="s">
        <v>158</v>
      </c>
      <c r="O88" s="286" t="s">
        <v>3608</v>
      </c>
    </row>
    <row r="89" spans="1:15" s="182" customFormat="1" ht="21.75" customHeight="1" x14ac:dyDescent="0.15">
      <c r="A89" s="151" t="s">
        <v>3610</v>
      </c>
      <c r="B89" s="20" t="s">
        <v>2373</v>
      </c>
      <c r="C89" s="180" t="s">
        <v>3371</v>
      </c>
      <c r="D89" s="180" t="s">
        <v>3419</v>
      </c>
      <c r="E89" s="45" t="s">
        <v>2374</v>
      </c>
      <c r="F89" s="238" t="s">
        <v>3328</v>
      </c>
      <c r="G89" s="26" t="s">
        <v>3611</v>
      </c>
      <c r="H89" s="284">
        <v>15020</v>
      </c>
      <c r="I89" s="194">
        <v>0</v>
      </c>
      <c r="J89" s="194">
        <v>57000</v>
      </c>
      <c r="K89" s="185">
        <v>0.3</v>
      </c>
      <c r="L89" s="183" t="s">
        <v>1162</v>
      </c>
      <c r="M89" s="179" t="s">
        <v>3612</v>
      </c>
      <c r="N89" s="183" t="s">
        <v>1880</v>
      </c>
      <c r="O89" s="284"/>
    </row>
    <row r="90" spans="1:15" s="182" customFormat="1" ht="21.75" customHeight="1" x14ac:dyDescent="0.15">
      <c r="A90" s="151" t="s">
        <v>3610</v>
      </c>
      <c r="B90" s="20" t="s">
        <v>2373</v>
      </c>
      <c r="C90" s="224" t="s">
        <v>3346</v>
      </c>
      <c r="D90" s="224" t="s">
        <v>3326</v>
      </c>
      <c r="E90" s="234" t="s">
        <v>873</v>
      </c>
      <c r="F90" s="224" t="s">
        <v>3328</v>
      </c>
      <c r="G90" s="239" t="s">
        <v>3613</v>
      </c>
      <c r="H90" s="157">
        <v>18169</v>
      </c>
      <c r="I90" s="194">
        <v>0</v>
      </c>
      <c r="J90" s="194">
        <v>33000</v>
      </c>
      <c r="K90" s="185">
        <v>0.3</v>
      </c>
      <c r="L90" s="183" t="s">
        <v>1162</v>
      </c>
      <c r="M90" s="183" t="s">
        <v>1880</v>
      </c>
      <c r="N90" s="183" t="s">
        <v>1880</v>
      </c>
      <c r="O90" s="157"/>
    </row>
    <row r="91" spans="1:15" s="182" customFormat="1" ht="21.75" customHeight="1" x14ac:dyDescent="0.15">
      <c r="A91" s="151" t="s">
        <v>3614</v>
      </c>
      <c r="B91" s="20" t="s">
        <v>2547</v>
      </c>
      <c r="C91" s="184" t="s">
        <v>3325</v>
      </c>
      <c r="D91" s="184" t="s">
        <v>3360</v>
      </c>
      <c r="E91" s="184" t="s">
        <v>3615</v>
      </c>
      <c r="F91" s="292" t="s">
        <v>3328</v>
      </c>
      <c r="G91" s="235" t="s">
        <v>3574</v>
      </c>
      <c r="H91" s="290">
        <v>19041</v>
      </c>
      <c r="I91" s="194">
        <v>0</v>
      </c>
      <c r="J91" s="194">
        <v>54000</v>
      </c>
      <c r="K91" s="185">
        <v>0.9</v>
      </c>
      <c r="L91" s="183" t="s">
        <v>1147</v>
      </c>
      <c r="M91" s="183" t="s">
        <v>2660</v>
      </c>
      <c r="N91" s="183" t="s">
        <v>2660</v>
      </c>
      <c r="O91" s="290"/>
    </row>
    <row r="92" spans="1:15" s="182" customFormat="1" ht="21.75" customHeight="1" x14ac:dyDescent="0.15">
      <c r="A92" s="151" t="s">
        <v>3616</v>
      </c>
      <c r="B92" s="20" t="s">
        <v>1428</v>
      </c>
      <c r="C92" s="224" t="s">
        <v>3351</v>
      </c>
      <c r="D92" s="224" t="s">
        <v>3352</v>
      </c>
      <c r="E92" s="180" t="s">
        <v>2787</v>
      </c>
      <c r="F92" s="207" t="s">
        <v>3328</v>
      </c>
      <c r="G92" s="235" t="s">
        <v>3381</v>
      </c>
      <c r="H92" s="291">
        <v>18103</v>
      </c>
      <c r="I92" s="194">
        <v>0</v>
      </c>
      <c r="J92" s="194">
        <v>40000</v>
      </c>
      <c r="K92" s="185">
        <v>0.5</v>
      </c>
      <c r="L92" s="183" t="s">
        <v>285</v>
      </c>
      <c r="M92" s="183" t="s">
        <v>158</v>
      </c>
      <c r="N92" s="183" t="s">
        <v>158</v>
      </c>
      <c r="O92" s="291"/>
    </row>
    <row r="93" spans="1:15" s="182" customFormat="1" ht="21.75" customHeight="1" x14ac:dyDescent="0.15">
      <c r="A93" s="151" t="s">
        <v>3616</v>
      </c>
      <c r="B93" s="20" t="s">
        <v>1437</v>
      </c>
      <c r="C93" s="224" t="s">
        <v>3351</v>
      </c>
      <c r="D93" s="224" t="s">
        <v>3352</v>
      </c>
      <c r="E93" s="224" t="s">
        <v>3617</v>
      </c>
      <c r="F93" s="207" t="s">
        <v>3328</v>
      </c>
      <c r="G93" s="235" t="s">
        <v>3381</v>
      </c>
      <c r="H93" s="293">
        <v>18108</v>
      </c>
      <c r="I93" s="194">
        <v>0</v>
      </c>
      <c r="J93" s="194">
        <v>40000</v>
      </c>
      <c r="K93" s="185">
        <v>0.5</v>
      </c>
      <c r="L93" s="183" t="s">
        <v>285</v>
      </c>
      <c r="M93" s="183" t="s">
        <v>158</v>
      </c>
      <c r="N93" s="183" t="s">
        <v>158</v>
      </c>
      <c r="O93" s="293"/>
    </row>
    <row r="94" spans="1:15" s="182" customFormat="1" ht="21.75" customHeight="1" x14ac:dyDescent="0.15">
      <c r="A94" s="151" t="s">
        <v>3618</v>
      </c>
      <c r="B94" s="20" t="s">
        <v>3012</v>
      </c>
      <c r="C94" s="224" t="s">
        <v>3346</v>
      </c>
      <c r="D94" s="234" t="s">
        <v>3622</v>
      </c>
      <c r="E94" s="207" t="s">
        <v>3015</v>
      </c>
      <c r="F94" s="207" t="s">
        <v>3579</v>
      </c>
      <c r="G94" s="240" t="s">
        <v>3623</v>
      </c>
      <c r="H94" s="294">
        <v>18053</v>
      </c>
      <c r="I94" s="194">
        <v>0</v>
      </c>
      <c r="J94" s="194">
        <v>2618.88</v>
      </c>
      <c r="K94" s="185" t="s">
        <v>3624</v>
      </c>
      <c r="L94" s="183" t="s">
        <v>2769</v>
      </c>
      <c r="M94" s="183" t="s">
        <v>1880</v>
      </c>
      <c r="N94" s="183" t="s">
        <v>1880</v>
      </c>
      <c r="O94" s="294"/>
    </row>
    <row r="95" spans="1:15" s="182" customFormat="1" ht="21.75" customHeight="1" x14ac:dyDescent="0.15">
      <c r="A95" s="151" t="s">
        <v>3619</v>
      </c>
      <c r="B95" s="20" t="s">
        <v>1441</v>
      </c>
      <c r="C95" s="224" t="s">
        <v>3351</v>
      </c>
      <c r="D95" s="224" t="s">
        <v>3352</v>
      </c>
      <c r="E95" s="180" t="s">
        <v>2784</v>
      </c>
      <c r="F95" s="207" t="s">
        <v>3328</v>
      </c>
      <c r="G95" s="235" t="s">
        <v>3381</v>
      </c>
      <c r="H95" s="294">
        <v>18101</v>
      </c>
      <c r="I95" s="194">
        <v>0</v>
      </c>
      <c r="J95" s="194">
        <v>40000</v>
      </c>
      <c r="K95" s="185">
        <v>0.5</v>
      </c>
      <c r="L95" s="183" t="s">
        <v>285</v>
      </c>
      <c r="M95" s="183" t="s">
        <v>158</v>
      </c>
      <c r="N95" s="183" t="s">
        <v>158</v>
      </c>
      <c r="O95" s="294"/>
    </row>
    <row r="96" spans="1:15" s="182" customFormat="1" ht="21.75" customHeight="1" x14ac:dyDescent="0.15">
      <c r="A96" s="151" t="s">
        <v>3620</v>
      </c>
      <c r="B96" s="20" t="s">
        <v>3012</v>
      </c>
      <c r="C96" s="224" t="s">
        <v>3346</v>
      </c>
      <c r="D96" s="234" t="s">
        <v>3622</v>
      </c>
      <c r="E96" s="207" t="s">
        <v>3015</v>
      </c>
      <c r="F96" s="207" t="s">
        <v>3579</v>
      </c>
      <c r="G96" s="240" t="s">
        <v>3623</v>
      </c>
      <c r="H96" s="295">
        <v>18053</v>
      </c>
      <c r="I96" s="194">
        <v>112881.12</v>
      </c>
      <c r="J96" s="194">
        <v>0</v>
      </c>
      <c r="K96" s="185" t="s">
        <v>3625</v>
      </c>
      <c r="L96" s="183" t="s">
        <v>3550</v>
      </c>
      <c r="M96" s="183" t="s">
        <v>1880</v>
      </c>
      <c r="N96" s="183" t="s">
        <v>1880</v>
      </c>
      <c r="O96" s="295" t="s">
        <v>3621</v>
      </c>
    </row>
    <row r="97" spans="1:15" s="182" customFormat="1" ht="21.75" customHeight="1" x14ac:dyDescent="0.15">
      <c r="A97" s="151" t="s">
        <v>3620</v>
      </c>
      <c r="B97" s="20" t="s">
        <v>201</v>
      </c>
      <c r="C97" s="236" t="s">
        <v>3627</v>
      </c>
      <c r="D97" s="296" t="s">
        <v>3419</v>
      </c>
      <c r="E97" s="236" t="s">
        <v>3628</v>
      </c>
      <c r="F97" s="207" t="s">
        <v>3328</v>
      </c>
      <c r="G97" s="242" t="s">
        <v>3629</v>
      </c>
      <c r="H97" s="296">
        <v>17151</v>
      </c>
      <c r="I97" s="194">
        <v>0</v>
      </c>
      <c r="J97" s="194">
        <v>100000</v>
      </c>
      <c r="K97" s="185">
        <v>1</v>
      </c>
      <c r="L97" s="183" t="s">
        <v>1948</v>
      </c>
      <c r="M97" s="183" t="s">
        <v>158</v>
      </c>
      <c r="N97" s="183" t="s">
        <v>158</v>
      </c>
      <c r="O97" s="296"/>
    </row>
    <row r="98" spans="1:15" s="182" customFormat="1" ht="21.75" customHeight="1" x14ac:dyDescent="0.15">
      <c r="A98" s="151" t="s">
        <v>3626</v>
      </c>
      <c r="B98" s="20" t="s">
        <v>192</v>
      </c>
      <c r="C98" s="224" t="s">
        <v>3325</v>
      </c>
      <c r="D98" s="224" t="s">
        <v>3352</v>
      </c>
      <c r="E98" s="180" t="s">
        <v>3630</v>
      </c>
      <c r="F98" s="224" t="s">
        <v>3328</v>
      </c>
      <c r="G98" s="239" t="s">
        <v>3349</v>
      </c>
      <c r="H98" s="296">
        <v>18199</v>
      </c>
      <c r="I98" s="194">
        <v>0</v>
      </c>
      <c r="J98" s="194">
        <v>170000</v>
      </c>
      <c r="K98" s="185">
        <v>1</v>
      </c>
      <c r="L98" s="183" t="s">
        <v>285</v>
      </c>
      <c r="M98" s="183" t="s">
        <v>2660</v>
      </c>
      <c r="N98" s="183" t="s">
        <v>2660</v>
      </c>
      <c r="O98" s="296"/>
    </row>
    <row r="99" spans="1:15" s="182" customFormat="1" ht="21.75" customHeight="1" x14ac:dyDescent="0.15">
      <c r="A99" s="151" t="s">
        <v>3631</v>
      </c>
      <c r="B99" s="20" t="s">
        <v>359</v>
      </c>
      <c r="C99" s="297" t="s">
        <v>3346</v>
      </c>
      <c r="D99" s="297" t="s">
        <v>3354</v>
      </c>
      <c r="E99" s="297" t="s">
        <v>3565</v>
      </c>
      <c r="F99" s="184" t="s">
        <v>3328</v>
      </c>
      <c r="G99" s="235" t="s">
        <v>3566</v>
      </c>
      <c r="H99" s="297">
        <v>19009</v>
      </c>
      <c r="I99" s="194">
        <v>0</v>
      </c>
      <c r="J99" s="194">
        <v>57868</v>
      </c>
      <c r="K99" s="185" t="s">
        <v>3632</v>
      </c>
      <c r="L99" s="183" t="s">
        <v>285</v>
      </c>
      <c r="M99" s="183" t="s">
        <v>1784</v>
      </c>
      <c r="N99" s="183" t="s">
        <v>1784</v>
      </c>
      <c r="O99" s="297"/>
    </row>
    <row r="100" spans="1:15" s="182" customFormat="1" ht="21.75" customHeight="1" x14ac:dyDescent="0.15">
      <c r="A100" s="151" t="s">
        <v>3631</v>
      </c>
      <c r="B100" s="20" t="s">
        <v>2373</v>
      </c>
      <c r="C100" s="183" t="s">
        <v>3633</v>
      </c>
      <c r="D100" s="298" t="s">
        <v>3419</v>
      </c>
      <c r="E100" s="45" t="s">
        <v>3634</v>
      </c>
      <c r="F100" s="184" t="s">
        <v>3332</v>
      </c>
      <c r="G100" s="235" t="s">
        <v>3349</v>
      </c>
      <c r="H100" s="297">
        <v>16107</v>
      </c>
      <c r="I100" s="194">
        <v>0</v>
      </c>
      <c r="J100" s="194">
        <v>150000</v>
      </c>
      <c r="K100" s="185">
        <v>1</v>
      </c>
      <c r="L100" s="183" t="s">
        <v>285</v>
      </c>
      <c r="M100" s="183" t="s">
        <v>155</v>
      </c>
      <c r="N100" s="183" t="s">
        <v>1880</v>
      </c>
      <c r="O100" s="297"/>
    </row>
    <row r="101" spans="1:15" s="182" customFormat="1" ht="21.75" customHeight="1" x14ac:dyDescent="0.15">
      <c r="A101" s="151" t="s">
        <v>3631</v>
      </c>
      <c r="B101" s="20" t="s">
        <v>3527</v>
      </c>
      <c r="C101" s="299" t="s">
        <v>3351</v>
      </c>
      <c r="D101" s="236" t="s">
        <v>3354</v>
      </c>
      <c r="E101" s="299" t="s">
        <v>3635</v>
      </c>
      <c r="F101" s="184" t="s">
        <v>3328</v>
      </c>
      <c r="G101" s="235" t="s">
        <v>3341</v>
      </c>
      <c r="H101" s="299">
        <v>19011</v>
      </c>
      <c r="I101" s="194">
        <v>0</v>
      </c>
      <c r="J101" s="194">
        <v>75000</v>
      </c>
      <c r="K101" s="185">
        <v>0.25</v>
      </c>
      <c r="L101" s="183" t="s">
        <v>285</v>
      </c>
      <c r="M101" s="183" t="s">
        <v>158</v>
      </c>
      <c r="N101" s="183" t="s">
        <v>158</v>
      </c>
      <c r="O101" s="299"/>
    </row>
    <row r="102" spans="1:15" s="182" customFormat="1" ht="21.75" customHeight="1" x14ac:dyDescent="0.15">
      <c r="A102" s="151" t="s">
        <v>3631</v>
      </c>
      <c r="B102" s="20" t="s">
        <v>360</v>
      </c>
      <c r="C102" s="224" t="s">
        <v>3346</v>
      </c>
      <c r="D102" s="224" t="s">
        <v>3637</v>
      </c>
      <c r="E102" s="224" t="s">
        <v>596</v>
      </c>
      <c r="F102" s="224" t="s">
        <v>3328</v>
      </c>
      <c r="G102" s="239" t="s">
        <v>3349</v>
      </c>
      <c r="H102" s="299">
        <v>18139</v>
      </c>
      <c r="I102" s="194">
        <v>0</v>
      </c>
      <c r="J102" s="194">
        <v>40000</v>
      </c>
      <c r="K102" s="185">
        <v>0.5</v>
      </c>
      <c r="L102" s="183" t="s">
        <v>285</v>
      </c>
      <c r="M102" s="183" t="s">
        <v>1880</v>
      </c>
      <c r="N102" s="183" t="s">
        <v>1880</v>
      </c>
      <c r="O102" s="299"/>
    </row>
    <row r="103" spans="1:15" s="182" customFormat="1" ht="21.75" customHeight="1" x14ac:dyDescent="0.15">
      <c r="A103" s="151" t="s">
        <v>3636</v>
      </c>
      <c r="B103" s="20" t="s">
        <v>167</v>
      </c>
      <c r="C103" s="224" t="s">
        <v>3346</v>
      </c>
      <c r="D103" s="224" t="s">
        <v>3637</v>
      </c>
      <c r="E103" s="224" t="s">
        <v>596</v>
      </c>
      <c r="F103" s="224" t="s">
        <v>3328</v>
      </c>
      <c r="G103" s="239" t="s">
        <v>3349</v>
      </c>
      <c r="H103" s="300">
        <v>18139</v>
      </c>
      <c r="I103" s="194">
        <v>0</v>
      </c>
      <c r="J103" s="194">
        <v>40000</v>
      </c>
      <c r="K103" s="185">
        <v>0.5</v>
      </c>
      <c r="L103" s="183" t="s">
        <v>285</v>
      </c>
      <c r="M103" s="183" t="s">
        <v>1880</v>
      </c>
      <c r="N103" s="183" t="s">
        <v>1880</v>
      </c>
      <c r="O103" s="300"/>
    </row>
    <row r="104" spans="1:15" s="182" customFormat="1" ht="21.75" customHeight="1" x14ac:dyDescent="0.15">
      <c r="A104" s="151" t="s">
        <v>3636</v>
      </c>
      <c r="B104" s="20" t="s">
        <v>364</v>
      </c>
      <c r="C104" s="300" t="s">
        <v>3325</v>
      </c>
      <c r="D104" s="236" t="s">
        <v>3360</v>
      </c>
      <c r="E104" s="30" t="s">
        <v>3638</v>
      </c>
      <c r="F104" s="184" t="s">
        <v>3355</v>
      </c>
      <c r="G104" s="235" t="s">
        <v>3639</v>
      </c>
      <c r="H104" s="178" t="s">
        <v>3640</v>
      </c>
      <c r="I104" s="194">
        <v>0</v>
      </c>
      <c r="J104" s="194">
        <v>79879.31</v>
      </c>
      <c r="K104" s="185">
        <v>1</v>
      </c>
      <c r="L104" s="183" t="s">
        <v>1948</v>
      </c>
      <c r="M104" s="183" t="s">
        <v>2660</v>
      </c>
      <c r="N104" s="183" t="s">
        <v>2660</v>
      </c>
      <c r="O104" s="300"/>
    </row>
    <row r="105" spans="1:15" s="182" customFormat="1" ht="21.75" customHeight="1" x14ac:dyDescent="0.15">
      <c r="A105" s="151" t="s">
        <v>3636</v>
      </c>
      <c r="B105" s="20" t="s">
        <v>364</v>
      </c>
      <c r="C105" s="300" t="s">
        <v>3325</v>
      </c>
      <c r="D105" s="236" t="s">
        <v>3360</v>
      </c>
      <c r="E105" s="30" t="s">
        <v>3638</v>
      </c>
      <c r="F105" s="184" t="s">
        <v>3328</v>
      </c>
      <c r="G105" s="235" t="s">
        <v>3336</v>
      </c>
      <c r="H105" s="178" t="s">
        <v>3641</v>
      </c>
      <c r="I105" s="194">
        <v>0</v>
      </c>
      <c r="J105" s="194">
        <v>36043.11</v>
      </c>
      <c r="K105" s="185">
        <v>1</v>
      </c>
      <c r="L105" s="183" t="s">
        <v>1948</v>
      </c>
      <c r="M105" s="183" t="s">
        <v>2660</v>
      </c>
      <c r="N105" s="183" t="s">
        <v>2660</v>
      </c>
      <c r="O105" s="300"/>
    </row>
    <row r="106" spans="1:15" s="182" customFormat="1" ht="21.75" customHeight="1" x14ac:dyDescent="0.15">
      <c r="A106" s="151" t="s">
        <v>3642</v>
      </c>
      <c r="B106" s="20" t="s">
        <v>1433</v>
      </c>
      <c r="C106" s="224" t="s">
        <v>3351</v>
      </c>
      <c r="D106" s="224" t="s">
        <v>3352</v>
      </c>
      <c r="E106" s="180" t="s">
        <v>3643</v>
      </c>
      <c r="F106" s="207" t="s">
        <v>3340</v>
      </c>
      <c r="G106" s="235" t="s">
        <v>3381</v>
      </c>
      <c r="H106" s="301">
        <v>18107</v>
      </c>
      <c r="I106" s="194">
        <v>0</v>
      </c>
      <c r="J106" s="194">
        <v>40000</v>
      </c>
      <c r="K106" s="185">
        <v>0.5</v>
      </c>
      <c r="L106" s="183" t="s">
        <v>285</v>
      </c>
      <c r="M106" s="183" t="s">
        <v>158</v>
      </c>
      <c r="N106" s="183" t="s">
        <v>158</v>
      </c>
      <c r="O106" s="301"/>
    </row>
    <row r="107" spans="1:15" s="182" customFormat="1" ht="21.75" customHeight="1" x14ac:dyDescent="0.15">
      <c r="A107" s="151" t="s">
        <v>3642</v>
      </c>
      <c r="B107" s="20" t="s">
        <v>1439</v>
      </c>
      <c r="C107" s="224" t="s">
        <v>3351</v>
      </c>
      <c r="D107" s="224" t="s">
        <v>3352</v>
      </c>
      <c r="E107" s="180" t="s">
        <v>2794</v>
      </c>
      <c r="F107" s="207" t="s">
        <v>3340</v>
      </c>
      <c r="G107" s="235" t="s">
        <v>3381</v>
      </c>
      <c r="H107" s="301">
        <v>18102</v>
      </c>
      <c r="I107" s="194">
        <v>0</v>
      </c>
      <c r="J107" s="194">
        <v>40000</v>
      </c>
      <c r="K107" s="185">
        <v>0.5</v>
      </c>
      <c r="L107" s="183" t="s">
        <v>285</v>
      </c>
      <c r="M107" s="183" t="s">
        <v>158</v>
      </c>
      <c r="N107" s="183" t="s">
        <v>158</v>
      </c>
      <c r="O107" s="301"/>
    </row>
    <row r="108" spans="1:15" s="182" customFormat="1" ht="21.75" customHeight="1" x14ac:dyDescent="0.15">
      <c r="A108" s="151" t="s">
        <v>3642</v>
      </c>
      <c r="B108" s="20" t="s">
        <v>1431</v>
      </c>
      <c r="C108" s="224" t="s">
        <v>3351</v>
      </c>
      <c r="D108" s="224" t="s">
        <v>3352</v>
      </c>
      <c r="E108" s="45" t="s">
        <v>2796</v>
      </c>
      <c r="F108" s="207" t="s">
        <v>3328</v>
      </c>
      <c r="G108" s="235" t="s">
        <v>3381</v>
      </c>
      <c r="H108" s="301">
        <v>18104</v>
      </c>
      <c r="I108" s="194">
        <v>0</v>
      </c>
      <c r="J108" s="194">
        <v>40000</v>
      </c>
      <c r="K108" s="185">
        <v>0.5</v>
      </c>
      <c r="L108" s="183" t="s">
        <v>285</v>
      </c>
      <c r="M108" s="183" t="s">
        <v>158</v>
      </c>
      <c r="N108" s="183" t="s">
        <v>158</v>
      </c>
      <c r="O108" s="301"/>
    </row>
    <row r="109" spans="1:15" s="182" customFormat="1" ht="21.75" customHeight="1" x14ac:dyDescent="0.15">
      <c r="A109" s="151" t="s">
        <v>3642</v>
      </c>
      <c r="B109" s="20" t="s">
        <v>1394</v>
      </c>
      <c r="C109" s="184" t="s">
        <v>3351</v>
      </c>
      <c r="D109" s="184" t="s">
        <v>3352</v>
      </c>
      <c r="E109" s="184" t="s">
        <v>3644</v>
      </c>
      <c r="F109" s="292" t="s">
        <v>3328</v>
      </c>
      <c r="G109" s="235" t="s">
        <v>3336</v>
      </c>
      <c r="H109" s="301">
        <v>19050</v>
      </c>
      <c r="I109" s="194">
        <v>0</v>
      </c>
      <c r="J109" s="194">
        <v>137037.5</v>
      </c>
      <c r="K109" s="185">
        <v>0.95</v>
      </c>
      <c r="L109" s="183" t="s">
        <v>3209</v>
      </c>
      <c r="M109" s="183" t="s">
        <v>158</v>
      </c>
      <c r="N109" s="183" t="s">
        <v>158</v>
      </c>
      <c r="O109" s="301"/>
    </row>
    <row r="110" spans="1:15" s="182" customFormat="1" ht="21.75" customHeight="1" x14ac:dyDescent="0.15">
      <c r="A110" s="151" t="s">
        <v>3642</v>
      </c>
      <c r="B110" s="20" t="s">
        <v>1394</v>
      </c>
      <c r="C110" s="224" t="s">
        <v>3351</v>
      </c>
      <c r="D110" s="224" t="s">
        <v>3352</v>
      </c>
      <c r="E110" s="234" t="s">
        <v>3644</v>
      </c>
      <c r="F110" s="224" t="s">
        <v>3328</v>
      </c>
      <c r="G110" s="239" t="s">
        <v>3645</v>
      </c>
      <c r="H110" s="301">
        <v>18198</v>
      </c>
      <c r="I110" s="194">
        <v>0</v>
      </c>
      <c r="J110" s="194">
        <v>165989.41</v>
      </c>
      <c r="K110" s="185" t="s">
        <v>3646</v>
      </c>
      <c r="L110" s="183" t="s">
        <v>2618</v>
      </c>
      <c r="M110" s="183" t="s">
        <v>158</v>
      </c>
      <c r="N110" s="183" t="s">
        <v>158</v>
      </c>
      <c r="O110" s="301"/>
    </row>
    <row r="111" spans="1:15" s="182" customFormat="1" ht="21.75" customHeight="1" x14ac:dyDescent="0.15">
      <c r="A111" s="151" t="s">
        <v>3642</v>
      </c>
      <c r="B111" s="20" t="s">
        <v>359</v>
      </c>
      <c r="C111" s="302" t="s">
        <v>3346</v>
      </c>
      <c r="D111" s="302" t="s">
        <v>3354</v>
      </c>
      <c r="E111" s="309" t="s">
        <v>3675</v>
      </c>
      <c r="F111" s="184" t="s">
        <v>3328</v>
      </c>
      <c r="G111" s="235" t="s">
        <v>3566</v>
      </c>
      <c r="H111" s="290">
        <v>19010</v>
      </c>
      <c r="I111" s="194">
        <v>0</v>
      </c>
      <c r="J111" s="194">
        <v>57868</v>
      </c>
      <c r="K111" s="185" t="s">
        <v>3632</v>
      </c>
      <c r="L111" s="183" t="s">
        <v>285</v>
      </c>
      <c r="M111" s="183" t="s">
        <v>1784</v>
      </c>
      <c r="N111" s="183" t="s">
        <v>1784</v>
      </c>
      <c r="O111" s="290"/>
    </row>
    <row r="112" spans="1:15" s="182" customFormat="1" ht="21.75" customHeight="1" x14ac:dyDescent="0.15">
      <c r="A112" s="151" t="s">
        <v>3642</v>
      </c>
      <c r="B112" s="20" t="s">
        <v>2423</v>
      </c>
      <c r="C112" s="303" t="s">
        <v>3376</v>
      </c>
      <c r="D112" s="303" t="s">
        <v>3377</v>
      </c>
      <c r="E112" s="180" t="s">
        <v>3648</v>
      </c>
      <c r="F112" s="180" t="s">
        <v>3328</v>
      </c>
      <c r="G112" s="26" t="s">
        <v>3378</v>
      </c>
      <c r="H112" s="303">
        <v>17074</v>
      </c>
      <c r="I112" s="194">
        <v>198437.4</v>
      </c>
      <c r="J112" s="194">
        <v>0</v>
      </c>
      <c r="K112" s="185" t="s">
        <v>3649</v>
      </c>
      <c r="L112" s="183" t="s">
        <v>3650</v>
      </c>
      <c r="M112" s="183" t="s">
        <v>170</v>
      </c>
      <c r="N112" s="183" t="s">
        <v>170</v>
      </c>
      <c r="O112" s="226" t="s">
        <v>3647</v>
      </c>
    </row>
    <row r="113" spans="1:15" s="182" customFormat="1" ht="21.75" customHeight="1" x14ac:dyDescent="0.15">
      <c r="A113" s="151" t="s">
        <v>3651</v>
      </c>
      <c r="B113" s="20" t="s">
        <v>3012</v>
      </c>
      <c r="C113" s="224" t="s">
        <v>3346</v>
      </c>
      <c r="D113" s="234" t="s">
        <v>3622</v>
      </c>
      <c r="E113" s="207" t="s">
        <v>3015</v>
      </c>
      <c r="F113" s="207" t="s">
        <v>3579</v>
      </c>
      <c r="G113" s="240" t="s">
        <v>3623</v>
      </c>
      <c r="H113" s="304">
        <v>18053</v>
      </c>
      <c r="I113" s="194">
        <v>111882.12</v>
      </c>
      <c r="J113" s="194">
        <v>0</v>
      </c>
      <c r="K113" s="185" t="s">
        <v>3625</v>
      </c>
      <c r="L113" s="183" t="s">
        <v>3550</v>
      </c>
      <c r="M113" s="183" t="s">
        <v>1880</v>
      </c>
      <c r="N113" s="183" t="s">
        <v>1880</v>
      </c>
      <c r="O113" s="226" t="s">
        <v>3708</v>
      </c>
    </row>
    <row r="114" spans="1:15" s="182" customFormat="1" ht="21.75" customHeight="1" x14ac:dyDescent="0.15">
      <c r="A114" s="151" t="s">
        <v>3652</v>
      </c>
      <c r="B114" s="20" t="s">
        <v>3002</v>
      </c>
      <c r="C114" s="224" t="s">
        <v>3337</v>
      </c>
      <c r="D114" s="224" t="s">
        <v>3338</v>
      </c>
      <c r="E114" s="224" t="s">
        <v>3339</v>
      </c>
      <c r="F114" s="224" t="s">
        <v>3340</v>
      </c>
      <c r="G114" s="239" t="s">
        <v>3341</v>
      </c>
      <c r="H114" s="304">
        <v>18163</v>
      </c>
      <c r="I114" s="194">
        <v>0</v>
      </c>
      <c r="J114" s="194">
        <v>40000</v>
      </c>
      <c r="K114" s="185">
        <v>0.25</v>
      </c>
      <c r="L114" s="183" t="s">
        <v>285</v>
      </c>
      <c r="M114" s="183" t="s">
        <v>190</v>
      </c>
      <c r="N114" s="183" t="s">
        <v>190</v>
      </c>
      <c r="O114" s="304"/>
    </row>
    <row r="115" spans="1:15" s="182" customFormat="1" ht="21.75" customHeight="1" x14ac:dyDescent="0.15">
      <c r="A115" s="151" t="s">
        <v>3652</v>
      </c>
      <c r="B115" s="20" t="s">
        <v>3653</v>
      </c>
      <c r="C115" s="184" t="s">
        <v>3598</v>
      </c>
      <c r="D115" s="184" t="s">
        <v>3326</v>
      </c>
      <c r="E115" s="184" t="s">
        <v>3654</v>
      </c>
      <c r="F115" s="207" t="s">
        <v>3328</v>
      </c>
      <c r="G115" s="235" t="s">
        <v>3381</v>
      </c>
      <c r="H115" s="304">
        <v>19071</v>
      </c>
      <c r="I115" s="194">
        <v>0</v>
      </c>
      <c r="J115" s="194">
        <v>115000</v>
      </c>
      <c r="K115" s="185">
        <v>1</v>
      </c>
      <c r="L115" s="183" t="s">
        <v>285</v>
      </c>
      <c r="M115" s="183" t="s">
        <v>3388</v>
      </c>
      <c r="N115" s="183" t="s">
        <v>3388</v>
      </c>
      <c r="O115" s="304"/>
    </row>
    <row r="116" spans="1:15" s="182" customFormat="1" ht="21.75" customHeight="1" x14ac:dyDescent="0.15">
      <c r="A116" s="151" t="s">
        <v>3655</v>
      </c>
      <c r="B116" s="20" t="s">
        <v>1869</v>
      </c>
      <c r="C116" s="305" t="s">
        <v>3664</v>
      </c>
      <c r="D116" s="305" t="s">
        <v>3516</v>
      </c>
      <c r="E116" s="305" t="s">
        <v>2687</v>
      </c>
      <c r="F116" s="184" t="s">
        <v>3332</v>
      </c>
      <c r="G116" s="235" t="s">
        <v>3381</v>
      </c>
      <c r="H116" s="305">
        <v>18019</v>
      </c>
      <c r="I116" s="194">
        <v>0</v>
      </c>
      <c r="J116" s="194">
        <v>104857.18</v>
      </c>
      <c r="K116" s="185" t="s">
        <v>3665</v>
      </c>
      <c r="L116" s="183" t="s">
        <v>285</v>
      </c>
      <c r="M116" s="183" t="s">
        <v>170</v>
      </c>
      <c r="N116" s="183" t="s">
        <v>170</v>
      </c>
      <c r="O116" s="305"/>
    </row>
    <row r="117" spans="1:15" s="182" customFormat="1" ht="21.75" customHeight="1" x14ac:dyDescent="0.15">
      <c r="A117" s="151" t="s">
        <v>3655</v>
      </c>
      <c r="B117" s="20" t="s">
        <v>627</v>
      </c>
      <c r="C117" s="236" t="s">
        <v>3659</v>
      </c>
      <c r="D117" s="236" t="s">
        <v>3516</v>
      </c>
      <c r="E117" s="180" t="s">
        <v>3667</v>
      </c>
      <c r="F117" s="207" t="s">
        <v>3661</v>
      </c>
      <c r="G117" s="306" t="s">
        <v>3662</v>
      </c>
      <c r="H117" s="305" t="s">
        <v>3666</v>
      </c>
      <c r="I117" s="194">
        <v>0</v>
      </c>
      <c r="J117" s="194">
        <v>106228.29</v>
      </c>
      <c r="K117" s="185" t="s">
        <v>3668</v>
      </c>
      <c r="L117" s="183" t="s">
        <v>285</v>
      </c>
      <c r="M117" s="183" t="s">
        <v>170</v>
      </c>
      <c r="N117" s="183" t="s">
        <v>170</v>
      </c>
      <c r="O117" s="305"/>
    </row>
    <row r="118" spans="1:15" s="182" customFormat="1" ht="21.75" customHeight="1" x14ac:dyDescent="0.15">
      <c r="A118" s="151" t="s">
        <v>3656</v>
      </c>
      <c r="B118" s="20" t="s">
        <v>3657</v>
      </c>
      <c r="C118" s="236" t="s">
        <v>3659</v>
      </c>
      <c r="D118" s="236" t="s">
        <v>3516</v>
      </c>
      <c r="E118" s="180" t="s">
        <v>3660</v>
      </c>
      <c r="F118" s="207" t="s">
        <v>3661</v>
      </c>
      <c r="G118" s="306" t="s">
        <v>3662</v>
      </c>
      <c r="H118" s="305" t="s">
        <v>3658</v>
      </c>
      <c r="I118" s="194">
        <v>0</v>
      </c>
      <c r="J118" s="194">
        <v>18937.89</v>
      </c>
      <c r="K118" s="185" t="s">
        <v>3663</v>
      </c>
      <c r="L118" s="183" t="s">
        <v>285</v>
      </c>
      <c r="M118" s="183" t="s">
        <v>170</v>
      </c>
      <c r="N118" s="183" t="s">
        <v>170</v>
      </c>
      <c r="O118" s="305"/>
    </row>
    <row r="119" spans="1:15" s="182" customFormat="1" ht="21.75" customHeight="1" x14ac:dyDescent="0.15">
      <c r="A119" s="151" t="s">
        <v>3669</v>
      </c>
      <c r="B119" s="20" t="s">
        <v>36</v>
      </c>
      <c r="C119" s="236" t="s">
        <v>3346</v>
      </c>
      <c r="D119" s="236" t="s">
        <v>3637</v>
      </c>
      <c r="E119" s="236" t="s">
        <v>596</v>
      </c>
      <c r="F119" s="292" t="s">
        <v>3328</v>
      </c>
      <c r="G119" s="235" t="s">
        <v>3670</v>
      </c>
      <c r="H119" s="305">
        <v>19066</v>
      </c>
      <c r="I119" s="194">
        <v>0</v>
      </c>
      <c r="J119" s="194">
        <v>30000</v>
      </c>
      <c r="K119" s="185">
        <v>1</v>
      </c>
      <c r="L119" s="183" t="s">
        <v>1948</v>
      </c>
      <c r="M119" s="183" t="s">
        <v>1880</v>
      </c>
      <c r="N119" s="183" t="s">
        <v>1880</v>
      </c>
      <c r="O119" s="305"/>
    </row>
    <row r="120" spans="1:15" s="182" customFormat="1" ht="21.75" customHeight="1" x14ac:dyDescent="0.15">
      <c r="A120" s="151" t="s">
        <v>3671</v>
      </c>
      <c r="B120" s="20" t="s">
        <v>1428</v>
      </c>
      <c r="C120" s="224" t="s">
        <v>3351</v>
      </c>
      <c r="D120" s="224" t="s">
        <v>3352</v>
      </c>
      <c r="E120" s="180" t="s">
        <v>2788</v>
      </c>
      <c r="F120" s="207" t="s">
        <v>3340</v>
      </c>
      <c r="G120" s="235" t="s">
        <v>3381</v>
      </c>
      <c r="H120" s="307">
        <v>18105</v>
      </c>
      <c r="I120" s="194">
        <v>0</v>
      </c>
      <c r="J120" s="194">
        <v>40000</v>
      </c>
      <c r="K120" s="185">
        <v>0.5</v>
      </c>
      <c r="L120" s="183" t="s">
        <v>285</v>
      </c>
      <c r="M120" s="183" t="s">
        <v>158</v>
      </c>
      <c r="N120" s="183" t="s">
        <v>158</v>
      </c>
      <c r="O120" s="307"/>
    </row>
    <row r="121" spans="1:15" s="182" customFormat="1" ht="21.75" customHeight="1" x14ac:dyDescent="0.15">
      <c r="A121" s="151" t="s">
        <v>3672</v>
      </c>
      <c r="B121" s="20" t="s">
        <v>2578</v>
      </c>
      <c r="C121" s="164" t="s">
        <v>3325</v>
      </c>
      <c r="D121" s="164" t="s">
        <v>3673</v>
      </c>
      <c r="E121" s="225" t="s">
        <v>3674</v>
      </c>
      <c r="F121" s="184" t="s">
        <v>3328</v>
      </c>
      <c r="G121" s="235" t="s">
        <v>3349</v>
      </c>
      <c r="H121" s="308">
        <v>18035</v>
      </c>
      <c r="I121" s="194">
        <v>0</v>
      </c>
      <c r="J121" s="194">
        <v>30000</v>
      </c>
      <c r="K121" s="185">
        <v>0.3</v>
      </c>
      <c r="L121" s="183" t="s">
        <v>285</v>
      </c>
      <c r="M121" s="183" t="s">
        <v>2443</v>
      </c>
      <c r="N121" s="183" t="s">
        <v>2660</v>
      </c>
      <c r="O121" s="308"/>
    </row>
    <row r="122" spans="1:15" s="182" customFormat="1" ht="21.75" customHeight="1" x14ac:dyDescent="0.15">
      <c r="A122" s="151" t="s">
        <v>3679</v>
      </c>
      <c r="B122" s="20" t="s">
        <v>3164</v>
      </c>
      <c r="C122" s="310" t="s">
        <v>3351</v>
      </c>
      <c r="D122" s="310" t="s">
        <v>3352</v>
      </c>
      <c r="E122" s="180" t="s">
        <v>3676</v>
      </c>
      <c r="F122" s="312" t="s">
        <v>3340</v>
      </c>
      <c r="G122" s="242" t="s">
        <v>3677</v>
      </c>
      <c r="H122" s="310">
        <v>17047</v>
      </c>
      <c r="I122" s="194">
        <v>0</v>
      </c>
      <c r="J122" s="194">
        <v>10900</v>
      </c>
      <c r="K122" s="185" t="s">
        <v>3678</v>
      </c>
      <c r="L122" s="183" t="s">
        <v>1948</v>
      </c>
      <c r="M122" s="183" t="s">
        <v>158</v>
      </c>
      <c r="N122" s="183" t="s">
        <v>158</v>
      </c>
      <c r="O122" s="310"/>
    </row>
    <row r="123" spans="1:15" s="182" customFormat="1" ht="21.75" customHeight="1" x14ac:dyDescent="0.15">
      <c r="A123" s="151" t="s">
        <v>3680</v>
      </c>
      <c r="B123" s="20" t="s">
        <v>1562</v>
      </c>
      <c r="C123" s="311" t="s">
        <v>3376</v>
      </c>
      <c r="D123" s="311" t="s">
        <v>3682</v>
      </c>
      <c r="E123" s="180" t="s">
        <v>3683</v>
      </c>
      <c r="F123" s="207" t="s">
        <v>3684</v>
      </c>
      <c r="G123" s="306" t="s">
        <v>3685</v>
      </c>
      <c r="H123" s="311" t="s">
        <v>3681</v>
      </c>
      <c r="I123" s="194">
        <v>0</v>
      </c>
      <c r="J123" s="194">
        <v>70000</v>
      </c>
      <c r="K123" s="185">
        <v>1</v>
      </c>
      <c r="L123" s="183" t="s">
        <v>285</v>
      </c>
      <c r="M123" s="183" t="s">
        <v>170</v>
      </c>
      <c r="N123" s="183" t="s">
        <v>170</v>
      </c>
      <c r="O123" s="311"/>
    </row>
    <row r="124" spans="1:15" s="182" customFormat="1" ht="21.75" customHeight="1" x14ac:dyDescent="0.15">
      <c r="A124" s="151" t="s">
        <v>3680</v>
      </c>
      <c r="B124" s="20" t="s">
        <v>359</v>
      </c>
      <c r="C124" s="311" t="s">
        <v>3346</v>
      </c>
      <c r="D124" s="311" t="s">
        <v>3354</v>
      </c>
      <c r="E124" s="311" t="s">
        <v>3675</v>
      </c>
      <c r="F124" s="184" t="s">
        <v>3328</v>
      </c>
      <c r="G124" s="235" t="s">
        <v>3566</v>
      </c>
      <c r="H124" s="311">
        <v>19010</v>
      </c>
      <c r="I124" s="194">
        <v>0</v>
      </c>
      <c r="J124" s="194">
        <v>28934</v>
      </c>
      <c r="K124" s="185" t="s">
        <v>3593</v>
      </c>
      <c r="L124" s="183" t="s">
        <v>285</v>
      </c>
      <c r="M124" s="183" t="s">
        <v>1784</v>
      </c>
      <c r="N124" s="183" t="s">
        <v>1784</v>
      </c>
      <c r="O124" s="311"/>
    </row>
    <row r="125" spans="1:15" s="182" customFormat="1" ht="21.75" customHeight="1" x14ac:dyDescent="0.15">
      <c r="A125" s="151" t="s">
        <v>3680</v>
      </c>
      <c r="B125" s="20" t="s">
        <v>359</v>
      </c>
      <c r="C125" s="311" t="s">
        <v>3346</v>
      </c>
      <c r="D125" s="311" t="s">
        <v>3354</v>
      </c>
      <c r="E125" s="311" t="s">
        <v>3675</v>
      </c>
      <c r="F125" s="184" t="s">
        <v>3328</v>
      </c>
      <c r="G125" s="243" t="s">
        <v>3567</v>
      </c>
      <c r="H125" s="311">
        <v>19008</v>
      </c>
      <c r="I125" s="194">
        <v>0</v>
      </c>
      <c r="J125" s="194">
        <v>5330</v>
      </c>
      <c r="K125" s="185">
        <v>1</v>
      </c>
      <c r="L125" s="183" t="s">
        <v>285</v>
      </c>
      <c r="M125" s="183" t="s">
        <v>1784</v>
      </c>
      <c r="N125" s="183" t="s">
        <v>1784</v>
      </c>
      <c r="O125" s="311"/>
    </row>
    <row r="126" spans="1:15" s="182" customFormat="1" ht="21.75" customHeight="1" x14ac:dyDescent="0.15">
      <c r="A126" s="151" t="s">
        <v>3686</v>
      </c>
      <c r="B126" s="20" t="s">
        <v>3687</v>
      </c>
      <c r="C126" s="224" t="s">
        <v>3351</v>
      </c>
      <c r="D126" s="224" t="s">
        <v>3352</v>
      </c>
      <c r="E126" s="180" t="s">
        <v>3688</v>
      </c>
      <c r="F126" s="224" t="s">
        <v>3328</v>
      </c>
      <c r="G126" s="239" t="s">
        <v>3349</v>
      </c>
      <c r="H126" s="178">
        <v>18165</v>
      </c>
      <c r="I126" s="194">
        <v>0</v>
      </c>
      <c r="J126" s="194">
        <v>50000</v>
      </c>
      <c r="K126" s="185">
        <v>0.5</v>
      </c>
      <c r="L126" s="183" t="s">
        <v>285</v>
      </c>
      <c r="M126" s="183" t="s">
        <v>158</v>
      </c>
      <c r="N126" s="183" t="s">
        <v>158</v>
      </c>
      <c r="O126" s="313"/>
    </row>
    <row r="127" spans="1:15" s="182" customFormat="1" ht="21.75" customHeight="1" x14ac:dyDescent="0.15">
      <c r="A127" s="151" t="s">
        <v>3686</v>
      </c>
      <c r="B127" s="20" t="s">
        <v>1141</v>
      </c>
      <c r="C127" s="224" t="s">
        <v>3351</v>
      </c>
      <c r="D127" s="224" t="s">
        <v>3352</v>
      </c>
      <c r="E127" s="180" t="s">
        <v>3689</v>
      </c>
      <c r="F127" s="224" t="s">
        <v>3328</v>
      </c>
      <c r="G127" s="239" t="s">
        <v>3349</v>
      </c>
      <c r="H127" s="178">
        <v>18166</v>
      </c>
      <c r="I127" s="194">
        <v>0</v>
      </c>
      <c r="J127" s="194">
        <v>50000</v>
      </c>
      <c r="K127" s="185">
        <v>0.5</v>
      </c>
      <c r="L127" s="183" t="s">
        <v>285</v>
      </c>
      <c r="M127" s="183" t="s">
        <v>158</v>
      </c>
      <c r="N127" s="183" t="s">
        <v>158</v>
      </c>
      <c r="O127" s="313"/>
    </row>
    <row r="128" spans="1:15" s="182" customFormat="1" ht="21.75" customHeight="1" x14ac:dyDescent="0.15">
      <c r="A128" s="151" t="s">
        <v>3690</v>
      </c>
      <c r="B128" s="20" t="s">
        <v>284</v>
      </c>
      <c r="C128" s="314" t="s">
        <v>3692</v>
      </c>
      <c r="D128" s="314" t="s">
        <v>3693</v>
      </c>
      <c r="E128" s="180" t="s">
        <v>3694</v>
      </c>
      <c r="F128" s="207" t="s">
        <v>3695</v>
      </c>
      <c r="G128" s="306" t="s">
        <v>3696</v>
      </c>
      <c r="H128" s="314" t="s">
        <v>3691</v>
      </c>
      <c r="I128" s="194">
        <v>0</v>
      </c>
      <c r="J128" s="194">
        <v>120000</v>
      </c>
      <c r="K128" s="185">
        <v>1</v>
      </c>
      <c r="L128" s="183" t="s">
        <v>285</v>
      </c>
      <c r="M128" s="183" t="s">
        <v>158</v>
      </c>
      <c r="N128" s="183" t="s">
        <v>158</v>
      </c>
      <c r="O128" s="314"/>
    </row>
    <row r="129" spans="1:15" s="182" customFormat="1" ht="21.75" customHeight="1" x14ac:dyDescent="0.15">
      <c r="A129" s="151" t="s">
        <v>3690</v>
      </c>
      <c r="B129" s="20" t="s">
        <v>312</v>
      </c>
      <c r="C129" s="224" t="s">
        <v>3337</v>
      </c>
      <c r="D129" s="224" t="s">
        <v>3702</v>
      </c>
      <c r="E129" s="224" t="s">
        <v>3703</v>
      </c>
      <c r="F129" s="224" t="s">
        <v>3328</v>
      </c>
      <c r="G129" s="243" t="s">
        <v>3704</v>
      </c>
      <c r="H129" s="315">
        <v>18158</v>
      </c>
      <c r="I129" s="194">
        <v>0</v>
      </c>
      <c r="J129" s="194">
        <v>50000</v>
      </c>
      <c r="K129" s="185" t="s">
        <v>3705</v>
      </c>
      <c r="L129" s="183" t="s">
        <v>249</v>
      </c>
      <c r="M129" s="183" t="s">
        <v>190</v>
      </c>
      <c r="N129" s="183" t="s">
        <v>190</v>
      </c>
      <c r="O129" s="226" t="s">
        <v>3706</v>
      </c>
    </row>
    <row r="130" spans="1:15" s="182" customFormat="1" ht="21.75" customHeight="1" x14ac:dyDescent="0.15">
      <c r="A130" s="151" t="s">
        <v>3690</v>
      </c>
      <c r="B130" s="20" t="s">
        <v>3480</v>
      </c>
      <c r="C130" s="317" t="s">
        <v>3697</v>
      </c>
      <c r="D130" s="317" t="s">
        <v>3698</v>
      </c>
      <c r="E130" s="318" t="s">
        <v>3699</v>
      </c>
      <c r="F130" s="319" t="s">
        <v>3700</v>
      </c>
      <c r="G130" s="320" t="s">
        <v>3700</v>
      </c>
      <c r="H130" s="316">
        <v>18031</v>
      </c>
      <c r="I130" s="194">
        <v>0</v>
      </c>
      <c r="J130" s="194">
        <v>75000</v>
      </c>
      <c r="K130" s="185" t="s">
        <v>3701</v>
      </c>
      <c r="L130" s="183" t="s">
        <v>1414</v>
      </c>
      <c r="M130" s="183" t="s">
        <v>1880</v>
      </c>
      <c r="N130" s="183" t="s">
        <v>1880</v>
      </c>
      <c r="O130" s="316"/>
    </row>
    <row r="131" spans="1:15" s="182" customFormat="1" ht="21.75" customHeight="1" x14ac:dyDescent="0.15">
      <c r="A131" s="151" t="s">
        <v>3707</v>
      </c>
      <c r="B131" s="20" t="s">
        <v>2423</v>
      </c>
      <c r="C131" s="321" t="s">
        <v>3376</v>
      </c>
      <c r="D131" s="321" t="s">
        <v>3377</v>
      </c>
      <c r="E131" s="180" t="s">
        <v>3648</v>
      </c>
      <c r="F131" s="180" t="s">
        <v>3328</v>
      </c>
      <c r="G131" s="26" t="s">
        <v>3378</v>
      </c>
      <c r="H131" s="321">
        <v>17074</v>
      </c>
      <c r="I131" s="194">
        <v>195566.67</v>
      </c>
      <c r="J131" s="194">
        <v>0</v>
      </c>
      <c r="K131" s="185" t="s">
        <v>3649</v>
      </c>
      <c r="L131" s="183" t="s">
        <v>3650</v>
      </c>
      <c r="M131" s="183" t="s">
        <v>170</v>
      </c>
      <c r="N131" s="183" t="s">
        <v>170</v>
      </c>
      <c r="O131" s="226" t="s">
        <v>3709</v>
      </c>
    </row>
    <row r="132" spans="1:15" s="182" customFormat="1" ht="21.75" customHeight="1" x14ac:dyDescent="0.15">
      <c r="A132" s="151" t="s">
        <v>3710</v>
      </c>
      <c r="B132" s="20" t="s">
        <v>3711</v>
      </c>
      <c r="C132" s="184" t="s">
        <v>3346</v>
      </c>
      <c r="D132" s="184" t="s">
        <v>3712</v>
      </c>
      <c r="E132" s="184" t="s">
        <v>3713</v>
      </c>
      <c r="F132" s="184" t="s">
        <v>3355</v>
      </c>
      <c r="G132" s="235" t="s">
        <v>3356</v>
      </c>
      <c r="H132" s="322">
        <v>19079</v>
      </c>
      <c r="I132" s="194">
        <v>0</v>
      </c>
      <c r="J132" s="194">
        <v>30000</v>
      </c>
      <c r="K132" s="185" t="s">
        <v>3105</v>
      </c>
      <c r="L132" s="183" t="s">
        <v>1147</v>
      </c>
      <c r="M132" s="183" t="s">
        <v>1880</v>
      </c>
      <c r="N132" s="183" t="s">
        <v>1880</v>
      </c>
      <c r="O132" s="322"/>
    </row>
    <row r="133" spans="1:15" s="182" customFormat="1" ht="21.75" customHeight="1" x14ac:dyDescent="0.15">
      <c r="A133" s="151" t="s">
        <v>3714</v>
      </c>
      <c r="B133" s="20" t="s">
        <v>2111</v>
      </c>
      <c r="C133" s="236" t="s">
        <v>3346</v>
      </c>
      <c r="D133" s="236" t="s">
        <v>3352</v>
      </c>
      <c r="E133" s="236" t="s">
        <v>3715</v>
      </c>
      <c r="F133" s="184" t="s">
        <v>3332</v>
      </c>
      <c r="G133" s="253" t="s">
        <v>3381</v>
      </c>
      <c r="H133" s="323">
        <v>19081</v>
      </c>
      <c r="I133" s="194">
        <v>0</v>
      </c>
      <c r="J133" s="194">
        <v>120000</v>
      </c>
      <c r="K133" s="185">
        <v>1</v>
      </c>
      <c r="L133" s="183" t="s">
        <v>285</v>
      </c>
      <c r="M133" s="183" t="s">
        <v>155</v>
      </c>
      <c r="N133" s="183" t="s">
        <v>1880</v>
      </c>
      <c r="O133" s="323"/>
    </row>
    <row r="134" spans="1:15" s="182" customFormat="1" ht="21.75" customHeight="1" x14ac:dyDescent="0.15">
      <c r="A134" s="151" t="s">
        <v>3714</v>
      </c>
      <c r="B134" s="20" t="s">
        <v>215</v>
      </c>
      <c r="C134" s="236" t="s">
        <v>3346</v>
      </c>
      <c r="D134" s="236" t="s">
        <v>3352</v>
      </c>
      <c r="E134" s="236" t="s">
        <v>987</v>
      </c>
      <c r="F134" s="184" t="s">
        <v>3332</v>
      </c>
      <c r="G134" s="253" t="s">
        <v>3381</v>
      </c>
      <c r="H134" s="324">
        <v>19082</v>
      </c>
      <c r="I134" s="194">
        <v>0</v>
      </c>
      <c r="J134" s="194">
        <v>120000</v>
      </c>
      <c r="K134" s="185">
        <v>1</v>
      </c>
      <c r="L134" s="183" t="s">
        <v>285</v>
      </c>
      <c r="M134" s="183" t="s">
        <v>155</v>
      </c>
      <c r="N134" s="183" t="s">
        <v>1880</v>
      </c>
      <c r="O134" s="324"/>
    </row>
    <row r="135" spans="1:15" s="182" customFormat="1" ht="21.75" customHeight="1" x14ac:dyDescent="0.15">
      <c r="A135" s="467" t="s">
        <v>3714</v>
      </c>
      <c r="B135" s="468" t="s">
        <v>3716</v>
      </c>
      <c r="C135" s="469" t="s">
        <v>3364</v>
      </c>
      <c r="D135" s="470" t="s">
        <v>3717</v>
      </c>
      <c r="E135" s="471" t="s">
        <v>3718</v>
      </c>
      <c r="F135" s="472" t="s">
        <v>3328</v>
      </c>
      <c r="G135" s="473" t="s">
        <v>3611</v>
      </c>
      <c r="H135" s="469">
        <v>19086</v>
      </c>
      <c r="I135" s="474">
        <v>0</v>
      </c>
      <c r="J135" s="474">
        <v>95637</v>
      </c>
      <c r="K135" s="475">
        <v>0.3</v>
      </c>
      <c r="L135" s="476" t="s">
        <v>1162</v>
      </c>
      <c r="M135" s="476" t="s">
        <v>1784</v>
      </c>
      <c r="N135" s="476" t="s">
        <v>1784</v>
      </c>
      <c r="O135" s="325" t="s">
        <v>4173</v>
      </c>
    </row>
    <row r="136" spans="1:15" s="182" customFormat="1" ht="21.75" customHeight="1" x14ac:dyDescent="0.15">
      <c r="A136" s="151" t="s">
        <v>3719</v>
      </c>
      <c r="B136" s="20" t="s">
        <v>226</v>
      </c>
      <c r="C136" s="326" t="s">
        <v>3720</v>
      </c>
      <c r="D136" s="326" t="s">
        <v>3721</v>
      </c>
      <c r="E136" s="207" t="s">
        <v>3722</v>
      </c>
      <c r="F136" s="224" t="s">
        <v>3328</v>
      </c>
      <c r="G136" s="239" t="s">
        <v>3566</v>
      </c>
      <c r="H136" s="326">
        <v>18091</v>
      </c>
      <c r="I136" s="194">
        <v>0</v>
      </c>
      <c r="J136" s="194">
        <v>100000</v>
      </c>
      <c r="K136" s="185" t="s">
        <v>3105</v>
      </c>
      <c r="L136" s="183" t="s">
        <v>285</v>
      </c>
      <c r="M136" s="183" t="s">
        <v>155</v>
      </c>
      <c r="N136" s="183" t="s">
        <v>1880</v>
      </c>
      <c r="O136" s="326"/>
    </row>
    <row r="137" spans="1:15" s="182" customFormat="1" ht="21.75" customHeight="1" x14ac:dyDescent="0.15">
      <c r="A137" s="151" t="s">
        <v>3719</v>
      </c>
      <c r="B137" s="20" t="s">
        <v>221</v>
      </c>
      <c r="C137" s="329" t="s">
        <v>3697</v>
      </c>
      <c r="D137" s="330" t="s">
        <v>3723</v>
      </c>
      <c r="E137" s="331" t="s">
        <v>3724</v>
      </c>
      <c r="F137" s="332" t="s">
        <v>3332</v>
      </c>
      <c r="G137" s="333" t="s">
        <v>3381</v>
      </c>
      <c r="H137" s="326">
        <v>19083</v>
      </c>
      <c r="I137" s="194">
        <v>0</v>
      </c>
      <c r="J137" s="194">
        <v>120000</v>
      </c>
      <c r="K137" s="185">
        <v>1</v>
      </c>
      <c r="L137" s="183" t="s">
        <v>285</v>
      </c>
      <c r="M137" s="183" t="s">
        <v>155</v>
      </c>
      <c r="N137" s="183" t="s">
        <v>1880</v>
      </c>
      <c r="O137" s="326"/>
    </row>
    <row r="138" spans="1:15" s="182" customFormat="1" ht="21.75" customHeight="1" x14ac:dyDescent="0.15">
      <c r="A138" s="151" t="s">
        <v>3719</v>
      </c>
      <c r="B138" s="20" t="s">
        <v>1313</v>
      </c>
      <c r="C138" s="327" t="s">
        <v>3346</v>
      </c>
      <c r="D138" s="236" t="s">
        <v>3354</v>
      </c>
      <c r="E138" s="30" t="s">
        <v>3562</v>
      </c>
      <c r="F138" s="184" t="s">
        <v>3328</v>
      </c>
      <c r="G138" s="235" t="s">
        <v>3349</v>
      </c>
      <c r="H138" s="326">
        <v>19014</v>
      </c>
      <c r="I138" s="194">
        <v>0</v>
      </c>
      <c r="J138" s="194">
        <v>75000</v>
      </c>
      <c r="K138" s="185">
        <v>0.5</v>
      </c>
      <c r="L138" s="183" t="s">
        <v>285</v>
      </c>
      <c r="M138" s="184" t="s">
        <v>3725</v>
      </c>
      <c r="N138" s="184" t="s">
        <v>3726</v>
      </c>
      <c r="O138" s="326"/>
    </row>
    <row r="139" spans="1:15" s="182" customFormat="1" ht="21.75" customHeight="1" x14ac:dyDescent="0.15">
      <c r="A139" s="151" t="s">
        <v>3719</v>
      </c>
      <c r="B139" s="20" t="s">
        <v>3555</v>
      </c>
      <c r="C139" s="328" t="s">
        <v>3346</v>
      </c>
      <c r="D139" s="236" t="s">
        <v>3354</v>
      </c>
      <c r="E139" s="30" t="s">
        <v>844</v>
      </c>
      <c r="F139" s="184" t="s">
        <v>3328</v>
      </c>
      <c r="G139" s="235" t="s">
        <v>3349</v>
      </c>
      <c r="H139" s="326">
        <v>19016</v>
      </c>
      <c r="I139" s="194">
        <v>0</v>
      </c>
      <c r="J139" s="194">
        <v>75000</v>
      </c>
      <c r="K139" s="185">
        <v>0.5</v>
      </c>
      <c r="L139" s="183" t="s">
        <v>285</v>
      </c>
      <c r="M139" s="184" t="s">
        <v>3725</v>
      </c>
      <c r="N139" s="184" t="s">
        <v>3726</v>
      </c>
      <c r="O139" s="326"/>
    </row>
    <row r="140" spans="1:15" s="182" customFormat="1" ht="21.75" customHeight="1" x14ac:dyDescent="0.15">
      <c r="A140" s="151" t="s">
        <v>3719</v>
      </c>
      <c r="B140" s="20" t="s">
        <v>10</v>
      </c>
      <c r="C140" s="328" t="s">
        <v>3346</v>
      </c>
      <c r="D140" s="236" t="s">
        <v>3354</v>
      </c>
      <c r="E140" s="30" t="s">
        <v>846</v>
      </c>
      <c r="F140" s="184" t="s">
        <v>3328</v>
      </c>
      <c r="G140" s="235" t="s">
        <v>3349</v>
      </c>
      <c r="H140" s="326">
        <v>19017</v>
      </c>
      <c r="I140" s="194">
        <v>0</v>
      </c>
      <c r="J140" s="194">
        <v>75000</v>
      </c>
      <c r="K140" s="185">
        <v>0.5</v>
      </c>
      <c r="L140" s="183" t="s">
        <v>285</v>
      </c>
      <c r="M140" s="184" t="s">
        <v>3725</v>
      </c>
      <c r="N140" s="184" t="s">
        <v>3726</v>
      </c>
      <c r="O140" s="326"/>
    </row>
    <row r="141" spans="1:15" s="182" customFormat="1" ht="21.75" customHeight="1" x14ac:dyDescent="0.15">
      <c r="A141" s="151" t="s">
        <v>3719</v>
      </c>
      <c r="B141" s="20" t="s">
        <v>3727</v>
      </c>
      <c r="C141" s="328" t="s">
        <v>3346</v>
      </c>
      <c r="D141" s="236" t="s">
        <v>3354</v>
      </c>
      <c r="E141" s="30" t="s">
        <v>845</v>
      </c>
      <c r="F141" s="184" t="s">
        <v>3328</v>
      </c>
      <c r="G141" s="235" t="s">
        <v>3349</v>
      </c>
      <c r="H141" s="325">
        <v>19015</v>
      </c>
      <c r="I141" s="194">
        <v>0</v>
      </c>
      <c r="J141" s="194">
        <v>75000</v>
      </c>
      <c r="K141" s="185">
        <v>0.5</v>
      </c>
      <c r="L141" s="183" t="s">
        <v>285</v>
      </c>
      <c r="M141" s="184" t="s">
        <v>3725</v>
      </c>
      <c r="N141" s="184" t="s">
        <v>3726</v>
      </c>
      <c r="O141" s="325"/>
    </row>
    <row r="142" spans="1:15" s="182" customFormat="1" ht="21.75" customHeight="1" x14ac:dyDescent="0.15">
      <c r="A142" s="151" t="s">
        <v>3728</v>
      </c>
      <c r="B142" s="20" t="s">
        <v>3729</v>
      </c>
      <c r="C142" s="437" t="s">
        <v>4002</v>
      </c>
      <c r="D142" s="437" t="s">
        <v>4002</v>
      </c>
      <c r="E142" s="30" t="s">
        <v>4002</v>
      </c>
      <c r="F142" s="30" t="s">
        <v>4000</v>
      </c>
      <c r="G142" s="21" t="s">
        <v>4001</v>
      </c>
      <c r="H142" s="334">
        <v>19119</v>
      </c>
      <c r="I142" s="194">
        <v>0</v>
      </c>
      <c r="J142" s="194">
        <v>25440</v>
      </c>
      <c r="K142" s="185">
        <v>1</v>
      </c>
      <c r="L142" s="183" t="s">
        <v>1948</v>
      </c>
      <c r="M142" s="183" t="s">
        <v>1784</v>
      </c>
      <c r="N142" s="183" t="s">
        <v>1784</v>
      </c>
      <c r="O142" s="334"/>
    </row>
    <row r="143" spans="1:15" s="182" customFormat="1" ht="21.75" customHeight="1" x14ac:dyDescent="0.15">
      <c r="A143" s="151" t="s">
        <v>3728</v>
      </c>
      <c r="B143" s="20" t="s">
        <v>254</v>
      </c>
      <c r="C143" s="334" t="s">
        <v>3346</v>
      </c>
      <c r="D143" s="236" t="s">
        <v>3354</v>
      </c>
      <c r="E143" s="30" t="s">
        <v>921</v>
      </c>
      <c r="F143" s="184" t="s">
        <v>3328</v>
      </c>
      <c r="G143" s="235" t="s">
        <v>3349</v>
      </c>
      <c r="H143" s="334">
        <v>19012</v>
      </c>
      <c r="I143" s="194">
        <v>0</v>
      </c>
      <c r="J143" s="194">
        <v>75000</v>
      </c>
      <c r="K143" s="185">
        <v>0.5</v>
      </c>
      <c r="L143" s="183" t="s">
        <v>285</v>
      </c>
      <c r="M143" s="184" t="s">
        <v>3725</v>
      </c>
      <c r="N143" s="184" t="s">
        <v>3726</v>
      </c>
      <c r="O143" s="334"/>
    </row>
    <row r="144" spans="1:15" s="182" customFormat="1" ht="21.75" customHeight="1" x14ac:dyDescent="0.15">
      <c r="A144" s="151" t="s">
        <v>3728</v>
      </c>
      <c r="B144" s="20" t="s">
        <v>3</v>
      </c>
      <c r="C144" s="334" t="s">
        <v>3346</v>
      </c>
      <c r="D144" s="236" t="s">
        <v>3354</v>
      </c>
      <c r="E144" s="30" t="s">
        <v>925</v>
      </c>
      <c r="F144" s="184" t="s">
        <v>3328</v>
      </c>
      <c r="G144" s="235" t="s">
        <v>3349</v>
      </c>
      <c r="H144" s="334">
        <v>19013</v>
      </c>
      <c r="I144" s="194">
        <v>0</v>
      </c>
      <c r="J144" s="194">
        <v>75000</v>
      </c>
      <c r="K144" s="185">
        <v>0.5</v>
      </c>
      <c r="L144" s="183" t="s">
        <v>285</v>
      </c>
      <c r="M144" s="184" t="s">
        <v>3725</v>
      </c>
      <c r="N144" s="184" t="s">
        <v>3726</v>
      </c>
      <c r="O144" s="334"/>
    </row>
    <row r="145" spans="1:15" s="182" customFormat="1" ht="21.75" customHeight="1" x14ac:dyDescent="0.15">
      <c r="A145" s="151" t="s">
        <v>3728</v>
      </c>
      <c r="B145" s="20" t="s">
        <v>1964</v>
      </c>
      <c r="C145" s="224" t="s">
        <v>3368</v>
      </c>
      <c r="D145" s="224" t="s">
        <v>3439</v>
      </c>
      <c r="E145" s="180" t="s">
        <v>3730</v>
      </c>
      <c r="F145" s="184" t="s">
        <v>3355</v>
      </c>
      <c r="G145" s="235" t="s">
        <v>3731</v>
      </c>
      <c r="H145" s="335">
        <v>19047</v>
      </c>
      <c r="I145" s="194">
        <v>0</v>
      </c>
      <c r="J145" s="194">
        <v>49800</v>
      </c>
      <c r="K145" s="185">
        <v>1</v>
      </c>
      <c r="L145" s="183" t="s">
        <v>1948</v>
      </c>
      <c r="M145" s="183" t="s">
        <v>158</v>
      </c>
      <c r="N145" s="183" t="s">
        <v>158</v>
      </c>
      <c r="O145" s="335"/>
    </row>
    <row r="146" spans="1:15" s="182" customFormat="1" ht="21.75" customHeight="1" x14ac:dyDescent="0.15">
      <c r="A146" s="151" t="s">
        <v>3728</v>
      </c>
      <c r="B146" s="20" t="s">
        <v>72</v>
      </c>
      <c r="C146" s="224" t="s">
        <v>3368</v>
      </c>
      <c r="D146" s="224" t="s">
        <v>3439</v>
      </c>
      <c r="E146" s="180" t="s">
        <v>3730</v>
      </c>
      <c r="F146" s="224" t="s">
        <v>3355</v>
      </c>
      <c r="G146" s="235" t="s">
        <v>3467</v>
      </c>
      <c r="H146" s="335">
        <v>18097</v>
      </c>
      <c r="I146" s="194">
        <v>0</v>
      </c>
      <c r="J146" s="194">
        <v>44100</v>
      </c>
      <c r="K146" s="185">
        <v>0.9</v>
      </c>
      <c r="L146" s="183" t="s">
        <v>1147</v>
      </c>
      <c r="M146" s="183" t="s">
        <v>158</v>
      </c>
      <c r="N146" s="183" t="s">
        <v>158</v>
      </c>
      <c r="O146" s="335"/>
    </row>
    <row r="147" spans="1:15" s="182" customFormat="1" ht="21.75" customHeight="1" x14ac:dyDescent="0.15">
      <c r="A147" s="151" t="s">
        <v>3732</v>
      </c>
      <c r="B147" s="20" t="s">
        <v>575</v>
      </c>
      <c r="C147" s="180" t="s">
        <v>3735</v>
      </c>
      <c r="D147" s="336" t="s">
        <v>3374</v>
      </c>
      <c r="E147" s="45" t="s">
        <v>3736</v>
      </c>
      <c r="F147" s="238" t="s">
        <v>3328</v>
      </c>
      <c r="G147" s="240" t="s">
        <v>3417</v>
      </c>
      <c r="H147" s="335">
        <v>11049</v>
      </c>
      <c r="I147" s="194">
        <v>0</v>
      </c>
      <c r="J147" s="194">
        <v>136050</v>
      </c>
      <c r="K147" s="185" t="s">
        <v>3733</v>
      </c>
      <c r="L147" s="183" t="s">
        <v>3734</v>
      </c>
      <c r="M147" s="183" t="s">
        <v>1380</v>
      </c>
      <c r="N147" s="183" t="s">
        <v>3388</v>
      </c>
      <c r="O147" s="335"/>
    </row>
    <row r="148" spans="1:15" s="182" customFormat="1" ht="21.75" customHeight="1" x14ac:dyDescent="0.15">
      <c r="A148" s="151" t="s">
        <v>3737</v>
      </c>
      <c r="B148" s="20" t="s">
        <v>184</v>
      </c>
      <c r="C148" s="337" t="s">
        <v>3738</v>
      </c>
      <c r="D148" s="337" t="s">
        <v>3439</v>
      </c>
      <c r="E148" s="207" t="s">
        <v>3739</v>
      </c>
      <c r="F148" s="224" t="s">
        <v>3328</v>
      </c>
      <c r="G148" s="239" t="s">
        <v>3566</v>
      </c>
      <c r="H148" s="335">
        <v>18086</v>
      </c>
      <c r="I148" s="194">
        <v>0</v>
      </c>
      <c r="J148" s="194">
        <v>100000</v>
      </c>
      <c r="K148" s="185" t="s">
        <v>3105</v>
      </c>
      <c r="L148" s="183" t="s">
        <v>285</v>
      </c>
      <c r="M148" s="183" t="s">
        <v>155</v>
      </c>
      <c r="N148" s="183" t="s">
        <v>1880</v>
      </c>
      <c r="O148" s="335"/>
    </row>
    <row r="149" spans="1:15" s="182" customFormat="1" ht="21.75" customHeight="1" x14ac:dyDescent="0.15">
      <c r="A149" s="151" t="s">
        <v>3740</v>
      </c>
      <c r="B149" s="20" t="s">
        <v>2398</v>
      </c>
      <c r="C149" s="339" t="s">
        <v>3741</v>
      </c>
      <c r="D149" s="339" t="s">
        <v>3742</v>
      </c>
      <c r="E149" s="339" t="s">
        <v>3743</v>
      </c>
      <c r="F149" s="339" t="s">
        <v>3744</v>
      </c>
      <c r="G149" s="340" t="s">
        <v>3745</v>
      </c>
      <c r="H149" s="335">
        <v>18161</v>
      </c>
      <c r="I149" s="194">
        <v>0</v>
      </c>
      <c r="J149" s="194">
        <v>88200</v>
      </c>
      <c r="K149" s="185">
        <v>0.9</v>
      </c>
      <c r="L149" s="183" t="s">
        <v>1172</v>
      </c>
      <c r="M149" s="183" t="s">
        <v>158</v>
      </c>
      <c r="N149" s="183" t="s">
        <v>158</v>
      </c>
      <c r="O149" s="335"/>
    </row>
    <row r="150" spans="1:15" s="182" customFormat="1" ht="21.75" customHeight="1" x14ac:dyDescent="0.15">
      <c r="A150" s="151" t="s">
        <v>3740</v>
      </c>
      <c r="B150" s="20" t="s">
        <v>1453</v>
      </c>
      <c r="C150" s="224" t="s">
        <v>3351</v>
      </c>
      <c r="D150" s="224" t="s">
        <v>3352</v>
      </c>
      <c r="E150" s="224" t="s">
        <v>3743</v>
      </c>
      <c r="F150" s="224" t="s">
        <v>3340</v>
      </c>
      <c r="G150" s="239" t="s">
        <v>3349</v>
      </c>
      <c r="H150" s="334">
        <v>18162</v>
      </c>
      <c r="I150" s="194">
        <v>0</v>
      </c>
      <c r="J150" s="194">
        <v>44000</v>
      </c>
      <c r="K150" s="185">
        <v>0.5</v>
      </c>
      <c r="L150" s="183" t="s">
        <v>285</v>
      </c>
      <c r="M150" s="183" t="s">
        <v>158</v>
      </c>
      <c r="N150" s="183" t="s">
        <v>158</v>
      </c>
      <c r="O150" s="334"/>
    </row>
    <row r="151" spans="1:15" s="182" customFormat="1" ht="21.75" customHeight="1" x14ac:dyDescent="0.15">
      <c r="A151" s="151" t="s">
        <v>3740</v>
      </c>
      <c r="B151" s="20" t="s">
        <v>1290</v>
      </c>
      <c r="C151" s="224" t="s">
        <v>3363</v>
      </c>
      <c r="D151" s="224" t="s">
        <v>3460</v>
      </c>
      <c r="E151" s="224" t="s">
        <v>3461</v>
      </c>
      <c r="F151" s="224" t="s">
        <v>3328</v>
      </c>
      <c r="G151" s="239" t="s">
        <v>3349</v>
      </c>
      <c r="H151" s="338">
        <v>18145</v>
      </c>
      <c r="I151" s="194">
        <v>0</v>
      </c>
      <c r="J151" s="194">
        <v>20000</v>
      </c>
      <c r="K151" s="185">
        <v>0.2</v>
      </c>
      <c r="L151" s="183" t="s">
        <v>285</v>
      </c>
      <c r="M151" s="183" t="s">
        <v>2660</v>
      </c>
      <c r="N151" s="183" t="s">
        <v>2660</v>
      </c>
      <c r="O151" s="338"/>
    </row>
    <row r="152" spans="1:15" s="182" customFormat="1" ht="21.75" customHeight="1" x14ac:dyDescent="0.15">
      <c r="A152" s="467" t="s">
        <v>3746</v>
      </c>
      <c r="B152" s="468" t="s">
        <v>3716</v>
      </c>
      <c r="C152" s="469" t="s">
        <v>3364</v>
      </c>
      <c r="D152" s="470" t="s">
        <v>3717</v>
      </c>
      <c r="E152" s="471" t="s">
        <v>3718</v>
      </c>
      <c r="F152" s="472" t="s">
        <v>3328</v>
      </c>
      <c r="G152" s="473" t="s">
        <v>3611</v>
      </c>
      <c r="H152" s="469">
        <v>19086</v>
      </c>
      <c r="I152" s="474">
        <v>0</v>
      </c>
      <c r="J152" s="474">
        <v>191274</v>
      </c>
      <c r="K152" s="475">
        <v>0.6</v>
      </c>
      <c r="L152" s="476" t="s">
        <v>1147</v>
      </c>
      <c r="M152" s="476" t="s">
        <v>1784</v>
      </c>
      <c r="N152" s="476" t="s">
        <v>1784</v>
      </c>
      <c r="O152" s="465" t="s">
        <v>4173</v>
      </c>
    </row>
    <row r="153" spans="1:15" s="182" customFormat="1" ht="21.75" customHeight="1" x14ac:dyDescent="0.15">
      <c r="A153" s="151" t="s">
        <v>3747</v>
      </c>
      <c r="B153" s="20" t="s">
        <v>3012</v>
      </c>
      <c r="C153" s="224" t="s">
        <v>3346</v>
      </c>
      <c r="D153" s="234" t="s">
        <v>3622</v>
      </c>
      <c r="E153" s="207" t="s">
        <v>3015</v>
      </c>
      <c r="F153" s="207" t="s">
        <v>3579</v>
      </c>
      <c r="G153" s="240" t="s">
        <v>3623</v>
      </c>
      <c r="H153" s="341">
        <v>18053</v>
      </c>
      <c r="I153" s="194">
        <v>0</v>
      </c>
      <c r="J153" s="194">
        <v>10000</v>
      </c>
      <c r="K153" s="185">
        <v>0.04</v>
      </c>
      <c r="L153" s="183" t="s">
        <v>3061</v>
      </c>
      <c r="M153" s="183" t="s">
        <v>1880</v>
      </c>
      <c r="N153" s="183" t="s">
        <v>1880</v>
      </c>
      <c r="O153" s="341"/>
    </row>
    <row r="154" spans="1:15" s="182" customFormat="1" ht="21.75" customHeight="1" x14ac:dyDescent="0.15">
      <c r="A154" s="151" t="s">
        <v>3747</v>
      </c>
      <c r="B154" s="20" t="s">
        <v>2060</v>
      </c>
      <c r="C154" s="341" t="s">
        <v>3334</v>
      </c>
      <c r="D154" s="341" t="s">
        <v>3326</v>
      </c>
      <c r="E154" s="207" t="s">
        <v>3335</v>
      </c>
      <c r="F154" s="184" t="s">
        <v>3332</v>
      </c>
      <c r="G154" s="235" t="s">
        <v>3341</v>
      </c>
      <c r="H154" s="341">
        <v>18001</v>
      </c>
      <c r="I154" s="194">
        <v>0</v>
      </c>
      <c r="J154" s="194">
        <v>112500</v>
      </c>
      <c r="K154" s="185">
        <v>0.25</v>
      </c>
      <c r="L154" s="183" t="s">
        <v>285</v>
      </c>
      <c r="M154" s="183" t="s">
        <v>170</v>
      </c>
      <c r="N154" s="183" t="s">
        <v>170</v>
      </c>
      <c r="O154" s="341"/>
    </row>
    <row r="155" spans="1:15" s="182" customFormat="1" ht="21.75" customHeight="1" x14ac:dyDescent="0.15">
      <c r="A155" s="151" t="s">
        <v>3747</v>
      </c>
      <c r="B155" s="20" t="s">
        <v>2060</v>
      </c>
      <c r="C155" s="164" t="s">
        <v>3334</v>
      </c>
      <c r="D155" s="164" t="s">
        <v>3326</v>
      </c>
      <c r="E155" s="225" t="s">
        <v>3335</v>
      </c>
      <c r="F155" s="184" t="s">
        <v>3328</v>
      </c>
      <c r="G155" s="265" t="s">
        <v>3749</v>
      </c>
      <c r="H155" s="341">
        <v>18032</v>
      </c>
      <c r="I155" s="194">
        <v>0</v>
      </c>
      <c r="J155" s="194">
        <v>14850</v>
      </c>
      <c r="K155" s="185">
        <v>0.03</v>
      </c>
      <c r="L155" s="183" t="s">
        <v>1143</v>
      </c>
      <c r="M155" s="183" t="s">
        <v>170</v>
      </c>
      <c r="N155" s="183" t="s">
        <v>170</v>
      </c>
      <c r="O155" s="341"/>
    </row>
    <row r="156" spans="1:15" s="182" customFormat="1" ht="21.75" customHeight="1" x14ac:dyDescent="0.15">
      <c r="A156" s="151" t="s">
        <v>3748</v>
      </c>
      <c r="B156" s="20" t="s">
        <v>3267</v>
      </c>
      <c r="C156" s="224" t="s">
        <v>3364</v>
      </c>
      <c r="D156" s="224" t="s">
        <v>3326</v>
      </c>
      <c r="E156" s="180" t="s">
        <v>3750</v>
      </c>
      <c r="F156" s="224" t="s">
        <v>3328</v>
      </c>
      <c r="G156" s="239" t="s">
        <v>3353</v>
      </c>
      <c r="H156" s="341">
        <v>18176</v>
      </c>
      <c r="I156" s="194">
        <v>0</v>
      </c>
      <c r="J156" s="194">
        <v>78840</v>
      </c>
      <c r="K156" s="185">
        <v>0.9</v>
      </c>
      <c r="L156" s="183" t="s">
        <v>1147</v>
      </c>
      <c r="M156" s="183" t="s">
        <v>190</v>
      </c>
      <c r="N156" s="183" t="s">
        <v>190</v>
      </c>
      <c r="O156" s="341"/>
    </row>
    <row r="157" spans="1:15" s="182" customFormat="1" ht="21.75" customHeight="1" x14ac:dyDescent="0.15">
      <c r="A157" s="151" t="s">
        <v>3748</v>
      </c>
      <c r="B157" s="20" t="s">
        <v>3751</v>
      </c>
      <c r="C157" s="343" t="s">
        <v>3752</v>
      </c>
      <c r="D157" s="343" t="s">
        <v>3753</v>
      </c>
      <c r="E157" s="343" t="s">
        <v>3754</v>
      </c>
      <c r="F157" s="339" t="s">
        <v>3755</v>
      </c>
      <c r="G157" s="344" t="s">
        <v>3756</v>
      </c>
      <c r="H157" s="342">
        <v>19124</v>
      </c>
      <c r="I157" s="194">
        <v>0</v>
      </c>
      <c r="J157" s="194">
        <v>70500</v>
      </c>
      <c r="K157" s="185">
        <v>0.3</v>
      </c>
      <c r="L157" s="183" t="s">
        <v>1162</v>
      </c>
      <c r="M157" s="183" t="s">
        <v>1880</v>
      </c>
      <c r="N157" s="183" t="s">
        <v>1880</v>
      </c>
      <c r="O157" s="342"/>
    </row>
    <row r="158" spans="1:15" s="182" customFormat="1" ht="21.75" customHeight="1" x14ac:dyDescent="0.15">
      <c r="A158" s="151" t="s">
        <v>3748</v>
      </c>
      <c r="B158" s="20" t="s">
        <v>2589</v>
      </c>
      <c r="C158" s="345" t="s">
        <v>3351</v>
      </c>
      <c r="D158" s="345" t="s">
        <v>3352</v>
      </c>
      <c r="E158" s="345" t="s">
        <v>3757</v>
      </c>
      <c r="F158" s="224" t="s">
        <v>3328</v>
      </c>
      <c r="G158" s="239" t="s">
        <v>3349</v>
      </c>
      <c r="H158" s="345">
        <v>19122</v>
      </c>
      <c r="I158" s="194">
        <v>0</v>
      </c>
      <c r="J158" s="194">
        <v>80000</v>
      </c>
      <c r="K158" s="185">
        <v>1</v>
      </c>
      <c r="L158" s="183" t="s">
        <v>285</v>
      </c>
      <c r="M158" s="183" t="s">
        <v>158</v>
      </c>
      <c r="N158" s="183" t="s">
        <v>158</v>
      </c>
      <c r="O158" s="345"/>
    </row>
    <row r="159" spans="1:15" s="182" customFormat="1" ht="21.75" customHeight="1" x14ac:dyDescent="0.15">
      <c r="A159" s="151" t="s">
        <v>3758</v>
      </c>
      <c r="B159" s="20" t="s">
        <v>2604</v>
      </c>
      <c r="C159" s="347" t="s">
        <v>3759</v>
      </c>
      <c r="D159" s="343" t="s">
        <v>3760</v>
      </c>
      <c r="E159" s="348" t="s">
        <v>3761</v>
      </c>
      <c r="F159" s="349" t="s">
        <v>3344</v>
      </c>
      <c r="G159" s="349" t="s">
        <v>3762</v>
      </c>
      <c r="H159" s="345">
        <v>16083</v>
      </c>
      <c r="I159" s="194">
        <v>0</v>
      </c>
      <c r="J159" s="194">
        <v>10000</v>
      </c>
      <c r="K159" s="185" t="s">
        <v>3763</v>
      </c>
      <c r="L159" s="183" t="s">
        <v>249</v>
      </c>
      <c r="M159" s="183" t="s">
        <v>190</v>
      </c>
      <c r="N159" s="183" t="s">
        <v>190</v>
      </c>
      <c r="O159" s="345"/>
    </row>
    <row r="160" spans="1:15" s="182" customFormat="1" ht="21.75" customHeight="1" x14ac:dyDescent="0.15">
      <c r="A160" s="151" t="s">
        <v>3764</v>
      </c>
      <c r="B160" s="20" t="s">
        <v>3480</v>
      </c>
      <c r="C160" s="164" t="s">
        <v>3346</v>
      </c>
      <c r="D160" s="164" t="s">
        <v>3481</v>
      </c>
      <c r="E160" s="225" t="s">
        <v>3482</v>
      </c>
      <c r="F160" s="206" t="s">
        <v>3483</v>
      </c>
      <c r="G160" s="265" t="s">
        <v>3483</v>
      </c>
      <c r="H160" s="346">
        <v>18031</v>
      </c>
      <c r="I160" s="194">
        <v>0</v>
      </c>
      <c r="J160" s="194">
        <v>45000</v>
      </c>
      <c r="K160" s="185" t="s">
        <v>3766</v>
      </c>
      <c r="L160" s="183" t="s">
        <v>1414</v>
      </c>
      <c r="M160" s="183" t="s">
        <v>1880</v>
      </c>
      <c r="N160" s="183" t="s">
        <v>1880</v>
      </c>
      <c r="O160" s="346"/>
    </row>
    <row r="161" spans="1:15" s="182" customFormat="1" ht="21.75" customHeight="1" x14ac:dyDescent="0.15">
      <c r="A161" s="151" t="s">
        <v>3764</v>
      </c>
      <c r="B161" s="20" t="s">
        <v>3765</v>
      </c>
      <c r="C161" s="224" t="s">
        <v>3365</v>
      </c>
      <c r="D161" s="224" t="s">
        <v>3463</v>
      </c>
      <c r="E161" s="224" t="s">
        <v>3595</v>
      </c>
      <c r="F161" s="224" t="s">
        <v>3328</v>
      </c>
      <c r="G161" s="239" t="s">
        <v>3386</v>
      </c>
      <c r="H161" s="346">
        <v>19165</v>
      </c>
      <c r="I161" s="194">
        <v>0</v>
      </c>
      <c r="J161" s="194">
        <v>17300</v>
      </c>
      <c r="K161" s="185">
        <v>1</v>
      </c>
      <c r="L161" s="183" t="s">
        <v>1948</v>
      </c>
      <c r="M161" s="183" t="s">
        <v>3388</v>
      </c>
      <c r="N161" s="183" t="s">
        <v>3388</v>
      </c>
      <c r="O161" s="346"/>
    </row>
    <row r="162" spans="1:15" s="182" customFormat="1" ht="21.75" customHeight="1" x14ac:dyDescent="0.15">
      <c r="A162" s="151" t="s">
        <v>3767</v>
      </c>
      <c r="B162" s="20" t="s">
        <v>2250</v>
      </c>
      <c r="C162" s="224" t="s">
        <v>3351</v>
      </c>
      <c r="D162" s="224" t="s">
        <v>3768</v>
      </c>
      <c r="E162" s="224" t="s">
        <v>3694</v>
      </c>
      <c r="F162" s="224" t="s">
        <v>3328</v>
      </c>
      <c r="G162" s="239" t="s">
        <v>3349</v>
      </c>
      <c r="H162" s="350">
        <v>19142</v>
      </c>
      <c r="I162" s="194">
        <v>0</v>
      </c>
      <c r="J162" s="194">
        <v>90000</v>
      </c>
      <c r="K162" s="185">
        <v>0.9</v>
      </c>
      <c r="L162" s="183" t="s">
        <v>285</v>
      </c>
      <c r="M162" s="183" t="s">
        <v>158</v>
      </c>
      <c r="N162" s="183" t="s">
        <v>158</v>
      </c>
      <c r="O162" s="350"/>
    </row>
    <row r="163" spans="1:15" s="182" customFormat="1" ht="21.75" customHeight="1" x14ac:dyDescent="0.15">
      <c r="A163" s="151" t="s">
        <v>3767</v>
      </c>
      <c r="B163" s="20" t="s">
        <v>2602</v>
      </c>
      <c r="C163" s="351" t="s">
        <v>3769</v>
      </c>
      <c r="D163" s="351" t="s">
        <v>3770</v>
      </c>
      <c r="E163" s="184" t="s">
        <v>3771</v>
      </c>
      <c r="F163" s="184" t="s">
        <v>3332</v>
      </c>
      <c r="G163" s="235" t="s">
        <v>3381</v>
      </c>
      <c r="H163" s="350">
        <v>18016</v>
      </c>
      <c r="I163" s="194">
        <v>0</v>
      </c>
      <c r="J163" s="194">
        <v>72000</v>
      </c>
      <c r="K163" s="185">
        <v>0.8</v>
      </c>
      <c r="L163" s="183" t="s">
        <v>285</v>
      </c>
      <c r="M163" s="183" t="s">
        <v>170</v>
      </c>
      <c r="N163" s="183" t="s">
        <v>170</v>
      </c>
      <c r="O163" s="350"/>
    </row>
    <row r="164" spans="1:15" s="182" customFormat="1" ht="21.75" customHeight="1" x14ac:dyDescent="0.15">
      <c r="A164" s="151" t="s">
        <v>3767</v>
      </c>
      <c r="B164" s="20" t="s">
        <v>2602</v>
      </c>
      <c r="C164" s="351" t="s">
        <v>3769</v>
      </c>
      <c r="D164" s="351" t="s">
        <v>3770</v>
      </c>
      <c r="E164" s="184" t="s">
        <v>3771</v>
      </c>
      <c r="F164" s="184" t="s">
        <v>3332</v>
      </c>
      <c r="G164" s="235" t="s">
        <v>3381</v>
      </c>
      <c r="H164" s="351" t="s">
        <v>3772</v>
      </c>
      <c r="I164" s="194">
        <v>0</v>
      </c>
      <c r="J164" s="194">
        <v>18000</v>
      </c>
      <c r="K164" s="185">
        <v>0.2</v>
      </c>
      <c r="L164" s="183" t="s">
        <v>285</v>
      </c>
      <c r="M164" s="183" t="s">
        <v>170</v>
      </c>
      <c r="N164" s="183" t="s">
        <v>170</v>
      </c>
      <c r="O164" s="351"/>
    </row>
    <row r="165" spans="1:15" s="182" customFormat="1" ht="21.75" customHeight="1" x14ac:dyDescent="0.15">
      <c r="A165" s="151" t="s">
        <v>3767</v>
      </c>
      <c r="B165" s="20" t="s">
        <v>358</v>
      </c>
      <c r="C165" s="355" t="s">
        <v>3784</v>
      </c>
      <c r="D165" s="354" t="s">
        <v>3785</v>
      </c>
      <c r="E165" s="355" t="s">
        <v>3786</v>
      </c>
      <c r="F165" s="358" t="s">
        <v>3782</v>
      </c>
      <c r="G165" s="356" t="s">
        <v>3787</v>
      </c>
      <c r="H165" s="350">
        <v>17122</v>
      </c>
      <c r="I165" s="194">
        <v>0</v>
      </c>
      <c r="J165" s="194">
        <v>30000</v>
      </c>
      <c r="K165" s="185">
        <v>0.3</v>
      </c>
      <c r="L165" s="183" t="s">
        <v>1143</v>
      </c>
      <c r="M165" s="183" t="s">
        <v>162</v>
      </c>
      <c r="N165" s="183" t="s">
        <v>1784</v>
      </c>
      <c r="O165" s="350"/>
    </row>
    <row r="166" spans="1:15" s="182" customFormat="1" ht="21.75" customHeight="1" x14ac:dyDescent="0.15">
      <c r="A166" s="151" t="s">
        <v>3773</v>
      </c>
      <c r="B166" s="20" t="s">
        <v>1318</v>
      </c>
      <c r="C166" s="224" t="s">
        <v>3346</v>
      </c>
      <c r="D166" s="224" t="s">
        <v>3439</v>
      </c>
      <c r="E166" s="180" t="s">
        <v>3774</v>
      </c>
      <c r="F166" s="224" t="s">
        <v>3328</v>
      </c>
      <c r="G166" s="239" t="s">
        <v>3566</v>
      </c>
      <c r="H166" s="352">
        <v>18088</v>
      </c>
      <c r="I166" s="194">
        <v>0</v>
      </c>
      <c r="J166" s="194">
        <v>100000</v>
      </c>
      <c r="K166" s="185" t="s">
        <v>3105</v>
      </c>
      <c r="L166" s="183" t="s">
        <v>285</v>
      </c>
      <c r="M166" s="183" t="s">
        <v>155</v>
      </c>
      <c r="N166" s="183" t="s">
        <v>1880</v>
      </c>
      <c r="O166" s="352"/>
    </row>
    <row r="167" spans="1:15" s="182" customFormat="1" ht="21.75" customHeight="1" x14ac:dyDescent="0.15">
      <c r="A167" s="151" t="s">
        <v>3773</v>
      </c>
      <c r="B167" s="20" t="s">
        <v>3556</v>
      </c>
      <c r="C167" s="352" t="s">
        <v>3346</v>
      </c>
      <c r="D167" s="352" t="s">
        <v>3354</v>
      </c>
      <c r="E167" s="352" t="s">
        <v>845</v>
      </c>
      <c r="F167" s="184" t="s">
        <v>3355</v>
      </c>
      <c r="G167" s="235" t="s">
        <v>3775</v>
      </c>
      <c r="H167" s="352">
        <v>19032</v>
      </c>
      <c r="I167" s="194">
        <v>0</v>
      </c>
      <c r="J167" s="194">
        <v>254702.7</v>
      </c>
      <c r="K167" s="185">
        <v>0.9</v>
      </c>
      <c r="L167" s="183" t="s">
        <v>1172</v>
      </c>
      <c r="M167" s="183" t="s">
        <v>162</v>
      </c>
      <c r="N167" s="183" t="s">
        <v>1784</v>
      </c>
      <c r="O167" s="352"/>
    </row>
    <row r="168" spans="1:15" s="182" customFormat="1" ht="21.75" customHeight="1" x14ac:dyDescent="0.15">
      <c r="A168" s="151" t="s">
        <v>3773</v>
      </c>
      <c r="B168" s="20" t="s">
        <v>3555</v>
      </c>
      <c r="C168" s="352" t="s">
        <v>3346</v>
      </c>
      <c r="D168" s="352" t="s">
        <v>3354</v>
      </c>
      <c r="E168" s="352" t="s">
        <v>844</v>
      </c>
      <c r="F168" s="184" t="s">
        <v>3355</v>
      </c>
      <c r="G168" s="235" t="s">
        <v>3775</v>
      </c>
      <c r="H168" s="352">
        <v>19034</v>
      </c>
      <c r="I168" s="194">
        <v>0</v>
      </c>
      <c r="J168" s="194">
        <v>210112.2</v>
      </c>
      <c r="K168" s="185">
        <v>0.9</v>
      </c>
      <c r="L168" s="183" t="s">
        <v>1172</v>
      </c>
      <c r="M168" s="183" t="s">
        <v>162</v>
      </c>
      <c r="N168" s="183" t="s">
        <v>1784</v>
      </c>
      <c r="O168" s="352"/>
    </row>
    <row r="169" spans="1:15" s="182" customFormat="1" ht="21.75" customHeight="1" x14ac:dyDescent="0.15">
      <c r="A169" s="151" t="s">
        <v>3776</v>
      </c>
      <c r="B169" s="20" t="s">
        <v>2074</v>
      </c>
      <c r="C169" s="353" t="s">
        <v>3346</v>
      </c>
      <c r="D169" s="353" t="s">
        <v>3354</v>
      </c>
      <c r="E169" s="353" t="s">
        <v>3777</v>
      </c>
      <c r="F169" s="184" t="s">
        <v>3579</v>
      </c>
      <c r="G169" s="235" t="s">
        <v>3778</v>
      </c>
      <c r="H169" s="353">
        <v>19030</v>
      </c>
      <c r="I169" s="194">
        <v>0</v>
      </c>
      <c r="J169" s="194">
        <v>92348</v>
      </c>
      <c r="K169" s="185">
        <v>1</v>
      </c>
      <c r="L169" s="183" t="s">
        <v>1948</v>
      </c>
      <c r="M169" s="183" t="s">
        <v>1784</v>
      </c>
      <c r="N169" s="183" t="s">
        <v>1784</v>
      </c>
      <c r="O169" s="353"/>
    </row>
    <row r="170" spans="1:15" s="182" customFormat="1" ht="21.75" customHeight="1" x14ac:dyDescent="0.15">
      <c r="A170" s="151" t="s">
        <v>3776</v>
      </c>
      <c r="B170" s="20" t="s">
        <v>1313</v>
      </c>
      <c r="C170" s="354" t="s">
        <v>3779</v>
      </c>
      <c r="D170" s="354" t="s">
        <v>3780</v>
      </c>
      <c r="E170" s="354" t="s">
        <v>3781</v>
      </c>
      <c r="F170" s="355" t="s">
        <v>3782</v>
      </c>
      <c r="G170" s="356" t="s">
        <v>3783</v>
      </c>
      <c r="H170" s="353">
        <v>19031</v>
      </c>
      <c r="I170" s="194">
        <v>0</v>
      </c>
      <c r="J170" s="194">
        <v>210112.2</v>
      </c>
      <c r="K170" s="185">
        <v>0.9</v>
      </c>
      <c r="L170" s="183" t="s">
        <v>1172</v>
      </c>
      <c r="M170" s="183" t="s">
        <v>162</v>
      </c>
      <c r="N170" s="183" t="s">
        <v>1784</v>
      </c>
      <c r="O170" s="353"/>
    </row>
    <row r="171" spans="1:15" s="182" customFormat="1" ht="21.75" customHeight="1" x14ac:dyDescent="0.15">
      <c r="A171" s="151" t="s">
        <v>3776</v>
      </c>
      <c r="B171" s="20" t="s">
        <v>254</v>
      </c>
      <c r="C171" s="357" t="s">
        <v>3346</v>
      </c>
      <c r="D171" s="357" t="s">
        <v>3354</v>
      </c>
      <c r="E171" s="357" t="s">
        <v>921</v>
      </c>
      <c r="F171" s="184" t="s">
        <v>3355</v>
      </c>
      <c r="G171" s="235" t="s">
        <v>3775</v>
      </c>
      <c r="H171" s="357">
        <v>19033</v>
      </c>
      <c r="I171" s="194">
        <v>0</v>
      </c>
      <c r="J171" s="194">
        <v>210112.2</v>
      </c>
      <c r="K171" s="185">
        <v>0.9</v>
      </c>
      <c r="L171" s="183" t="s">
        <v>1172</v>
      </c>
      <c r="M171" s="183" t="s">
        <v>162</v>
      </c>
      <c r="N171" s="183" t="s">
        <v>1784</v>
      </c>
      <c r="O171" s="357"/>
    </row>
    <row r="172" spans="1:15" s="182" customFormat="1" ht="21.75" customHeight="1" x14ac:dyDescent="0.15">
      <c r="A172" s="151" t="s">
        <v>3788</v>
      </c>
      <c r="B172" s="20" t="s">
        <v>2646</v>
      </c>
      <c r="C172" s="224" t="s">
        <v>3346</v>
      </c>
      <c r="D172" s="224" t="s">
        <v>3463</v>
      </c>
      <c r="E172" s="180" t="s">
        <v>3789</v>
      </c>
      <c r="F172" s="224" t="s">
        <v>3328</v>
      </c>
      <c r="G172" s="239" t="s">
        <v>3349</v>
      </c>
      <c r="H172" s="359">
        <v>19100</v>
      </c>
      <c r="I172" s="194">
        <v>0</v>
      </c>
      <c r="J172" s="194">
        <v>122400</v>
      </c>
      <c r="K172" s="185">
        <v>1</v>
      </c>
      <c r="L172" s="183" t="s">
        <v>285</v>
      </c>
      <c r="M172" s="183" t="s">
        <v>3725</v>
      </c>
      <c r="N172" s="183" t="s">
        <v>3790</v>
      </c>
      <c r="O172" s="359"/>
    </row>
    <row r="173" spans="1:15" s="182" customFormat="1" ht="21.75" customHeight="1" x14ac:dyDescent="0.15">
      <c r="A173" s="151" t="s">
        <v>3788</v>
      </c>
      <c r="B173" s="20" t="s">
        <v>2647</v>
      </c>
      <c r="C173" s="224" t="s">
        <v>3346</v>
      </c>
      <c r="D173" s="224" t="s">
        <v>3463</v>
      </c>
      <c r="E173" s="180" t="s">
        <v>3791</v>
      </c>
      <c r="F173" s="224" t="s">
        <v>3328</v>
      </c>
      <c r="G173" s="239" t="s">
        <v>3349</v>
      </c>
      <c r="H173" s="359">
        <v>19098</v>
      </c>
      <c r="I173" s="194">
        <v>0</v>
      </c>
      <c r="J173" s="194">
        <v>122400</v>
      </c>
      <c r="K173" s="185">
        <v>1</v>
      </c>
      <c r="L173" s="183" t="s">
        <v>285</v>
      </c>
      <c r="M173" s="183" t="s">
        <v>3725</v>
      </c>
      <c r="N173" s="183" t="s">
        <v>3790</v>
      </c>
      <c r="O173" s="359"/>
    </row>
    <row r="174" spans="1:15" s="182" customFormat="1" ht="21.75" customHeight="1" x14ac:dyDescent="0.15">
      <c r="A174" s="151" t="s">
        <v>3788</v>
      </c>
      <c r="B174" s="20" t="s">
        <v>2946</v>
      </c>
      <c r="C174" s="224" t="s">
        <v>3346</v>
      </c>
      <c r="D174" s="224" t="s">
        <v>3463</v>
      </c>
      <c r="E174" s="180" t="s">
        <v>3792</v>
      </c>
      <c r="F174" s="224" t="s">
        <v>3328</v>
      </c>
      <c r="G174" s="239" t="s">
        <v>3349</v>
      </c>
      <c r="H174" s="359">
        <v>19092</v>
      </c>
      <c r="I174" s="194">
        <v>0</v>
      </c>
      <c r="J174" s="194">
        <v>122400</v>
      </c>
      <c r="K174" s="185">
        <v>1</v>
      </c>
      <c r="L174" s="183" t="s">
        <v>285</v>
      </c>
      <c r="M174" s="183" t="s">
        <v>3725</v>
      </c>
      <c r="N174" s="183" t="s">
        <v>3790</v>
      </c>
      <c r="O174" s="359"/>
    </row>
    <row r="175" spans="1:15" s="182" customFormat="1" ht="21.75" customHeight="1" x14ac:dyDescent="0.15">
      <c r="A175" s="151" t="s">
        <v>3788</v>
      </c>
      <c r="B175" s="20" t="s">
        <v>2078</v>
      </c>
      <c r="C175" s="224" t="s">
        <v>3346</v>
      </c>
      <c r="D175" s="224" t="s">
        <v>3463</v>
      </c>
      <c r="E175" s="30" t="s">
        <v>3793</v>
      </c>
      <c r="F175" s="224" t="s">
        <v>3328</v>
      </c>
      <c r="G175" s="239" t="s">
        <v>3349</v>
      </c>
      <c r="H175" s="359">
        <v>19105</v>
      </c>
      <c r="I175" s="194">
        <v>0</v>
      </c>
      <c r="J175" s="194">
        <v>122400</v>
      </c>
      <c r="K175" s="185">
        <v>1</v>
      </c>
      <c r="L175" s="183" t="s">
        <v>285</v>
      </c>
      <c r="M175" s="183" t="s">
        <v>3725</v>
      </c>
      <c r="N175" s="183" t="s">
        <v>3790</v>
      </c>
      <c r="O175" s="359"/>
    </row>
    <row r="176" spans="1:15" s="182" customFormat="1" ht="21.75" customHeight="1" x14ac:dyDescent="0.15">
      <c r="A176" s="151" t="s">
        <v>3788</v>
      </c>
      <c r="B176" s="20" t="s">
        <v>2644</v>
      </c>
      <c r="C176" s="224" t="s">
        <v>3346</v>
      </c>
      <c r="D176" s="224" t="s">
        <v>3463</v>
      </c>
      <c r="E176" s="180" t="s">
        <v>964</v>
      </c>
      <c r="F176" s="224" t="s">
        <v>3328</v>
      </c>
      <c r="G176" s="239" t="s">
        <v>3349</v>
      </c>
      <c r="H176" s="359">
        <v>19097</v>
      </c>
      <c r="I176" s="194">
        <v>0</v>
      </c>
      <c r="J176" s="194">
        <v>122400</v>
      </c>
      <c r="K176" s="185">
        <v>1</v>
      </c>
      <c r="L176" s="183" t="s">
        <v>285</v>
      </c>
      <c r="M176" s="183" t="s">
        <v>3725</v>
      </c>
      <c r="N176" s="183" t="s">
        <v>3790</v>
      </c>
      <c r="O176" s="359"/>
    </row>
    <row r="177" spans="1:15" s="182" customFormat="1" ht="21.75" customHeight="1" x14ac:dyDescent="0.15">
      <c r="A177" s="151" t="s">
        <v>3788</v>
      </c>
      <c r="B177" s="20" t="s">
        <v>343</v>
      </c>
      <c r="C177" s="224" t="s">
        <v>3346</v>
      </c>
      <c r="D177" s="224" t="s">
        <v>3463</v>
      </c>
      <c r="E177" s="225" t="s">
        <v>2953</v>
      </c>
      <c r="F177" s="224" t="s">
        <v>3328</v>
      </c>
      <c r="G177" s="239" t="s">
        <v>3349</v>
      </c>
      <c r="H177" s="178" t="s">
        <v>3794</v>
      </c>
      <c r="I177" s="194">
        <v>0</v>
      </c>
      <c r="J177" s="194">
        <v>122400</v>
      </c>
      <c r="K177" s="185">
        <v>1</v>
      </c>
      <c r="L177" s="183" t="s">
        <v>285</v>
      </c>
      <c r="M177" s="183" t="s">
        <v>3725</v>
      </c>
      <c r="N177" s="183" t="s">
        <v>3790</v>
      </c>
      <c r="O177" s="359"/>
    </row>
    <row r="178" spans="1:15" s="182" customFormat="1" ht="21.75" customHeight="1" x14ac:dyDescent="0.15">
      <c r="A178" s="151" t="s">
        <v>3788</v>
      </c>
      <c r="B178" s="20" t="s">
        <v>44</v>
      </c>
      <c r="C178" s="224" t="s">
        <v>3346</v>
      </c>
      <c r="D178" s="224" t="s">
        <v>3463</v>
      </c>
      <c r="E178" s="225" t="s">
        <v>2954</v>
      </c>
      <c r="F178" s="224" t="s">
        <v>3328</v>
      </c>
      <c r="G178" s="239" t="s">
        <v>3349</v>
      </c>
      <c r="H178" s="178" t="s">
        <v>3795</v>
      </c>
      <c r="I178" s="194">
        <v>0</v>
      </c>
      <c r="J178" s="194">
        <v>122400</v>
      </c>
      <c r="K178" s="185">
        <v>1</v>
      </c>
      <c r="L178" s="183" t="s">
        <v>285</v>
      </c>
      <c r="M178" s="183" t="s">
        <v>3725</v>
      </c>
      <c r="N178" s="183" t="s">
        <v>3790</v>
      </c>
      <c r="O178" s="359"/>
    </row>
    <row r="179" spans="1:15" s="182" customFormat="1" ht="21.75" customHeight="1" x14ac:dyDescent="0.15">
      <c r="A179" s="151" t="s">
        <v>3788</v>
      </c>
      <c r="B179" s="20" t="s">
        <v>44</v>
      </c>
      <c r="C179" s="224" t="s">
        <v>3346</v>
      </c>
      <c r="D179" s="224" t="s">
        <v>3463</v>
      </c>
      <c r="E179" s="225" t="s">
        <v>2955</v>
      </c>
      <c r="F179" s="224" t="s">
        <v>3328</v>
      </c>
      <c r="G179" s="239" t="s">
        <v>3349</v>
      </c>
      <c r="H179" s="178" t="s">
        <v>3796</v>
      </c>
      <c r="I179" s="194">
        <v>0</v>
      </c>
      <c r="J179" s="194">
        <v>122400</v>
      </c>
      <c r="K179" s="185">
        <v>1</v>
      </c>
      <c r="L179" s="183" t="s">
        <v>285</v>
      </c>
      <c r="M179" s="183" t="s">
        <v>3725</v>
      </c>
      <c r="N179" s="183" t="s">
        <v>3790</v>
      </c>
      <c r="O179" s="359"/>
    </row>
    <row r="180" spans="1:15" s="182" customFormat="1" ht="21.75" customHeight="1" x14ac:dyDescent="0.15">
      <c r="A180" s="151" t="s">
        <v>3788</v>
      </c>
      <c r="B180" s="20" t="s">
        <v>44</v>
      </c>
      <c r="C180" s="224" t="s">
        <v>3346</v>
      </c>
      <c r="D180" s="224" t="s">
        <v>3463</v>
      </c>
      <c r="E180" s="225" t="s">
        <v>2956</v>
      </c>
      <c r="F180" s="224" t="s">
        <v>3328</v>
      </c>
      <c r="G180" s="239" t="s">
        <v>3349</v>
      </c>
      <c r="H180" s="178" t="s">
        <v>3797</v>
      </c>
      <c r="I180" s="194">
        <v>0</v>
      </c>
      <c r="J180" s="194">
        <v>122400</v>
      </c>
      <c r="K180" s="185">
        <v>1</v>
      </c>
      <c r="L180" s="183" t="s">
        <v>285</v>
      </c>
      <c r="M180" s="183" t="s">
        <v>3725</v>
      </c>
      <c r="N180" s="183" t="s">
        <v>3790</v>
      </c>
      <c r="O180" s="359"/>
    </row>
    <row r="181" spans="1:15" s="182" customFormat="1" ht="21.75" customHeight="1" x14ac:dyDescent="0.15">
      <c r="A181" s="151" t="s">
        <v>3788</v>
      </c>
      <c r="B181" s="20" t="s">
        <v>488</v>
      </c>
      <c r="C181" s="224" t="s">
        <v>3346</v>
      </c>
      <c r="D181" s="224" t="s">
        <v>3463</v>
      </c>
      <c r="E181" s="180" t="s">
        <v>3798</v>
      </c>
      <c r="F181" s="224" t="s">
        <v>3328</v>
      </c>
      <c r="G181" s="239" t="s">
        <v>3349</v>
      </c>
      <c r="H181" s="359">
        <v>19102</v>
      </c>
      <c r="I181" s="194">
        <v>0</v>
      </c>
      <c r="J181" s="194">
        <v>122400</v>
      </c>
      <c r="K181" s="185">
        <v>1</v>
      </c>
      <c r="L181" s="183" t="s">
        <v>285</v>
      </c>
      <c r="M181" s="183" t="s">
        <v>3725</v>
      </c>
      <c r="N181" s="183" t="s">
        <v>3790</v>
      </c>
      <c r="O181" s="359"/>
    </row>
    <row r="182" spans="1:15" s="182" customFormat="1" ht="21.75" customHeight="1" x14ac:dyDescent="0.15">
      <c r="A182" s="151" t="s">
        <v>3788</v>
      </c>
      <c r="B182" s="20" t="s">
        <v>342</v>
      </c>
      <c r="C182" s="224" t="s">
        <v>3346</v>
      </c>
      <c r="D182" s="224" t="s">
        <v>3463</v>
      </c>
      <c r="E182" s="180" t="s">
        <v>3799</v>
      </c>
      <c r="F182" s="224" t="s">
        <v>3328</v>
      </c>
      <c r="G182" s="239" t="s">
        <v>3349</v>
      </c>
      <c r="H182" s="359">
        <v>19103</v>
      </c>
      <c r="I182" s="194">
        <v>0</v>
      </c>
      <c r="J182" s="194">
        <v>122400</v>
      </c>
      <c r="K182" s="185">
        <v>1</v>
      </c>
      <c r="L182" s="183" t="s">
        <v>285</v>
      </c>
      <c r="M182" s="183" t="s">
        <v>3725</v>
      </c>
      <c r="N182" s="183" t="s">
        <v>3790</v>
      </c>
      <c r="O182" s="359"/>
    </row>
    <row r="183" spans="1:15" s="182" customFormat="1" ht="21.75" customHeight="1" x14ac:dyDescent="0.15">
      <c r="A183" s="151" t="s">
        <v>3788</v>
      </c>
      <c r="B183" s="20" t="s">
        <v>1653</v>
      </c>
      <c r="C183" s="224" t="s">
        <v>3346</v>
      </c>
      <c r="D183" s="224" t="s">
        <v>3463</v>
      </c>
      <c r="E183" s="180" t="s">
        <v>3800</v>
      </c>
      <c r="F183" s="224" t="s">
        <v>3328</v>
      </c>
      <c r="G183" s="239" t="s">
        <v>3349</v>
      </c>
      <c r="H183" s="359">
        <v>19104</v>
      </c>
      <c r="I183" s="194">
        <v>0</v>
      </c>
      <c r="J183" s="194">
        <v>122400</v>
      </c>
      <c r="K183" s="185">
        <v>1</v>
      </c>
      <c r="L183" s="183" t="s">
        <v>285</v>
      </c>
      <c r="M183" s="183" t="s">
        <v>3725</v>
      </c>
      <c r="N183" s="183" t="s">
        <v>3790</v>
      </c>
      <c r="O183" s="359"/>
    </row>
    <row r="184" spans="1:15" s="182" customFormat="1" ht="21.75" customHeight="1" x14ac:dyDescent="0.15">
      <c r="A184" s="151" t="s">
        <v>3788</v>
      </c>
      <c r="B184" s="20" t="s">
        <v>174</v>
      </c>
      <c r="C184" s="224" t="s">
        <v>3346</v>
      </c>
      <c r="D184" s="224" t="s">
        <v>3463</v>
      </c>
      <c r="E184" s="180" t="s">
        <v>934</v>
      </c>
      <c r="F184" s="224" t="s">
        <v>3328</v>
      </c>
      <c r="G184" s="239" t="s">
        <v>3349</v>
      </c>
      <c r="H184" s="360">
        <v>19090</v>
      </c>
      <c r="I184" s="194">
        <v>0</v>
      </c>
      <c r="J184" s="194">
        <v>122400</v>
      </c>
      <c r="K184" s="185">
        <v>1</v>
      </c>
      <c r="L184" s="183" t="s">
        <v>285</v>
      </c>
      <c r="M184" s="183" t="s">
        <v>3725</v>
      </c>
      <c r="N184" s="183" t="s">
        <v>3790</v>
      </c>
      <c r="O184" s="360"/>
    </row>
    <row r="185" spans="1:15" s="182" customFormat="1" ht="21.75" customHeight="1" x14ac:dyDescent="0.15">
      <c r="A185" s="151" t="s">
        <v>3801</v>
      </c>
      <c r="B185" s="20" t="s">
        <v>2019</v>
      </c>
      <c r="C185" s="362" t="s">
        <v>3779</v>
      </c>
      <c r="D185" s="362" t="s">
        <v>3802</v>
      </c>
      <c r="E185" s="362" t="s">
        <v>3803</v>
      </c>
      <c r="F185" s="362" t="s">
        <v>3804</v>
      </c>
      <c r="G185" s="363" t="s">
        <v>3805</v>
      </c>
      <c r="H185" s="360">
        <v>18152</v>
      </c>
      <c r="I185" s="194">
        <v>0</v>
      </c>
      <c r="J185" s="194">
        <v>100000</v>
      </c>
      <c r="K185" s="185" t="s">
        <v>3105</v>
      </c>
      <c r="L185" s="183" t="s">
        <v>285</v>
      </c>
      <c r="M185" s="183" t="s">
        <v>155</v>
      </c>
      <c r="N185" s="183" t="s">
        <v>1880</v>
      </c>
      <c r="O185" s="360"/>
    </row>
    <row r="186" spans="1:15" s="182" customFormat="1" ht="21.75" customHeight="1" x14ac:dyDescent="0.15">
      <c r="A186" s="151" t="s">
        <v>3801</v>
      </c>
      <c r="B186" s="20" t="s">
        <v>624</v>
      </c>
      <c r="C186" s="224" t="s">
        <v>3346</v>
      </c>
      <c r="D186" s="224" t="s">
        <v>3463</v>
      </c>
      <c r="E186" s="180" t="s">
        <v>3806</v>
      </c>
      <c r="F186" s="224" t="s">
        <v>3328</v>
      </c>
      <c r="G186" s="239" t="s">
        <v>3349</v>
      </c>
      <c r="H186" s="361">
        <v>19094</v>
      </c>
      <c r="I186" s="194">
        <v>0</v>
      </c>
      <c r="J186" s="194">
        <v>122400</v>
      </c>
      <c r="K186" s="185">
        <v>1</v>
      </c>
      <c r="L186" s="183" t="s">
        <v>285</v>
      </c>
      <c r="M186" s="183" t="s">
        <v>3725</v>
      </c>
      <c r="N186" s="183" t="s">
        <v>3790</v>
      </c>
      <c r="O186" s="361"/>
    </row>
    <row r="187" spans="1:15" s="182" customFormat="1" ht="21.75" customHeight="1" x14ac:dyDescent="0.15">
      <c r="A187" s="151" t="s">
        <v>3801</v>
      </c>
      <c r="B187" s="20" t="s">
        <v>340</v>
      </c>
      <c r="C187" s="224" t="s">
        <v>3346</v>
      </c>
      <c r="D187" s="224" t="s">
        <v>3463</v>
      </c>
      <c r="E187" s="180" t="s">
        <v>3807</v>
      </c>
      <c r="F187" s="224" t="s">
        <v>3328</v>
      </c>
      <c r="G187" s="239" t="s">
        <v>3349</v>
      </c>
      <c r="H187" s="361">
        <v>19093</v>
      </c>
      <c r="I187" s="194">
        <v>0</v>
      </c>
      <c r="J187" s="194">
        <v>122400</v>
      </c>
      <c r="K187" s="185">
        <v>1</v>
      </c>
      <c r="L187" s="183" t="s">
        <v>285</v>
      </c>
      <c r="M187" s="183" t="s">
        <v>3725</v>
      </c>
      <c r="N187" s="183" t="s">
        <v>3790</v>
      </c>
      <c r="O187" s="361"/>
    </row>
    <row r="188" spans="1:15" s="182" customFormat="1" ht="21.75" customHeight="1" x14ac:dyDescent="0.15">
      <c r="A188" s="151" t="s">
        <v>3801</v>
      </c>
      <c r="B188" s="20" t="s">
        <v>489</v>
      </c>
      <c r="C188" s="224" t="s">
        <v>3346</v>
      </c>
      <c r="D188" s="224" t="s">
        <v>3463</v>
      </c>
      <c r="E188" s="180" t="s">
        <v>3808</v>
      </c>
      <c r="F188" s="224" t="s">
        <v>3328</v>
      </c>
      <c r="G188" s="239" t="s">
        <v>3349</v>
      </c>
      <c r="H188" s="361">
        <v>19099</v>
      </c>
      <c r="I188" s="194">
        <v>0</v>
      </c>
      <c r="J188" s="194">
        <v>122400</v>
      </c>
      <c r="K188" s="185">
        <v>1</v>
      </c>
      <c r="L188" s="183" t="s">
        <v>285</v>
      </c>
      <c r="M188" s="183" t="s">
        <v>3725</v>
      </c>
      <c r="N188" s="183" t="s">
        <v>3790</v>
      </c>
      <c r="O188" s="361"/>
    </row>
    <row r="189" spans="1:15" s="182" customFormat="1" ht="21.75" customHeight="1" x14ac:dyDescent="0.15">
      <c r="A189" s="151" t="s">
        <v>3801</v>
      </c>
      <c r="B189" s="20" t="s">
        <v>490</v>
      </c>
      <c r="C189" s="224" t="s">
        <v>3346</v>
      </c>
      <c r="D189" s="224" t="s">
        <v>3463</v>
      </c>
      <c r="E189" s="180" t="s">
        <v>967</v>
      </c>
      <c r="F189" s="224" t="s">
        <v>3328</v>
      </c>
      <c r="G189" s="239" t="s">
        <v>3349</v>
      </c>
      <c r="H189" s="361">
        <v>19101</v>
      </c>
      <c r="I189" s="194">
        <v>0</v>
      </c>
      <c r="J189" s="194">
        <v>122400</v>
      </c>
      <c r="K189" s="185">
        <v>1</v>
      </c>
      <c r="L189" s="183" t="s">
        <v>285</v>
      </c>
      <c r="M189" s="183" t="s">
        <v>3725</v>
      </c>
      <c r="N189" s="183" t="s">
        <v>3790</v>
      </c>
      <c r="O189" s="361"/>
    </row>
    <row r="190" spans="1:15" s="182" customFormat="1" ht="21.75" customHeight="1" x14ac:dyDescent="0.15">
      <c r="A190" s="151" t="s">
        <v>3801</v>
      </c>
      <c r="B190" s="20" t="s">
        <v>482</v>
      </c>
      <c r="C190" s="224" t="s">
        <v>3346</v>
      </c>
      <c r="D190" s="224" t="s">
        <v>3463</v>
      </c>
      <c r="E190" s="180" t="s">
        <v>3809</v>
      </c>
      <c r="F190" s="224" t="s">
        <v>3328</v>
      </c>
      <c r="G190" s="239" t="s">
        <v>3349</v>
      </c>
      <c r="H190" s="361">
        <v>19095</v>
      </c>
      <c r="I190" s="194">
        <v>0</v>
      </c>
      <c r="J190" s="194">
        <v>122400</v>
      </c>
      <c r="K190" s="185">
        <v>1</v>
      </c>
      <c r="L190" s="183" t="s">
        <v>285</v>
      </c>
      <c r="M190" s="183" t="s">
        <v>3725</v>
      </c>
      <c r="N190" s="183" t="s">
        <v>3790</v>
      </c>
      <c r="O190" s="361"/>
    </row>
    <row r="191" spans="1:15" s="182" customFormat="1" ht="21.75" customHeight="1" x14ac:dyDescent="0.15">
      <c r="A191" s="151" t="s">
        <v>3801</v>
      </c>
      <c r="B191" s="20" t="s">
        <v>2260</v>
      </c>
      <c r="C191" s="224" t="s">
        <v>3346</v>
      </c>
      <c r="D191" s="224" t="s">
        <v>3463</v>
      </c>
      <c r="E191" s="180" t="s">
        <v>3464</v>
      </c>
      <c r="F191" s="224" t="s">
        <v>3328</v>
      </c>
      <c r="G191" s="239" t="s">
        <v>3349</v>
      </c>
      <c r="H191" s="361">
        <v>19096</v>
      </c>
      <c r="I191" s="194">
        <v>0</v>
      </c>
      <c r="J191" s="194">
        <v>122400</v>
      </c>
      <c r="K191" s="185">
        <v>1</v>
      </c>
      <c r="L191" s="183" t="s">
        <v>285</v>
      </c>
      <c r="M191" s="183" t="s">
        <v>3725</v>
      </c>
      <c r="N191" s="183" t="s">
        <v>3790</v>
      </c>
      <c r="O191" s="361"/>
    </row>
    <row r="192" spans="1:15" s="182" customFormat="1" ht="21.75" customHeight="1" x14ac:dyDescent="0.15">
      <c r="A192" s="151" t="s">
        <v>3801</v>
      </c>
      <c r="B192" s="20" t="s">
        <v>3810</v>
      </c>
      <c r="C192" s="355" t="s">
        <v>3811</v>
      </c>
      <c r="D192" s="354" t="s">
        <v>3812</v>
      </c>
      <c r="E192" s="355" t="s">
        <v>3813</v>
      </c>
      <c r="F192" s="358" t="s">
        <v>3782</v>
      </c>
      <c r="G192" s="356" t="s">
        <v>3787</v>
      </c>
      <c r="H192" s="338">
        <v>17123</v>
      </c>
      <c r="I192" s="194">
        <v>0</v>
      </c>
      <c r="J192" s="194">
        <v>78000</v>
      </c>
      <c r="K192" s="185">
        <v>1</v>
      </c>
      <c r="L192" s="183" t="s">
        <v>2449</v>
      </c>
      <c r="M192" s="183" t="s">
        <v>3725</v>
      </c>
      <c r="N192" s="183" t="s">
        <v>1784</v>
      </c>
      <c r="O192" s="338"/>
    </row>
    <row r="193" spans="1:15" s="182" customFormat="1" ht="21.75" customHeight="1" x14ac:dyDescent="0.15">
      <c r="A193" s="151" t="s">
        <v>3814</v>
      </c>
      <c r="B193" s="20" t="s">
        <v>3815</v>
      </c>
      <c r="C193" s="184" t="s">
        <v>3363</v>
      </c>
      <c r="D193" s="184" t="s">
        <v>3439</v>
      </c>
      <c r="E193" s="184" t="s">
        <v>3816</v>
      </c>
      <c r="F193" s="267" t="s">
        <v>3328</v>
      </c>
      <c r="G193" s="235" t="s">
        <v>3817</v>
      </c>
      <c r="H193" s="364">
        <v>19044</v>
      </c>
      <c r="I193" s="194">
        <v>0</v>
      </c>
      <c r="J193" s="194">
        <v>236715.51</v>
      </c>
      <c r="K193" s="185">
        <v>0.9</v>
      </c>
      <c r="L193" s="183" t="s">
        <v>3209</v>
      </c>
      <c r="M193" s="183" t="s">
        <v>155</v>
      </c>
      <c r="N193" s="183" t="s">
        <v>1880</v>
      </c>
      <c r="O193" s="364"/>
    </row>
    <row r="194" spans="1:15" s="182" customFormat="1" ht="21.75" customHeight="1" x14ac:dyDescent="0.15">
      <c r="A194" s="151" t="s">
        <v>3814</v>
      </c>
      <c r="B194" s="20" t="s">
        <v>1290</v>
      </c>
      <c r="C194" s="224" t="s">
        <v>3363</v>
      </c>
      <c r="D194" s="224" t="s">
        <v>3460</v>
      </c>
      <c r="E194" s="224" t="s">
        <v>3461</v>
      </c>
      <c r="F194" s="224" t="s">
        <v>3328</v>
      </c>
      <c r="G194" s="239" t="s">
        <v>3349</v>
      </c>
      <c r="H194" s="365">
        <v>18145</v>
      </c>
      <c r="I194" s="194">
        <v>0</v>
      </c>
      <c r="J194" s="194">
        <v>22500</v>
      </c>
      <c r="K194" s="222">
        <v>0.22500000000000001</v>
      </c>
      <c r="L194" s="183" t="s">
        <v>285</v>
      </c>
      <c r="M194" s="183" t="s">
        <v>2660</v>
      </c>
      <c r="N194" s="183" t="s">
        <v>2660</v>
      </c>
      <c r="O194" s="365"/>
    </row>
    <row r="195" spans="1:15" s="182" customFormat="1" ht="21.75" customHeight="1" x14ac:dyDescent="0.15">
      <c r="A195" s="151" t="s">
        <v>3814</v>
      </c>
      <c r="B195" s="20" t="s">
        <v>2604</v>
      </c>
      <c r="C195" s="183" t="s">
        <v>3819</v>
      </c>
      <c r="D195" s="367" t="s">
        <v>3820</v>
      </c>
      <c r="E195" s="180" t="s">
        <v>3821</v>
      </c>
      <c r="F195" s="184" t="s">
        <v>3344</v>
      </c>
      <c r="G195" s="184" t="s">
        <v>3477</v>
      </c>
      <c r="H195" s="366">
        <v>16083</v>
      </c>
      <c r="I195" s="194">
        <v>0</v>
      </c>
      <c r="J195" s="194">
        <v>10000</v>
      </c>
      <c r="K195" s="185" t="s">
        <v>3763</v>
      </c>
      <c r="L195" s="183" t="s">
        <v>2769</v>
      </c>
      <c r="M195" s="183" t="s">
        <v>190</v>
      </c>
      <c r="N195" s="183" t="s">
        <v>190</v>
      </c>
      <c r="O195" s="366"/>
    </row>
    <row r="196" spans="1:15" s="182" customFormat="1" ht="21.75" customHeight="1" x14ac:dyDescent="0.15">
      <c r="A196" s="151" t="s">
        <v>3818</v>
      </c>
      <c r="B196" s="20" t="s">
        <v>3751</v>
      </c>
      <c r="C196" s="354" t="s">
        <v>3779</v>
      </c>
      <c r="D196" s="354" t="s">
        <v>3822</v>
      </c>
      <c r="E196" s="354" t="s">
        <v>3823</v>
      </c>
      <c r="F196" s="362" t="s">
        <v>3782</v>
      </c>
      <c r="G196" s="363" t="s">
        <v>3824</v>
      </c>
      <c r="H196" s="367">
        <v>19138</v>
      </c>
      <c r="I196" s="194">
        <v>0</v>
      </c>
      <c r="J196" s="194">
        <v>8000</v>
      </c>
      <c r="K196" s="185">
        <v>1</v>
      </c>
      <c r="L196" s="183" t="s">
        <v>1948</v>
      </c>
      <c r="M196" s="183" t="s">
        <v>1880</v>
      </c>
      <c r="N196" s="183" t="s">
        <v>1880</v>
      </c>
      <c r="O196" s="367"/>
    </row>
    <row r="197" spans="1:15" s="182" customFormat="1" ht="21.75" customHeight="1" x14ac:dyDescent="0.15">
      <c r="A197" s="151" t="s">
        <v>3825</v>
      </c>
      <c r="B197" s="20" t="s">
        <v>3826</v>
      </c>
      <c r="C197" s="368" t="s">
        <v>3598</v>
      </c>
      <c r="D197" s="236" t="s">
        <v>3827</v>
      </c>
      <c r="E197" s="30" t="s">
        <v>3828</v>
      </c>
      <c r="F197" s="224" t="s">
        <v>3328</v>
      </c>
      <c r="G197" s="235" t="s">
        <v>3829</v>
      </c>
      <c r="H197" s="366">
        <v>19085</v>
      </c>
      <c r="I197" s="194">
        <v>0</v>
      </c>
      <c r="J197" s="194">
        <v>23000</v>
      </c>
      <c r="K197" s="185">
        <v>0.1</v>
      </c>
      <c r="L197" s="183" t="s">
        <v>1162</v>
      </c>
      <c r="M197" s="183" t="s">
        <v>3388</v>
      </c>
      <c r="N197" s="183" t="s">
        <v>3388</v>
      </c>
      <c r="O197" s="366"/>
    </row>
    <row r="198" spans="1:15" s="182" customFormat="1" ht="21.75" customHeight="1" x14ac:dyDescent="0.15">
      <c r="A198" s="151" t="s">
        <v>3830</v>
      </c>
      <c r="B198" s="20" t="s">
        <v>2111</v>
      </c>
      <c r="C198" s="224" t="s">
        <v>3346</v>
      </c>
      <c r="D198" s="224" t="s">
        <v>3352</v>
      </c>
      <c r="E198" s="224" t="s">
        <v>3715</v>
      </c>
      <c r="F198" s="224" t="s">
        <v>3328</v>
      </c>
      <c r="G198" s="239" t="s">
        <v>3670</v>
      </c>
      <c r="H198" s="369">
        <v>18202</v>
      </c>
      <c r="I198" s="194">
        <v>0</v>
      </c>
      <c r="J198" s="194">
        <v>31000</v>
      </c>
      <c r="K198" s="185">
        <v>1</v>
      </c>
      <c r="L198" s="183" t="s">
        <v>1948</v>
      </c>
      <c r="M198" s="183" t="s">
        <v>155</v>
      </c>
      <c r="N198" s="183" t="s">
        <v>1880</v>
      </c>
      <c r="O198" s="369"/>
    </row>
    <row r="199" spans="1:15" s="182" customFormat="1" ht="21.75" customHeight="1" x14ac:dyDescent="0.15">
      <c r="A199" s="151" t="s">
        <v>3830</v>
      </c>
      <c r="B199" s="20" t="s">
        <v>3480</v>
      </c>
      <c r="C199" s="371" t="s">
        <v>3779</v>
      </c>
      <c r="D199" s="371" t="s">
        <v>3831</v>
      </c>
      <c r="E199" s="372" t="s">
        <v>3832</v>
      </c>
      <c r="F199" s="206" t="s">
        <v>3483</v>
      </c>
      <c r="G199" s="265" t="s">
        <v>3483</v>
      </c>
      <c r="H199" s="369">
        <v>18031</v>
      </c>
      <c r="I199" s="194">
        <v>0</v>
      </c>
      <c r="J199" s="194">
        <v>30000</v>
      </c>
      <c r="K199" s="185" t="s">
        <v>3833</v>
      </c>
      <c r="L199" s="183" t="s">
        <v>1414</v>
      </c>
      <c r="M199" s="183" t="s">
        <v>1880</v>
      </c>
      <c r="N199" s="183" t="s">
        <v>1880</v>
      </c>
      <c r="O199" s="369"/>
    </row>
    <row r="200" spans="1:15" s="182" customFormat="1" ht="21.75" customHeight="1" x14ac:dyDescent="0.15">
      <c r="A200" s="151" t="s">
        <v>3844</v>
      </c>
      <c r="B200" s="20" t="s">
        <v>3846</v>
      </c>
      <c r="C200" s="224" t="s">
        <v>3325</v>
      </c>
      <c r="D200" s="224" t="s">
        <v>3457</v>
      </c>
      <c r="E200" s="224" t="s">
        <v>2777</v>
      </c>
      <c r="F200" s="224" t="s">
        <v>3328</v>
      </c>
      <c r="G200" s="239" t="s">
        <v>3349</v>
      </c>
      <c r="H200" s="374">
        <v>19164</v>
      </c>
      <c r="I200" s="194">
        <v>0</v>
      </c>
      <c r="J200" s="194">
        <v>5000</v>
      </c>
      <c r="K200" s="185">
        <v>0.1</v>
      </c>
      <c r="L200" s="183" t="s">
        <v>285</v>
      </c>
      <c r="M200" s="183" t="s">
        <v>2660</v>
      </c>
      <c r="N200" s="183" t="s">
        <v>2660</v>
      </c>
      <c r="O200" s="374"/>
    </row>
    <row r="201" spans="1:15" s="182" customFormat="1" ht="21.75" customHeight="1" x14ac:dyDescent="0.15">
      <c r="A201" s="151" t="s">
        <v>3834</v>
      </c>
      <c r="B201" s="20" t="s">
        <v>159</v>
      </c>
      <c r="C201" s="370" t="s">
        <v>3836</v>
      </c>
      <c r="D201" s="370" t="s">
        <v>3837</v>
      </c>
      <c r="E201" s="45" t="s">
        <v>3838</v>
      </c>
      <c r="F201" s="247" t="s">
        <v>3328</v>
      </c>
      <c r="G201" s="248" t="s">
        <v>3829</v>
      </c>
      <c r="H201" s="370">
        <v>12048</v>
      </c>
      <c r="I201" s="194">
        <v>0</v>
      </c>
      <c r="J201" s="194">
        <v>75000</v>
      </c>
      <c r="K201" s="185">
        <v>0.1</v>
      </c>
      <c r="L201" s="183" t="s">
        <v>1143</v>
      </c>
      <c r="M201" s="183" t="s">
        <v>158</v>
      </c>
      <c r="N201" s="183" t="s">
        <v>158</v>
      </c>
      <c r="O201" s="370"/>
    </row>
    <row r="202" spans="1:15" s="182" customFormat="1" ht="21.75" customHeight="1" x14ac:dyDescent="0.15">
      <c r="A202" s="151" t="s">
        <v>3834</v>
      </c>
      <c r="B202" s="20" t="s">
        <v>215</v>
      </c>
      <c r="C202" s="224" t="s">
        <v>3346</v>
      </c>
      <c r="D202" s="224" t="s">
        <v>3352</v>
      </c>
      <c r="E202" s="224" t="s">
        <v>987</v>
      </c>
      <c r="F202" s="224" t="s">
        <v>3328</v>
      </c>
      <c r="G202" s="239" t="s">
        <v>3670</v>
      </c>
      <c r="H202" s="370">
        <v>18201</v>
      </c>
      <c r="I202" s="194">
        <v>0</v>
      </c>
      <c r="J202" s="194">
        <v>31000</v>
      </c>
      <c r="K202" s="185">
        <v>1</v>
      </c>
      <c r="L202" s="183" t="s">
        <v>1948</v>
      </c>
      <c r="M202" s="183" t="s">
        <v>155</v>
      </c>
      <c r="N202" s="183" t="s">
        <v>1880</v>
      </c>
      <c r="O202" s="370"/>
    </row>
    <row r="203" spans="1:15" s="182" customFormat="1" ht="21.75" customHeight="1" x14ac:dyDescent="0.15">
      <c r="A203" s="151" t="s">
        <v>3834</v>
      </c>
      <c r="B203" s="20" t="s">
        <v>215</v>
      </c>
      <c r="C203" s="362" t="s">
        <v>3779</v>
      </c>
      <c r="D203" s="362" t="s">
        <v>3839</v>
      </c>
      <c r="E203" s="373" t="s">
        <v>3840</v>
      </c>
      <c r="F203" s="362" t="s">
        <v>3782</v>
      </c>
      <c r="G203" s="356" t="s">
        <v>3841</v>
      </c>
      <c r="H203" s="370">
        <v>18094</v>
      </c>
      <c r="I203" s="194">
        <v>0</v>
      </c>
      <c r="J203" s="194">
        <v>9000</v>
      </c>
      <c r="K203" s="185">
        <v>0.1</v>
      </c>
      <c r="L203" s="183" t="s">
        <v>1143</v>
      </c>
      <c r="M203" s="183" t="s">
        <v>155</v>
      </c>
      <c r="N203" s="183" t="s">
        <v>1880</v>
      </c>
      <c r="O203" s="370"/>
    </row>
    <row r="204" spans="1:15" s="182" customFormat="1" ht="21.75" customHeight="1" x14ac:dyDescent="0.15">
      <c r="A204" s="151" t="s">
        <v>3835</v>
      </c>
      <c r="B204" s="20" t="s">
        <v>219</v>
      </c>
      <c r="C204" s="224" t="s">
        <v>3346</v>
      </c>
      <c r="D204" s="224" t="s">
        <v>3352</v>
      </c>
      <c r="E204" s="180" t="s">
        <v>3842</v>
      </c>
      <c r="F204" s="224" t="s">
        <v>3328</v>
      </c>
      <c r="G204" s="239" t="s">
        <v>3670</v>
      </c>
      <c r="H204" s="370">
        <v>18203</v>
      </c>
      <c r="I204" s="194">
        <v>0</v>
      </c>
      <c r="J204" s="194">
        <v>31000</v>
      </c>
      <c r="K204" s="185">
        <v>1</v>
      </c>
      <c r="L204" s="183" t="s">
        <v>1948</v>
      </c>
      <c r="M204" s="183" t="s">
        <v>155</v>
      </c>
      <c r="N204" s="183" t="s">
        <v>1880</v>
      </c>
      <c r="O204" s="370"/>
    </row>
    <row r="205" spans="1:15" s="182" customFormat="1" ht="21.75" customHeight="1" x14ac:dyDescent="0.15">
      <c r="A205" s="151" t="s">
        <v>3835</v>
      </c>
      <c r="B205" s="20" t="s">
        <v>1986</v>
      </c>
      <c r="C205" s="224" t="s">
        <v>3346</v>
      </c>
      <c r="D205" s="224" t="s">
        <v>3439</v>
      </c>
      <c r="E205" s="224" t="s">
        <v>3843</v>
      </c>
      <c r="F205" s="224" t="s">
        <v>3340</v>
      </c>
      <c r="G205" s="239" t="s">
        <v>3566</v>
      </c>
      <c r="H205" s="370">
        <v>18153</v>
      </c>
      <c r="I205" s="194">
        <v>0</v>
      </c>
      <c r="J205" s="194">
        <v>100000</v>
      </c>
      <c r="K205" s="185" t="s">
        <v>3105</v>
      </c>
      <c r="L205" s="183" t="s">
        <v>285</v>
      </c>
      <c r="M205" s="183" t="s">
        <v>155</v>
      </c>
      <c r="N205" s="183" t="s">
        <v>1880</v>
      </c>
      <c r="O205" s="370"/>
    </row>
    <row r="206" spans="1:15" s="182" customFormat="1" ht="21.75" customHeight="1" x14ac:dyDescent="0.15">
      <c r="A206" s="151" t="s">
        <v>3845</v>
      </c>
      <c r="B206" s="20" t="s">
        <v>3045</v>
      </c>
      <c r="C206" s="374" t="s">
        <v>3371</v>
      </c>
      <c r="D206" s="374" t="s">
        <v>3415</v>
      </c>
      <c r="E206" s="207" t="s">
        <v>2468</v>
      </c>
      <c r="F206" s="207" t="s">
        <v>3579</v>
      </c>
      <c r="G206" s="240" t="s">
        <v>3623</v>
      </c>
      <c r="H206" s="374" t="s">
        <v>3847</v>
      </c>
      <c r="I206" s="194">
        <v>0</v>
      </c>
      <c r="J206" s="194">
        <v>20325</v>
      </c>
      <c r="K206" s="185">
        <v>0.1</v>
      </c>
      <c r="L206" s="183" t="s">
        <v>1143</v>
      </c>
      <c r="M206" s="183" t="s">
        <v>3725</v>
      </c>
      <c r="N206" s="183" t="s">
        <v>1784</v>
      </c>
      <c r="O206" s="374"/>
    </row>
    <row r="207" spans="1:15" s="182" customFormat="1" ht="21.75" customHeight="1" x14ac:dyDescent="0.15">
      <c r="A207" s="151" t="s">
        <v>3845</v>
      </c>
      <c r="B207" s="20" t="s">
        <v>3045</v>
      </c>
      <c r="C207" s="374" t="s">
        <v>3371</v>
      </c>
      <c r="D207" s="374" t="s">
        <v>3415</v>
      </c>
      <c r="E207" s="207" t="s">
        <v>2467</v>
      </c>
      <c r="F207" s="207" t="s">
        <v>3579</v>
      </c>
      <c r="G207" s="240" t="s">
        <v>3623</v>
      </c>
      <c r="H207" s="374" t="s">
        <v>3848</v>
      </c>
      <c r="I207" s="194">
        <v>0</v>
      </c>
      <c r="J207" s="194">
        <v>20325</v>
      </c>
      <c r="K207" s="185">
        <v>0.1</v>
      </c>
      <c r="L207" s="183" t="s">
        <v>1143</v>
      </c>
      <c r="M207" s="183" t="s">
        <v>3725</v>
      </c>
      <c r="N207" s="183" t="s">
        <v>1784</v>
      </c>
      <c r="O207" s="374"/>
    </row>
    <row r="208" spans="1:15" s="182" customFormat="1" ht="21.75" customHeight="1" x14ac:dyDescent="0.15">
      <c r="A208" s="151" t="s">
        <v>3845</v>
      </c>
      <c r="B208" s="20" t="s">
        <v>312</v>
      </c>
      <c r="C208" s="224" t="s">
        <v>3337</v>
      </c>
      <c r="D208" s="224" t="s">
        <v>3702</v>
      </c>
      <c r="E208" s="224" t="s">
        <v>3703</v>
      </c>
      <c r="F208" s="224" t="s">
        <v>3328</v>
      </c>
      <c r="G208" s="243" t="s">
        <v>3704</v>
      </c>
      <c r="H208" s="375">
        <v>18158</v>
      </c>
      <c r="I208" s="194">
        <v>0</v>
      </c>
      <c r="J208" s="194">
        <v>158075.85999999999</v>
      </c>
      <c r="K208" s="185" t="s">
        <v>3849</v>
      </c>
      <c r="L208" s="183" t="s">
        <v>3850</v>
      </c>
      <c r="M208" s="183" t="s">
        <v>190</v>
      </c>
      <c r="N208" s="183" t="s">
        <v>190</v>
      </c>
      <c r="O208" s="375"/>
    </row>
    <row r="209" spans="1:15" s="182" customFormat="1" ht="21.75" customHeight="1" x14ac:dyDescent="0.15">
      <c r="A209" s="151" t="s">
        <v>3845</v>
      </c>
      <c r="B209" s="20" t="s">
        <v>3751</v>
      </c>
      <c r="C209" s="375" t="s">
        <v>3346</v>
      </c>
      <c r="D209" s="375" t="s">
        <v>3851</v>
      </c>
      <c r="E209" s="375" t="s">
        <v>3852</v>
      </c>
      <c r="F209" s="224" t="s">
        <v>3355</v>
      </c>
      <c r="G209" s="235" t="s">
        <v>3356</v>
      </c>
      <c r="H209" s="375">
        <v>19124</v>
      </c>
      <c r="I209" s="194">
        <v>0</v>
      </c>
      <c r="J209" s="194">
        <v>70500</v>
      </c>
      <c r="K209" s="185">
        <v>0.3</v>
      </c>
      <c r="L209" s="183" t="s">
        <v>1172</v>
      </c>
      <c r="M209" s="183" t="s">
        <v>1880</v>
      </c>
      <c r="N209" s="183" t="s">
        <v>1880</v>
      </c>
      <c r="O209" s="375"/>
    </row>
    <row r="210" spans="1:15" s="182" customFormat="1" ht="21.75" customHeight="1" x14ac:dyDescent="0.15">
      <c r="A210" s="151" t="s">
        <v>3854</v>
      </c>
      <c r="B210" s="20" t="s">
        <v>2111</v>
      </c>
      <c r="C210" s="224" t="s">
        <v>3346</v>
      </c>
      <c r="D210" s="224" t="s">
        <v>3352</v>
      </c>
      <c r="E210" s="180" t="s">
        <v>3715</v>
      </c>
      <c r="F210" s="224" t="s">
        <v>3355</v>
      </c>
      <c r="G210" s="235" t="s">
        <v>3356</v>
      </c>
      <c r="H210" s="376">
        <v>18095</v>
      </c>
      <c r="I210" s="194">
        <v>0</v>
      </c>
      <c r="J210" s="194">
        <v>9000</v>
      </c>
      <c r="K210" s="185">
        <v>0.1</v>
      </c>
      <c r="L210" s="183" t="s">
        <v>1143</v>
      </c>
      <c r="M210" s="183" t="s">
        <v>155</v>
      </c>
      <c r="N210" s="183" t="s">
        <v>1880</v>
      </c>
      <c r="O210" s="376"/>
    </row>
    <row r="211" spans="1:15" s="182" customFormat="1" ht="21.75" customHeight="1" x14ac:dyDescent="0.15">
      <c r="A211" s="151" t="s">
        <v>3853</v>
      </c>
      <c r="B211" s="20" t="s">
        <v>1697</v>
      </c>
      <c r="C211" s="378" t="s">
        <v>3855</v>
      </c>
      <c r="D211" s="378" t="s">
        <v>3802</v>
      </c>
      <c r="E211" s="378" t="s">
        <v>3856</v>
      </c>
      <c r="F211" s="379" t="s">
        <v>3857</v>
      </c>
      <c r="G211" s="380" t="s">
        <v>3858</v>
      </c>
      <c r="H211" s="376">
        <v>19065</v>
      </c>
      <c r="I211" s="194">
        <v>0</v>
      </c>
      <c r="J211" s="194">
        <v>47800</v>
      </c>
      <c r="K211" s="185">
        <v>1</v>
      </c>
      <c r="L211" s="183" t="s">
        <v>1948</v>
      </c>
      <c r="M211" s="381" t="s">
        <v>1880</v>
      </c>
      <c r="N211" s="381" t="s">
        <v>2660</v>
      </c>
      <c r="O211" s="376"/>
    </row>
    <row r="212" spans="1:15" s="182" customFormat="1" ht="21.75" customHeight="1" x14ac:dyDescent="0.15">
      <c r="A212" s="151" t="s">
        <v>3853</v>
      </c>
      <c r="B212" s="20" t="s">
        <v>569</v>
      </c>
      <c r="C212" s="224" t="s">
        <v>3363</v>
      </c>
      <c r="D212" s="224" t="s">
        <v>3439</v>
      </c>
      <c r="E212" s="224" t="s">
        <v>3859</v>
      </c>
      <c r="F212" s="224" t="s">
        <v>3328</v>
      </c>
      <c r="G212" s="239" t="s">
        <v>3566</v>
      </c>
      <c r="H212" s="377">
        <v>18196</v>
      </c>
      <c r="I212" s="194">
        <v>0</v>
      </c>
      <c r="J212" s="194">
        <v>200000</v>
      </c>
      <c r="K212" s="185" t="s">
        <v>3228</v>
      </c>
      <c r="L212" s="183" t="s">
        <v>285</v>
      </c>
      <c r="M212" s="183" t="s">
        <v>155</v>
      </c>
      <c r="N212" s="183" t="s">
        <v>2660</v>
      </c>
      <c r="O212" s="377"/>
    </row>
    <row r="213" spans="1:15" s="182" customFormat="1" ht="21.75" customHeight="1" x14ac:dyDescent="0.15">
      <c r="A213" s="151" t="s">
        <v>3860</v>
      </c>
      <c r="B213" s="20" t="s">
        <v>1439</v>
      </c>
      <c r="C213" s="224" t="s">
        <v>3351</v>
      </c>
      <c r="D213" s="224" t="s">
        <v>3352</v>
      </c>
      <c r="E213" s="180" t="s">
        <v>2794</v>
      </c>
      <c r="F213" s="224" t="s">
        <v>3340</v>
      </c>
      <c r="G213" s="239" t="s">
        <v>3367</v>
      </c>
      <c r="H213" s="178" t="s">
        <v>3861</v>
      </c>
      <c r="I213" s="194">
        <v>0</v>
      </c>
      <c r="J213" s="194">
        <v>50000</v>
      </c>
      <c r="K213" s="185">
        <v>1</v>
      </c>
      <c r="L213" s="183" t="s">
        <v>1147</v>
      </c>
      <c r="M213" s="183" t="s">
        <v>158</v>
      </c>
      <c r="N213" s="183" t="s">
        <v>158</v>
      </c>
      <c r="O213" s="382"/>
    </row>
    <row r="214" spans="1:15" s="182" customFormat="1" ht="21.75" customHeight="1" x14ac:dyDescent="0.15">
      <c r="A214" s="151" t="s">
        <v>3860</v>
      </c>
      <c r="B214" s="20" t="s">
        <v>1439</v>
      </c>
      <c r="C214" s="224" t="s">
        <v>3351</v>
      </c>
      <c r="D214" s="224" t="s">
        <v>3352</v>
      </c>
      <c r="E214" s="224" t="s">
        <v>3643</v>
      </c>
      <c r="F214" s="224" t="s">
        <v>3340</v>
      </c>
      <c r="G214" s="239" t="s">
        <v>3863</v>
      </c>
      <c r="H214" s="178" t="s">
        <v>3862</v>
      </c>
      <c r="I214" s="194">
        <v>0</v>
      </c>
      <c r="J214" s="194">
        <v>50000</v>
      </c>
      <c r="K214" s="185">
        <v>1</v>
      </c>
      <c r="L214" s="183" t="s">
        <v>1147</v>
      </c>
      <c r="M214" s="183" t="s">
        <v>158</v>
      </c>
      <c r="N214" s="183" t="s">
        <v>158</v>
      </c>
      <c r="O214" s="382"/>
    </row>
    <row r="215" spans="1:15" s="182" customFormat="1" ht="21.75" customHeight="1" x14ac:dyDescent="0.15">
      <c r="A215" s="151" t="s">
        <v>3864</v>
      </c>
      <c r="B215" s="20" t="s">
        <v>1428</v>
      </c>
      <c r="C215" s="224" t="s">
        <v>3351</v>
      </c>
      <c r="D215" s="224" t="s">
        <v>3352</v>
      </c>
      <c r="E215" s="180" t="s">
        <v>2789</v>
      </c>
      <c r="F215" s="224" t="s">
        <v>3340</v>
      </c>
      <c r="G215" s="239" t="s">
        <v>3367</v>
      </c>
      <c r="H215" s="383" t="s">
        <v>3865</v>
      </c>
      <c r="I215" s="194">
        <v>0</v>
      </c>
      <c r="J215" s="194">
        <v>50000</v>
      </c>
      <c r="K215" s="185">
        <v>1</v>
      </c>
      <c r="L215" s="183" t="s">
        <v>1147</v>
      </c>
      <c r="M215" s="183" t="s">
        <v>158</v>
      </c>
      <c r="N215" s="183" t="s">
        <v>158</v>
      </c>
      <c r="O215" s="383"/>
    </row>
    <row r="216" spans="1:15" s="182" customFormat="1" ht="21.75" customHeight="1" x14ac:dyDescent="0.15">
      <c r="A216" s="151" t="s">
        <v>3864</v>
      </c>
      <c r="B216" s="20" t="s">
        <v>1428</v>
      </c>
      <c r="C216" s="224" t="s">
        <v>3351</v>
      </c>
      <c r="D216" s="224" t="s">
        <v>3352</v>
      </c>
      <c r="E216" s="180" t="s">
        <v>2788</v>
      </c>
      <c r="F216" s="224" t="s">
        <v>3340</v>
      </c>
      <c r="G216" s="239" t="s">
        <v>3367</v>
      </c>
      <c r="H216" s="383" t="s">
        <v>3866</v>
      </c>
      <c r="I216" s="194">
        <v>0</v>
      </c>
      <c r="J216" s="194">
        <v>50000</v>
      </c>
      <c r="K216" s="185">
        <v>1</v>
      </c>
      <c r="L216" s="183" t="s">
        <v>1147</v>
      </c>
      <c r="M216" s="183" t="s">
        <v>158</v>
      </c>
      <c r="N216" s="183" t="s">
        <v>158</v>
      </c>
      <c r="O216" s="383"/>
    </row>
    <row r="217" spans="1:15" s="182" customFormat="1" ht="21.75" customHeight="1" x14ac:dyDescent="0.15">
      <c r="A217" s="151" t="s">
        <v>3864</v>
      </c>
      <c r="B217" s="20" t="s">
        <v>2690</v>
      </c>
      <c r="C217" s="362" t="s">
        <v>3867</v>
      </c>
      <c r="D217" s="362" t="s">
        <v>3868</v>
      </c>
      <c r="E217" s="362" t="s">
        <v>3869</v>
      </c>
      <c r="F217" s="362" t="s">
        <v>3857</v>
      </c>
      <c r="G217" s="363" t="s">
        <v>3870</v>
      </c>
      <c r="H217" s="383">
        <v>18120</v>
      </c>
      <c r="I217" s="194">
        <v>0</v>
      </c>
      <c r="J217" s="194">
        <v>22989.66</v>
      </c>
      <c r="K217" s="185">
        <v>1</v>
      </c>
      <c r="L217" s="183" t="s">
        <v>2449</v>
      </c>
      <c r="M217" s="183" t="s">
        <v>170</v>
      </c>
      <c r="N217" s="183" t="s">
        <v>170</v>
      </c>
      <c r="O217" s="383"/>
    </row>
    <row r="218" spans="1:15" s="182" customFormat="1" ht="21.75" customHeight="1" x14ac:dyDescent="0.15">
      <c r="A218" s="151" t="s">
        <v>3864</v>
      </c>
      <c r="B218" s="20" t="s">
        <v>79</v>
      </c>
      <c r="C218" s="224" t="s">
        <v>3376</v>
      </c>
      <c r="D218" s="224" t="s">
        <v>3682</v>
      </c>
      <c r="E218" s="224" t="s">
        <v>3871</v>
      </c>
      <c r="F218" s="224" t="s">
        <v>3328</v>
      </c>
      <c r="G218" s="239" t="s">
        <v>3353</v>
      </c>
      <c r="H218" s="383">
        <v>18121</v>
      </c>
      <c r="I218" s="194">
        <v>0</v>
      </c>
      <c r="J218" s="194">
        <v>38575.86</v>
      </c>
      <c r="K218" s="185">
        <v>1</v>
      </c>
      <c r="L218" s="183" t="s">
        <v>2449</v>
      </c>
      <c r="M218" s="183" t="s">
        <v>170</v>
      </c>
      <c r="N218" s="183" t="s">
        <v>170</v>
      </c>
      <c r="O218" s="383"/>
    </row>
    <row r="219" spans="1:15" s="182" customFormat="1" ht="21.75" customHeight="1" x14ac:dyDescent="0.15">
      <c r="A219" s="151" t="s">
        <v>3872</v>
      </c>
      <c r="B219" s="20" t="s">
        <v>3527</v>
      </c>
      <c r="C219" s="384" t="s">
        <v>3351</v>
      </c>
      <c r="D219" s="236" t="s">
        <v>3354</v>
      </c>
      <c r="E219" s="384" t="s">
        <v>3635</v>
      </c>
      <c r="F219" s="184" t="s">
        <v>3328</v>
      </c>
      <c r="G219" s="235" t="s">
        <v>3341</v>
      </c>
      <c r="H219" s="384">
        <v>19011</v>
      </c>
      <c r="I219" s="194">
        <v>0</v>
      </c>
      <c r="J219" s="194">
        <v>75000</v>
      </c>
      <c r="K219" s="185">
        <v>0.25</v>
      </c>
      <c r="L219" s="183" t="s">
        <v>285</v>
      </c>
      <c r="M219" s="183" t="s">
        <v>158</v>
      </c>
      <c r="N219" s="183" t="s">
        <v>158</v>
      </c>
      <c r="O219" s="384"/>
    </row>
    <row r="220" spans="1:15" s="182" customFormat="1" ht="21.75" customHeight="1" x14ac:dyDescent="0.15">
      <c r="A220" s="151" t="s">
        <v>3873</v>
      </c>
      <c r="B220" s="20" t="s">
        <v>3018</v>
      </c>
      <c r="C220" s="385" t="s">
        <v>3337</v>
      </c>
      <c r="D220" s="385" t="s">
        <v>3380</v>
      </c>
      <c r="E220" s="385" t="s">
        <v>3874</v>
      </c>
      <c r="F220" s="292" t="s">
        <v>3875</v>
      </c>
      <c r="G220" s="386" t="s">
        <v>3876</v>
      </c>
      <c r="H220" s="385">
        <v>19027</v>
      </c>
      <c r="I220" s="194">
        <v>0</v>
      </c>
      <c r="J220" s="194">
        <v>427841.37</v>
      </c>
      <c r="K220" s="185">
        <v>0.9</v>
      </c>
      <c r="L220" s="183" t="s">
        <v>1172</v>
      </c>
      <c r="M220" s="183" t="s">
        <v>190</v>
      </c>
      <c r="N220" s="183" t="s">
        <v>190</v>
      </c>
      <c r="O220" s="385"/>
    </row>
    <row r="221" spans="1:15" s="182" customFormat="1" ht="21.75" customHeight="1" x14ac:dyDescent="0.15">
      <c r="A221" s="151" t="s">
        <v>3877</v>
      </c>
      <c r="B221" s="20" t="s">
        <v>1457</v>
      </c>
      <c r="C221" s="224" t="s">
        <v>3368</v>
      </c>
      <c r="D221" s="224" t="s">
        <v>3369</v>
      </c>
      <c r="E221" s="224" t="s">
        <v>3466</v>
      </c>
      <c r="F221" s="224" t="s">
        <v>3328</v>
      </c>
      <c r="G221" s="239" t="s">
        <v>3349</v>
      </c>
      <c r="H221" s="385">
        <v>18171</v>
      </c>
      <c r="I221" s="194">
        <v>0</v>
      </c>
      <c r="J221" s="194">
        <v>79572</v>
      </c>
      <c r="K221" s="388">
        <v>1</v>
      </c>
      <c r="L221" s="183" t="s">
        <v>285</v>
      </c>
      <c r="M221" s="183" t="s">
        <v>158</v>
      </c>
      <c r="N221" s="183" t="s">
        <v>158</v>
      </c>
      <c r="O221" s="385"/>
    </row>
    <row r="222" spans="1:15" s="182" customFormat="1" ht="21.75" customHeight="1" x14ac:dyDescent="0.15">
      <c r="A222" s="151" t="s">
        <v>3878</v>
      </c>
      <c r="B222" s="20" t="s">
        <v>3002</v>
      </c>
      <c r="C222" s="224" t="s">
        <v>3337</v>
      </c>
      <c r="D222" s="224" t="s">
        <v>3338</v>
      </c>
      <c r="E222" s="224" t="s">
        <v>3339</v>
      </c>
      <c r="F222" s="224" t="s">
        <v>3340</v>
      </c>
      <c r="G222" s="239" t="s">
        <v>3341</v>
      </c>
      <c r="H222" s="387">
        <v>18163</v>
      </c>
      <c r="I222" s="194">
        <v>0</v>
      </c>
      <c r="J222" s="194">
        <v>40000</v>
      </c>
      <c r="K222" s="185">
        <v>0.25</v>
      </c>
      <c r="L222" s="183" t="s">
        <v>285</v>
      </c>
      <c r="M222" s="183" t="s">
        <v>190</v>
      </c>
      <c r="N222" s="183" t="s">
        <v>190</v>
      </c>
      <c r="O222" s="387"/>
    </row>
    <row r="223" spans="1:15" s="182" customFormat="1" ht="21.75" customHeight="1" x14ac:dyDescent="0.15">
      <c r="A223" s="151" t="s">
        <v>3879</v>
      </c>
      <c r="B223" s="20" t="s">
        <v>3480</v>
      </c>
      <c r="C223" s="164" t="s">
        <v>3346</v>
      </c>
      <c r="D223" s="164" t="s">
        <v>3481</v>
      </c>
      <c r="E223" s="225" t="s">
        <v>3482</v>
      </c>
      <c r="F223" s="206" t="s">
        <v>3483</v>
      </c>
      <c r="G223" s="265" t="s">
        <v>3483</v>
      </c>
      <c r="H223" s="387">
        <v>18031</v>
      </c>
      <c r="I223" s="194">
        <v>0</v>
      </c>
      <c r="J223" s="194">
        <v>25000</v>
      </c>
      <c r="K223" s="185" t="s">
        <v>3881</v>
      </c>
      <c r="L223" s="183" t="s">
        <v>1414</v>
      </c>
      <c r="M223" s="183" t="s">
        <v>1880</v>
      </c>
      <c r="N223" s="183" t="s">
        <v>1880</v>
      </c>
      <c r="O223" s="387"/>
    </row>
    <row r="224" spans="1:15" s="182" customFormat="1" ht="21.75" customHeight="1" x14ac:dyDescent="0.15">
      <c r="A224" s="151" t="s">
        <v>3880</v>
      </c>
      <c r="B224" s="20" t="s">
        <v>3846</v>
      </c>
      <c r="C224" s="224" t="s">
        <v>3325</v>
      </c>
      <c r="D224" s="224" t="s">
        <v>3457</v>
      </c>
      <c r="E224" s="224" t="s">
        <v>2777</v>
      </c>
      <c r="F224" s="224" t="s">
        <v>3328</v>
      </c>
      <c r="G224" s="239" t="s">
        <v>3349</v>
      </c>
      <c r="H224" s="387">
        <v>19164</v>
      </c>
      <c r="I224" s="194">
        <v>0</v>
      </c>
      <c r="J224" s="194">
        <v>40000</v>
      </c>
      <c r="K224" s="185">
        <v>0.8</v>
      </c>
      <c r="L224" s="183" t="s">
        <v>285</v>
      </c>
      <c r="M224" s="183" t="s">
        <v>2660</v>
      </c>
      <c r="N224" s="183" t="s">
        <v>2660</v>
      </c>
      <c r="O224" s="387"/>
    </row>
    <row r="225" spans="1:15" s="182" customFormat="1" ht="21.75" customHeight="1" x14ac:dyDescent="0.15">
      <c r="A225" s="151" t="s">
        <v>3880</v>
      </c>
      <c r="B225" s="20" t="s">
        <v>201</v>
      </c>
      <c r="C225" s="224" t="s">
        <v>3325</v>
      </c>
      <c r="D225" s="234" t="s">
        <v>3439</v>
      </c>
      <c r="E225" s="224" t="s">
        <v>3440</v>
      </c>
      <c r="F225" s="199" t="s">
        <v>3328</v>
      </c>
      <c r="G225" s="253" t="s">
        <v>3441</v>
      </c>
      <c r="H225" s="387" t="s">
        <v>2657</v>
      </c>
      <c r="I225" s="194">
        <v>0</v>
      </c>
      <c r="J225" s="194">
        <v>597000</v>
      </c>
      <c r="K225" s="185">
        <v>0.2</v>
      </c>
      <c r="L225" s="183" t="s">
        <v>1147</v>
      </c>
      <c r="M225" s="183" t="s">
        <v>155</v>
      </c>
      <c r="N225" s="183" t="s">
        <v>2660</v>
      </c>
      <c r="O225" s="387"/>
    </row>
    <row r="226" spans="1:15" s="182" customFormat="1" ht="21.75" customHeight="1" x14ac:dyDescent="0.15">
      <c r="A226" s="151" t="s">
        <v>3880</v>
      </c>
      <c r="B226" s="20" t="s">
        <v>201</v>
      </c>
      <c r="C226" s="224" t="s">
        <v>3325</v>
      </c>
      <c r="D226" s="234" t="s">
        <v>3439</v>
      </c>
      <c r="E226" s="224" t="s">
        <v>3440</v>
      </c>
      <c r="F226" s="224" t="s">
        <v>3442</v>
      </c>
      <c r="G226" s="254" t="s">
        <v>3443</v>
      </c>
      <c r="H226" s="387" t="s">
        <v>2658</v>
      </c>
      <c r="I226" s="194">
        <v>0</v>
      </c>
      <c r="J226" s="194">
        <v>679000</v>
      </c>
      <c r="K226" s="185">
        <v>0.2</v>
      </c>
      <c r="L226" s="183" t="s">
        <v>1147</v>
      </c>
      <c r="M226" s="183" t="s">
        <v>155</v>
      </c>
      <c r="N226" s="183" t="s">
        <v>2660</v>
      </c>
      <c r="O226" s="387"/>
    </row>
    <row r="227" spans="1:15" s="182" customFormat="1" ht="21.75" customHeight="1" x14ac:dyDescent="0.15">
      <c r="A227" s="151" t="s">
        <v>3882</v>
      </c>
      <c r="B227" s="20" t="s">
        <v>2604</v>
      </c>
      <c r="C227" s="183" t="s">
        <v>3884</v>
      </c>
      <c r="D227" s="389" t="s">
        <v>3885</v>
      </c>
      <c r="E227" s="180" t="s">
        <v>3886</v>
      </c>
      <c r="F227" s="184" t="s">
        <v>3344</v>
      </c>
      <c r="G227" s="184" t="s">
        <v>3477</v>
      </c>
      <c r="H227" s="389">
        <v>16083</v>
      </c>
      <c r="I227" s="194">
        <v>0</v>
      </c>
      <c r="J227" s="194">
        <v>10000</v>
      </c>
      <c r="K227" s="185" t="s">
        <v>3763</v>
      </c>
      <c r="L227" s="183" t="s">
        <v>1414</v>
      </c>
      <c r="M227" s="183" t="s">
        <v>190</v>
      </c>
      <c r="N227" s="183" t="s">
        <v>190</v>
      </c>
      <c r="O227" s="389"/>
    </row>
    <row r="228" spans="1:15" s="182" customFormat="1" ht="21.75" customHeight="1" x14ac:dyDescent="0.15">
      <c r="A228" s="151" t="s">
        <v>3882</v>
      </c>
      <c r="B228" s="20" t="s">
        <v>358</v>
      </c>
      <c r="C228" s="389" t="s">
        <v>3346</v>
      </c>
      <c r="D228" s="389" t="s">
        <v>3347</v>
      </c>
      <c r="E228" s="389" t="s">
        <v>3348</v>
      </c>
      <c r="F228" s="184" t="s">
        <v>3328</v>
      </c>
      <c r="G228" s="235" t="s">
        <v>3349</v>
      </c>
      <c r="H228" s="389" t="s">
        <v>3887</v>
      </c>
      <c r="I228" s="194">
        <v>0</v>
      </c>
      <c r="J228" s="194">
        <v>120000</v>
      </c>
      <c r="K228" s="185">
        <v>0.75</v>
      </c>
      <c r="L228" s="183" t="s">
        <v>285</v>
      </c>
      <c r="M228" s="183" t="s">
        <v>3725</v>
      </c>
      <c r="N228" s="183" t="s">
        <v>1784</v>
      </c>
      <c r="O228" s="389"/>
    </row>
    <row r="229" spans="1:15" s="182" customFormat="1" ht="21.75" customHeight="1" x14ac:dyDescent="0.15">
      <c r="A229" s="151" t="s">
        <v>3882</v>
      </c>
      <c r="B229" s="20" t="s">
        <v>358</v>
      </c>
      <c r="C229" s="389" t="s">
        <v>3346</v>
      </c>
      <c r="D229" s="389" t="s">
        <v>3347</v>
      </c>
      <c r="E229" s="389" t="s">
        <v>3350</v>
      </c>
      <c r="F229" s="184" t="s">
        <v>3328</v>
      </c>
      <c r="G229" s="235" t="s">
        <v>3349</v>
      </c>
      <c r="H229" s="389" t="s">
        <v>3888</v>
      </c>
      <c r="I229" s="194">
        <v>0</v>
      </c>
      <c r="J229" s="194">
        <v>120000</v>
      </c>
      <c r="K229" s="185">
        <v>0.75</v>
      </c>
      <c r="L229" s="183" t="s">
        <v>285</v>
      </c>
      <c r="M229" s="183" t="s">
        <v>3725</v>
      </c>
      <c r="N229" s="183" t="s">
        <v>1784</v>
      </c>
      <c r="O229" s="389"/>
    </row>
    <row r="230" spans="1:15" s="182" customFormat="1" ht="21.75" customHeight="1" x14ac:dyDescent="0.15">
      <c r="A230" s="151" t="s">
        <v>3883</v>
      </c>
      <c r="B230" s="20" t="s">
        <v>1431</v>
      </c>
      <c r="C230" s="224" t="s">
        <v>3351</v>
      </c>
      <c r="D230" s="224" t="s">
        <v>3352</v>
      </c>
      <c r="E230" s="45" t="s">
        <v>2796</v>
      </c>
      <c r="F230" s="207" t="s">
        <v>3328</v>
      </c>
      <c r="G230" s="235" t="s">
        <v>3381</v>
      </c>
      <c r="H230" s="389">
        <v>19058</v>
      </c>
      <c r="I230" s="194">
        <v>0</v>
      </c>
      <c r="J230" s="194">
        <v>40000</v>
      </c>
      <c r="K230" s="185">
        <v>0.5</v>
      </c>
      <c r="L230" s="183" t="s">
        <v>285</v>
      </c>
      <c r="M230" s="183" t="s">
        <v>158</v>
      </c>
      <c r="N230" s="183" t="s">
        <v>158</v>
      </c>
      <c r="O230" s="389"/>
    </row>
    <row r="231" spans="1:15" s="182" customFormat="1" ht="21.75" customHeight="1" x14ac:dyDescent="0.15">
      <c r="A231" s="151" t="s">
        <v>3883</v>
      </c>
      <c r="B231" s="20" t="s">
        <v>1437</v>
      </c>
      <c r="C231" s="224" t="s">
        <v>3351</v>
      </c>
      <c r="D231" s="224" t="s">
        <v>3352</v>
      </c>
      <c r="E231" s="224" t="s">
        <v>3617</v>
      </c>
      <c r="F231" s="207" t="s">
        <v>3328</v>
      </c>
      <c r="G231" s="235" t="s">
        <v>3381</v>
      </c>
      <c r="H231" s="387">
        <v>19062</v>
      </c>
      <c r="I231" s="194">
        <v>0</v>
      </c>
      <c r="J231" s="194">
        <v>40000</v>
      </c>
      <c r="K231" s="185">
        <v>0.5</v>
      </c>
      <c r="L231" s="183" t="s">
        <v>285</v>
      </c>
      <c r="M231" s="183" t="s">
        <v>158</v>
      </c>
      <c r="N231" s="183" t="s">
        <v>158</v>
      </c>
      <c r="O231" s="387"/>
    </row>
    <row r="232" spans="1:15" s="182" customFormat="1" ht="21.75" customHeight="1" x14ac:dyDescent="0.15">
      <c r="A232" s="151" t="s">
        <v>3889</v>
      </c>
      <c r="B232" s="20" t="s">
        <v>2878</v>
      </c>
      <c r="C232" s="391" t="s">
        <v>3365</v>
      </c>
      <c r="D232" s="391" t="s">
        <v>3352</v>
      </c>
      <c r="E232" s="391" t="s">
        <v>3890</v>
      </c>
      <c r="F232" s="224" t="s">
        <v>3328</v>
      </c>
      <c r="G232" s="239" t="s">
        <v>3336</v>
      </c>
      <c r="H232" s="387">
        <v>19166</v>
      </c>
      <c r="I232" s="194">
        <v>0</v>
      </c>
      <c r="J232" s="194">
        <v>42800</v>
      </c>
      <c r="K232" s="185">
        <v>1</v>
      </c>
      <c r="L232" s="183" t="s">
        <v>1948</v>
      </c>
      <c r="M232" s="183" t="s">
        <v>3388</v>
      </c>
      <c r="N232" s="183" t="s">
        <v>3388</v>
      </c>
      <c r="O232" s="387"/>
    </row>
    <row r="233" spans="1:15" s="182" customFormat="1" ht="21.75" customHeight="1" x14ac:dyDescent="0.15">
      <c r="A233" s="151" t="s">
        <v>3889</v>
      </c>
      <c r="B233" s="20" t="s">
        <v>1459</v>
      </c>
      <c r="C233" s="392" t="s">
        <v>3351</v>
      </c>
      <c r="D233" s="393" t="s">
        <v>3377</v>
      </c>
      <c r="E233" s="394" t="s">
        <v>3892</v>
      </c>
      <c r="F233" s="184" t="s">
        <v>3328</v>
      </c>
      <c r="G233" s="235" t="s">
        <v>3349</v>
      </c>
      <c r="H233" s="390">
        <v>19001</v>
      </c>
      <c r="I233" s="194">
        <v>0</v>
      </c>
      <c r="J233" s="194">
        <v>100000</v>
      </c>
      <c r="K233" s="185">
        <v>1</v>
      </c>
      <c r="L233" s="183" t="s">
        <v>285</v>
      </c>
      <c r="M233" s="183" t="s">
        <v>158</v>
      </c>
      <c r="N233" s="183" t="s">
        <v>158</v>
      </c>
      <c r="O233" s="390"/>
    </row>
    <row r="234" spans="1:15" s="182" customFormat="1" ht="21.75" customHeight="1" x14ac:dyDescent="0.15">
      <c r="A234" s="151" t="s">
        <v>3891</v>
      </c>
      <c r="B234" s="20" t="s">
        <v>559</v>
      </c>
      <c r="C234" s="362" t="s">
        <v>3779</v>
      </c>
      <c r="D234" s="362" t="s">
        <v>3780</v>
      </c>
      <c r="E234" s="395" t="s">
        <v>3893</v>
      </c>
      <c r="F234" s="395" t="s">
        <v>3894</v>
      </c>
      <c r="G234" s="396" t="s">
        <v>3894</v>
      </c>
      <c r="H234" s="390">
        <v>18141</v>
      </c>
      <c r="I234" s="194">
        <v>0</v>
      </c>
      <c r="J234" s="194">
        <v>214449.62</v>
      </c>
      <c r="K234" s="185" t="s">
        <v>3895</v>
      </c>
      <c r="L234" s="183" t="s">
        <v>249</v>
      </c>
      <c r="M234" s="183" t="s">
        <v>3725</v>
      </c>
      <c r="N234" s="183" t="s">
        <v>1784</v>
      </c>
      <c r="O234" s="390"/>
    </row>
    <row r="235" spans="1:15" s="182" customFormat="1" ht="21.75" customHeight="1" x14ac:dyDescent="0.15">
      <c r="A235" s="151" t="s">
        <v>3891</v>
      </c>
      <c r="B235" s="20" t="s">
        <v>3657</v>
      </c>
      <c r="C235" s="224" t="s">
        <v>3376</v>
      </c>
      <c r="D235" s="224" t="s">
        <v>3682</v>
      </c>
      <c r="E235" s="224" t="s">
        <v>3660</v>
      </c>
      <c r="F235" s="224" t="s">
        <v>3328</v>
      </c>
      <c r="G235" s="239" t="s">
        <v>3353</v>
      </c>
      <c r="H235" s="397">
        <v>18119</v>
      </c>
      <c r="I235" s="194">
        <v>0</v>
      </c>
      <c r="J235" s="194">
        <v>10715.52</v>
      </c>
      <c r="K235" s="185">
        <v>1</v>
      </c>
      <c r="L235" s="183" t="s">
        <v>2449</v>
      </c>
      <c r="M235" s="183" t="s">
        <v>170</v>
      </c>
      <c r="N235" s="183" t="s">
        <v>170</v>
      </c>
      <c r="O235" s="397"/>
    </row>
    <row r="236" spans="1:15" s="182" customFormat="1" ht="21.75" customHeight="1" x14ac:dyDescent="0.15">
      <c r="A236" s="151" t="s">
        <v>3896</v>
      </c>
      <c r="B236" s="20" t="s">
        <v>3897</v>
      </c>
      <c r="C236" s="399" t="s">
        <v>3325</v>
      </c>
      <c r="D236" s="399" t="s">
        <v>3439</v>
      </c>
      <c r="E236" s="399" t="s">
        <v>3898</v>
      </c>
      <c r="F236" s="184" t="s">
        <v>3328</v>
      </c>
      <c r="G236" s="235" t="s">
        <v>3378</v>
      </c>
      <c r="H236" s="397" t="s">
        <v>3900</v>
      </c>
      <c r="I236" s="194">
        <v>0</v>
      </c>
      <c r="J236" s="194">
        <v>493050</v>
      </c>
      <c r="K236" s="185">
        <v>0.95</v>
      </c>
      <c r="L236" s="183" t="s">
        <v>3902</v>
      </c>
      <c r="M236" s="183" t="s">
        <v>155</v>
      </c>
      <c r="N236" s="183" t="s">
        <v>2660</v>
      </c>
      <c r="O236" s="397"/>
    </row>
    <row r="237" spans="1:15" s="182" customFormat="1" ht="21.75" customHeight="1" x14ac:dyDescent="0.15">
      <c r="A237" s="151" t="s">
        <v>3896</v>
      </c>
      <c r="B237" s="20" t="s">
        <v>3897</v>
      </c>
      <c r="C237" s="399" t="s">
        <v>3325</v>
      </c>
      <c r="D237" s="399" t="s">
        <v>3439</v>
      </c>
      <c r="E237" s="399" t="s">
        <v>3898</v>
      </c>
      <c r="F237" s="184" t="s">
        <v>3355</v>
      </c>
      <c r="G237" s="235" t="s">
        <v>3899</v>
      </c>
      <c r="H237" s="397" t="s">
        <v>3901</v>
      </c>
      <c r="I237" s="194">
        <v>0</v>
      </c>
      <c r="J237" s="194">
        <v>48450</v>
      </c>
      <c r="K237" s="185">
        <v>0.95</v>
      </c>
      <c r="L237" s="183" t="s">
        <v>3902</v>
      </c>
      <c r="M237" s="183" t="s">
        <v>155</v>
      </c>
      <c r="N237" s="183" t="s">
        <v>2660</v>
      </c>
      <c r="O237" s="397"/>
    </row>
    <row r="238" spans="1:15" s="182" customFormat="1" ht="21.75" customHeight="1" x14ac:dyDescent="0.15">
      <c r="A238" s="151" t="s">
        <v>3903</v>
      </c>
      <c r="B238" s="20" t="s">
        <v>1428</v>
      </c>
      <c r="C238" s="362" t="s">
        <v>3905</v>
      </c>
      <c r="D238" s="362" t="s">
        <v>3839</v>
      </c>
      <c r="E238" s="401" t="s">
        <v>3906</v>
      </c>
      <c r="F238" s="402" t="s">
        <v>3857</v>
      </c>
      <c r="G238" s="356" t="s">
        <v>3381</v>
      </c>
      <c r="H238" s="398">
        <v>19057</v>
      </c>
      <c r="I238" s="194">
        <v>0</v>
      </c>
      <c r="J238" s="194">
        <v>40000</v>
      </c>
      <c r="K238" s="185">
        <v>0.5</v>
      </c>
      <c r="L238" s="183" t="s">
        <v>285</v>
      </c>
      <c r="M238" s="183" t="s">
        <v>158</v>
      </c>
      <c r="N238" s="183" t="s">
        <v>158</v>
      </c>
      <c r="O238" s="398"/>
    </row>
    <row r="239" spans="1:15" s="182" customFormat="1" ht="21.75" customHeight="1" x14ac:dyDescent="0.15">
      <c r="A239" s="151" t="s">
        <v>3903</v>
      </c>
      <c r="B239" s="20" t="s">
        <v>3904</v>
      </c>
      <c r="C239" s="224" t="s">
        <v>3351</v>
      </c>
      <c r="D239" s="224" t="s">
        <v>3352</v>
      </c>
      <c r="E239" s="394" t="s">
        <v>2788</v>
      </c>
      <c r="F239" s="403" t="s">
        <v>3340</v>
      </c>
      <c r="G239" s="235" t="s">
        <v>3381</v>
      </c>
      <c r="H239" s="398">
        <v>19059</v>
      </c>
      <c r="I239" s="194">
        <v>0</v>
      </c>
      <c r="J239" s="194">
        <v>40000</v>
      </c>
      <c r="K239" s="185">
        <v>0.5</v>
      </c>
      <c r="L239" s="183" t="s">
        <v>285</v>
      </c>
      <c r="M239" s="183" t="s">
        <v>158</v>
      </c>
      <c r="N239" s="183" t="s">
        <v>158</v>
      </c>
      <c r="O239" s="398"/>
    </row>
    <row r="240" spans="1:15" s="182" customFormat="1" ht="21.75" customHeight="1" x14ac:dyDescent="0.15">
      <c r="A240" s="151" t="s">
        <v>3903</v>
      </c>
      <c r="B240" s="20" t="s">
        <v>3904</v>
      </c>
      <c r="C240" s="224" t="s">
        <v>3351</v>
      </c>
      <c r="D240" s="224" t="s">
        <v>3352</v>
      </c>
      <c r="E240" s="394" t="s">
        <v>2789</v>
      </c>
      <c r="F240" s="403" t="s">
        <v>3340</v>
      </c>
      <c r="G240" s="235" t="s">
        <v>3381</v>
      </c>
      <c r="H240" s="398">
        <v>19060</v>
      </c>
      <c r="I240" s="194">
        <v>0</v>
      </c>
      <c r="J240" s="194">
        <v>40000</v>
      </c>
      <c r="K240" s="185">
        <v>0.5</v>
      </c>
      <c r="L240" s="183" t="s">
        <v>285</v>
      </c>
      <c r="M240" s="183" t="s">
        <v>158</v>
      </c>
      <c r="N240" s="183" t="s">
        <v>158</v>
      </c>
      <c r="O240" s="398"/>
    </row>
    <row r="241" spans="1:15" s="182" customFormat="1" ht="21.75" customHeight="1" x14ac:dyDescent="0.15">
      <c r="A241" s="151" t="s">
        <v>3903</v>
      </c>
      <c r="B241" s="20" t="s">
        <v>2792</v>
      </c>
      <c r="C241" s="224" t="s">
        <v>3351</v>
      </c>
      <c r="D241" s="224" t="s">
        <v>3352</v>
      </c>
      <c r="E241" s="184" t="s">
        <v>2795</v>
      </c>
      <c r="F241" s="403" t="s">
        <v>3328</v>
      </c>
      <c r="G241" s="235" t="s">
        <v>3349</v>
      </c>
      <c r="H241" s="398">
        <v>19054</v>
      </c>
      <c r="I241" s="194">
        <v>0</v>
      </c>
      <c r="J241" s="194">
        <v>40000</v>
      </c>
      <c r="K241" s="185">
        <v>0.5</v>
      </c>
      <c r="L241" s="183" t="s">
        <v>285</v>
      </c>
      <c r="M241" s="183" t="s">
        <v>158</v>
      </c>
      <c r="N241" s="183" t="s">
        <v>158</v>
      </c>
      <c r="O241" s="398"/>
    </row>
    <row r="242" spans="1:15" s="182" customFormat="1" ht="21.75" customHeight="1" x14ac:dyDescent="0.15">
      <c r="A242" s="151" t="s">
        <v>3903</v>
      </c>
      <c r="B242" s="20" t="s">
        <v>515</v>
      </c>
      <c r="C242" s="399" t="s">
        <v>3346</v>
      </c>
      <c r="D242" s="391" t="s">
        <v>3354</v>
      </c>
      <c r="E242" s="405" t="s">
        <v>3565</v>
      </c>
      <c r="F242" s="184" t="s">
        <v>3355</v>
      </c>
      <c r="G242" s="235" t="s">
        <v>3775</v>
      </c>
      <c r="H242" s="398" t="s">
        <v>3907</v>
      </c>
      <c r="I242" s="194">
        <v>0</v>
      </c>
      <c r="J242" s="194">
        <v>261675.9</v>
      </c>
      <c r="K242" s="185">
        <v>0.97</v>
      </c>
      <c r="L242" s="183" t="s">
        <v>1147</v>
      </c>
      <c r="M242" s="183" t="s">
        <v>1784</v>
      </c>
      <c r="N242" s="183" t="s">
        <v>1784</v>
      </c>
      <c r="O242" s="398"/>
    </row>
    <row r="243" spans="1:15" s="182" customFormat="1" ht="21.75" customHeight="1" x14ac:dyDescent="0.15">
      <c r="A243" s="151" t="s">
        <v>3903</v>
      </c>
      <c r="B243" s="20" t="s">
        <v>515</v>
      </c>
      <c r="C243" s="399" t="s">
        <v>3346</v>
      </c>
      <c r="D243" s="391" t="s">
        <v>3354</v>
      </c>
      <c r="E243" s="405" t="s">
        <v>3565</v>
      </c>
      <c r="F243" s="184" t="s">
        <v>3355</v>
      </c>
      <c r="G243" s="235" t="s">
        <v>3909</v>
      </c>
      <c r="H243" s="400" t="s">
        <v>3908</v>
      </c>
      <c r="I243" s="194">
        <v>0</v>
      </c>
      <c r="J243" s="194">
        <v>12424.1</v>
      </c>
      <c r="K243" s="185">
        <v>0.97</v>
      </c>
      <c r="L243" s="183" t="s">
        <v>1147</v>
      </c>
      <c r="M243" s="183" t="s">
        <v>1784</v>
      </c>
      <c r="N243" s="183" t="s">
        <v>1784</v>
      </c>
      <c r="O243" s="400"/>
    </row>
    <row r="244" spans="1:15" s="182" customFormat="1" ht="21.75" customHeight="1" x14ac:dyDescent="0.15">
      <c r="A244" s="151" t="s">
        <v>3910</v>
      </c>
      <c r="B244" s="20" t="s">
        <v>1433</v>
      </c>
      <c r="C244" s="224" t="s">
        <v>3351</v>
      </c>
      <c r="D244" s="224" t="s">
        <v>3352</v>
      </c>
      <c r="E244" s="394" t="s">
        <v>3643</v>
      </c>
      <c r="F244" s="403" t="s">
        <v>3340</v>
      </c>
      <c r="G244" s="235" t="s">
        <v>3381</v>
      </c>
      <c r="H244" s="404">
        <v>19061</v>
      </c>
      <c r="I244" s="194">
        <v>0</v>
      </c>
      <c r="J244" s="194">
        <v>40000</v>
      </c>
      <c r="K244" s="185">
        <v>0.5</v>
      </c>
      <c r="L244" s="183" t="s">
        <v>285</v>
      </c>
      <c r="M244" s="183" t="s">
        <v>158</v>
      </c>
      <c r="N244" s="183" t="s">
        <v>158</v>
      </c>
      <c r="O244" s="404"/>
    </row>
    <row r="245" spans="1:15" s="182" customFormat="1" ht="21.75" customHeight="1" x14ac:dyDescent="0.15">
      <c r="A245" s="151" t="s">
        <v>3910</v>
      </c>
      <c r="B245" s="20" t="s">
        <v>515</v>
      </c>
      <c r="C245" s="184" t="s">
        <v>3346</v>
      </c>
      <c r="D245" s="399" t="s">
        <v>3943</v>
      </c>
      <c r="E245" s="422" t="s">
        <v>3944</v>
      </c>
      <c r="F245" s="184" t="s">
        <v>3579</v>
      </c>
      <c r="G245" s="235" t="s">
        <v>3580</v>
      </c>
      <c r="H245" s="406">
        <v>17109</v>
      </c>
      <c r="I245" s="194">
        <v>0</v>
      </c>
      <c r="J245" s="194">
        <v>9950</v>
      </c>
      <c r="K245" s="185">
        <v>0.1</v>
      </c>
      <c r="L245" s="183" t="s">
        <v>1143</v>
      </c>
      <c r="M245" s="183" t="s">
        <v>1784</v>
      </c>
      <c r="N245" s="183" t="s">
        <v>1784</v>
      </c>
      <c r="O245" s="406"/>
    </row>
    <row r="246" spans="1:15" s="182" customFormat="1" ht="21.75" customHeight="1" x14ac:dyDescent="0.15">
      <c r="A246" s="151" t="s">
        <v>3910</v>
      </c>
      <c r="B246" s="20" t="s">
        <v>515</v>
      </c>
      <c r="C246" s="184" t="s">
        <v>3371</v>
      </c>
      <c r="D246" s="392" t="s">
        <v>3374</v>
      </c>
      <c r="E246" s="184" t="s">
        <v>3945</v>
      </c>
      <c r="F246" s="403" t="s">
        <v>3332</v>
      </c>
      <c r="G246" s="423" t="s">
        <v>3349</v>
      </c>
      <c r="H246" s="420">
        <v>17155</v>
      </c>
      <c r="I246" s="194">
        <v>0</v>
      </c>
      <c r="J246" s="194">
        <v>60000</v>
      </c>
      <c r="K246" s="185">
        <v>0.4</v>
      </c>
      <c r="L246" s="183" t="s">
        <v>285</v>
      </c>
      <c r="M246" s="183" t="s">
        <v>1784</v>
      </c>
      <c r="N246" s="183" t="s">
        <v>1784</v>
      </c>
      <c r="O246" s="420"/>
    </row>
    <row r="247" spans="1:15" s="182" customFormat="1" ht="21.75" customHeight="1" x14ac:dyDescent="0.15">
      <c r="A247" s="151" t="s">
        <v>3910</v>
      </c>
      <c r="B247" s="20" t="s">
        <v>192</v>
      </c>
      <c r="C247" s="184" t="s">
        <v>3325</v>
      </c>
      <c r="D247" s="184" t="s">
        <v>3352</v>
      </c>
      <c r="E247" s="184" t="s">
        <v>3630</v>
      </c>
      <c r="F247" s="224" t="s">
        <v>3328</v>
      </c>
      <c r="G247" s="239" t="s">
        <v>3349</v>
      </c>
      <c r="H247" s="406">
        <v>19171</v>
      </c>
      <c r="I247" s="194">
        <v>0</v>
      </c>
      <c r="J247" s="194">
        <v>89000</v>
      </c>
      <c r="K247" s="185">
        <v>1</v>
      </c>
      <c r="L247" s="183" t="s">
        <v>285</v>
      </c>
      <c r="M247" s="183" t="s">
        <v>2660</v>
      </c>
      <c r="N247" s="183" t="s">
        <v>2660</v>
      </c>
      <c r="O247" s="406"/>
    </row>
    <row r="248" spans="1:15" s="182" customFormat="1" ht="21.75" customHeight="1" x14ac:dyDescent="0.15">
      <c r="A248" s="151" t="s">
        <v>3910</v>
      </c>
      <c r="B248" s="20" t="s">
        <v>1441</v>
      </c>
      <c r="C248" s="224" t="s">
        <v>3351</v>
      </c>
      <c r="D248" s="224" t="s">
        <v>3352</v>
      </c>
      <c r="E248" s="394" t="s">
        <v>2784</v>
      </c>
      <c r="F248" s="403" t="s">
        <v>3328</v>
      </c>
      <c r="G248" s="235" t="s">
        <v>3381</v>
      </c>
      <c r="H248" s="404">
        <v>19055</v>
      </c>
      <c r="I248" s="194">
        <v>0</v>
      </c>
      <c r="J248" s="194">
        <v>40000</v>
      </c>
      <c r="K248" s="185">
        <v>0.5</v>
      </c>
      <c r="L248" s="183" t="s">
        <v>285</v>
      </c>
      <c r="M248" s="183" t="s">
        <v>158</v>
      </c>
      <c r="N248" s="183" t="s">
        <v>158</v>
      </c>
      <c r="O248" s="404"/>
    </row>
    <row r="249" spans="1:15" s="182" customFormat="1" ht="21.75" customHeight="1" x14ac:dyDescent="0.15">
      <c r="A249" s="151" t="s">
        <v>3911</v>
      </c>
      <c r="B249" s="20" t="s">
        <v>1439</v>
      </c>
      <c r="C249" s="224" t="s">
        <v>3351</v>
      </c>
      <c r="D249" s="224" t="s">
        <v>3352</v>
      </c>
      <c r="E249" s="394" t="s">
        <v>2794</v>
      </c>
      <c r="F249" s="403" t="s">
        <v>3340</v>
      </c>
      <c r="G249" s="235" t="s">
        <v>3381</v>
      </c>
      <c r="H249" s="407">
        <v>19056</v>
      </c>
      <c r="I249" s="194">
        <v>0</v>
      </c>
      <c r="J249" s="194">
        <v>40000</v>
      </c>
      <c r="K249" s="185">
        <v>0.5</v>
      </c>
      <c r="L249" s="183" t="s">
        <v>285</v>
      </c>
      <c r="M249" s="183" t="s">
        <v>158</v>
      </c>
      <c r="N249" s="183" t="s">
        <v>158</v>
      </c>
      <c r="O249" s="407"/>
    </row>
    <row r="250" spans="1:15" s="182" customFormat="1" ht="21.75" customHeight="1" x14ac:dyDescent="0.15">
      <c r="A250" s="151" t="s">
        <v>3911</v>
      </c>
      <c r="B250" s="20" t="s">
        <v>159</v>
      </c>
      <c r="C250" s="394" t="s">
        <v>3351</v>
      </c>
      <c r="D250" s="394" t="s">
        <v>3837</v>
      </c>
      <c r="E250" s="409" t="s">
        <v>3913</v>
      </c>
      <c r="F250" s="410" t="s">
        <v>3328</v>
      </c>
      <c r="G250" s="411" t="s">
        <v>3574</v>
      </c>
      <c r="H250" s="408">
        <v>14003</v>
      </c>
      <c r="I250" s="194">
        <v>0</v>
      </c>
      <c r="J250" s="194">
        <v>14000</v>
      </c>
      <c r="K250" s="185">
        <v>0.1</v>
      </c>
      <c r="L250" s="183" t="s">
        <v>1143</v>
      </c>
      <c r="M250" s="183" t="s">
        <v>158</v>
      </c>
      <c r="N250" s="183" t="s">
        <v>158</v>
      </c>
      <c r="O250" s="408"/>
    </row>
    <row r="251" spans="1:15" s="182" customFormat="1" ht="21.75" customHeight="1" x14ac:dyDescent="0.15">
      <c r="A251" s="151" t="s">
        <v>3911</v>
      </c>
      <c r="B251" s="20" t="s">
        <v>159</v>
      </c>
      <c r="C251" s="394" t="s">
        <v>3351</v>
      </c>
      <c r="D251" s="394" t="s">
        <v>3837</v>
      </c>
      <c r="E251" s="412" t="s">
        <v>125</v>
      </c>
      <c r="F251" s="410" t="s">
        <v>3328</v>
      </c>
      <c r="G251" s="411" t="s">
        <v>3829</v>
      </c>
      <c r="H251" s="408">
        <v>14004</v>
      </c>
      <c r="I251" s="194">
        <v>0</v>
      </c>
      <c r="J251" s="194">
        <v>67000</v>
      </c>
      <c r="K251" s="185">
        <v>0.1</v>
      </c>
      <c r="L251" s="183" t="s">
        <v>1143</v>
      </c>
      <c r="M251" s="183" t="s">
        <v>158</v>
      </c>
      <c r="N251" s="183" t="s">
        <v>158</v>
      </c>
      <c r="O251" s="408"/>
    </row>
    <row r="252" spans="1:15" s="182" customFormat="1" ht="21.75" customHeight="1" x14ac:dyDescent="0.15">
      <c r="A252" s="151" t="s">
        <v>3911</v>
      </c>
      <c r="B252" s="20" t="s">
        <v>2652</v>
      </c>
      <c r="C252" s="224" t="s">
        <v>3376</v>
      </c>
      <c r="D252" s="224" t="s">
        <v>3380</v>
      </c>
      <c r="E252" s="409" t="s">
        <v>3914</v>
      </c>
      <c r="F252" s="224" t="s">
        <v>3328</v>
      </c>
      <c r="G252" s="244" t="s">
        <v>3915</v>
      </c>
      <c r="H252" s="408">
        <v>18115</v>
      </c>
      <c r="I252" s="194">
        <v>0</v>
      </c>
      <c r="J252" s="194">
        <v>89294</v>
      </c>
      <c r="K252" s="185" t="s">
        <v>3916</v>
      </c>
      <c r="L252" s="183" t="s">
        <v>285</v>
      </c>
      <c r="M252" s="183" t="s">
        <v>170</v>
      </c>
      <c r="N252" s="183" t="s">
        <v>170</v>
      </c>
      <c r="O252" s="408"/>
    </row>
    <row r="253" spans="1:15" s="182" customFormat="1" ht="21.75" customHeight="1" x14ac:dyDescent="0.15">
      <c r="A253" s="151" t="s">
        <v>3911</v>
      </c>
      <c r="B253" s="20" t="s">
        <v>2604</v>
      </c>
      <c r="C253" s="276" t="s">
        <v>3917</v>
      </c>
      <c r="D253" s="399" t="s">
        <v>3918</v>
      </c>
      <c r="E253" s="394" t="s">
        <v>3919</v>
      </c>
      <c r="F253" s="184" t="s">
        <v>3344</v>
      </c>
      <c r="G253" s="184" t="s">
        <v>3477</v>
      </c>
      <c r="H253" s="408">
        <v>16083</v>
      </c>
      <c r="I253" s="194">
        <v>0</v>
      </c>
      <c r="J253" s="194">
        <v>58043</v>
      </c>
      <c r="K253" s="185" t="s">
        <v>3920</v>
      </c>
      <c r="L253" s="183" t="s">
        <v>3469</v>
      </c>
      <c r="M253" s="183" t="s">
        <v>190</v>
      </c>
      <c r="N253" s="183" t="s">
        <v>190</v>
      </c>
      <c r="O253" s="408"/>
    </row>
    <row r="254" spans="1:15" s="182" customFormat="1" ht="21.75" customHeight="1" x14ac:dyDescent="0.15">
      <c r="A254" s="151" t="s">
        <v>3911</v>
      </c>
      <c r="B254" s="20" t="s">
        <v>2314</v>
      </c>
      <c r="C254" s="394" t="s">
        <v>3921</v>
      </c>
      <c r="D254" s="399" t="s">
        <v>3572</v>
      </c>
      <c r="E254" s="409" t="s">
        <v>3922</v>
      </c>
      <c r="F254" s="410" t="s">
        <v>3328</v>
      </c>
      <c r="G254" s="411" t="s">
        <v>3549</v>
      </c>
      <c r="H254" s="408">
        <v>13012</v>
      </c>
      <c r="I254" s="194">
        <v>0</v>
      </c>
      <c r="J254" s="194">
        <v>79850</v>
      </c>
      <c r="K254" s="185">
        <v>0.1</v>
      </c>
      <c r="L254" s="183" t="s">
        <v>1143</v>
      </c>
      <c r="M254" s="183" t="s">
        <v>155</v>
      </c>
      <c r="N254" s="183" t="s">
        <v>2660</v>
      </c>
      <c r="O254" s="408"/>
    </row>
    <row r="255" spans="1:15" s="182" customFormat="1" ht="21.75" customHeight="1" x14ac:dyDescent="0.15">
      <c r="A255" s="151" t="s">
        <v>3911</v>
      </c>
      <c r="B255" s="20" t="s">
        <v>227</v>
      </c>
      <c r="C255" s="391" t="s">
        <v>3351</v>
      </c>
      <c r="D255" s="393" t="s">
        <v>3352</v>
      </c>
      <c r="E255" s="394" t="s">
        <v>2866</v>
      </c>
      <c r="F255" s="184" t="s">
        <v>3328</v>
      </c>
      <c r="G255" s="253" t="s">
        <v>3349</v>
      </c>
      <c r="H255" s="413" t="s">
        <v>3923</v>
      </c>
      <c r="I255" s="194">
        <v>0</v>
      </c>
      <c r="J255" s="194">
        <v>50000</v>
      </c>
      <c r="K255" s="185">
        <v>0.5</v>
      </c>
      <c r="L255" s="183" t="s">
        <v>285</v>
      </c>
      <c r="M255" s="183" t="s">
        <v>158</v>
      </c>
      <c r="N255" s="183" t="s">
        <v>158</v>
      </c>
      <c r="O255" s="408"/>
    </row>
    <row r="256" spans="1:15" s="182" customFormat="1" ht="21.75" customHeight="1" x14ac:dyDescent="0.15">
      <c r="A256" s="151" t="s">
        <v>3911</v>
      </c>
      <c r="B256" s="20" t="s">
        <v>227</v>
      </c>
      <c r="C256" s="391" t="s">
        <v>3351</v>
      </c>
      <c r="D256" s="393" t="s">
        <v>3352</v>
      </c>
      <c r="E256" s="394" t="s">
        <v>2867</v>
      </c>
      <c r="F256" s="184" t="s">
        <v>3332</v>
      </c>
      <c r="G256" s="253" t="s">
        <v>3381</v>
      </c>
      <c r="H256" s="413" t="s">
        <v>3924</v>
      </c>
      <c r="I256" s="194">
        <v>0</v>
      </c>
      <c r="J256" s="194">
        <v>50000</v>
      </c>
      <c r="K256" s="185">
        <v>0.5</v>
      </c>
      <c r="L256" s="183" t="s">
        <v>285</v>
      </c>
      <c r="M256" s="183" t="s">
        <v>158</v>
      </c>
      <c r="N256" s="183" t="s">
        <v>158</v>
      </c>
      <c r="O256" s="408"/>
    </row>
    <row r="257" spans="1:15" s="182" customFormat="1" ht="21.75" customHeight="1" x14ac:dyDescent="0.15">
      <c r="A257" s="151" t="s">
        <v>3911</v>
      </c>
      <c r="B257" s="20" t="s">
        <v>227</v>
      </c>
      <c r="C257" s="391" t="s">
        <v>3351</v>
      </c>
      <c r="D257" s="393" t="s">
        <v>3352</v>
      </c>
      <c r="E257" s="394" t="s">
        <v>2870</v>
      </c>
      <c r="F257" s="184" t="s">
        <v>3332</v>
      </c>
      <c r="G257" s="253" t="s">
        <v>3381</v>
      </c>
      <c r="H257" s="413" t="s">
        <v>3925</v>
      </c>
      <c r="I257" s="194">
        <v>0</v>
      </c>
      <c r="J257" s="194">
        <v>50000</v>
      </c>
      <c r="K257" s="185">
        <v>0.5</v>
      </c>
      <c r="L257" s="183" t="s">
        <v>285</v>
      </c>
      <c r="M257" s="183" t="s">
        <v>158</v>
      </c>
      <c r="N257" s="183" t="s">
        <v>158</v>
      </c>
      <c r="O257" s="408"/>
    </row>
    <row r="258" spans="1:15" s="182" customFormat="1" ht="21.75" customHeight="1" x14ac:dyDescent="0.15">
      <c r="A258" s="151" t="s">
        <v>3912</v>
      </c>
      <c r="B258" s="20" t="s">
        <v>3687</v>
      </c>
      <c r="C258" s="415" t="s">
        <v>3926</v>
      </c>
      <c r="D258" s="415" t="s">
        <v>3927</v>
      </c>
      <c r="E258" s="416" t="s">
        <v>3928</v>
      </c>
      <c r="F258" s="415" t="s">
        <v>3929</v>
      </c>
      <c r="G258" s="417" t="s">
        <v>3930</v>
      </c>
      <c r="H258" s="369">
        <v>18165</v>
      </c>
      <c r="I258" s="194">
        <v>0</v>
      </c>
      <c r="J258" s="194">
        <v>50000</v>
      </c>
      <c r="K258" s="185">
        <v>0.5</v>
      </c>
      <c r="L258" s="183" t="s">
        <v>285</v>
      </c>
      <c r="M258" s="183" t="s">
        <v>158</v>
      </c>
      <c r="N258" s="183" t="s">
        <v>158</v>
      </c>
      <c r="O258" s="369"/>
    </row>
    <row r="259" spans="1:15" s="182" customFormat="1" ht="21.75" customHeight="1" x14ac:dyDescent="0.15">
      <c r="A259" s="151" t="s">
        <v>3912</v>
      </c>
      <c r="B259" s="20" t="s">
        <v>282</v>
      </c>
      <c r="C259" s="409" t="s">
        <v>3598</v>
      </c>
      <c r="D259" s="399" t="s">
        <v>3419</v>
      </c>
      <c r="E259" s="409" t="s">
        <v>3977</v>
      </c>
      <c r="F259" s="429" t="s">
        <v>3328</v>
      </c>
      <c r="G259" s="430" t="s">
        <v>3978</v>
      </c>
      <c r="H259" s="414">
        <v>15002</v>
      </c>
      <c r="I259" s="194">
        <v>50000</v>
      </c>
      <c r="J259" s="194">
        <v>0</v>
      </c>
      <c r="K259" s="185" t="s">
        <v>3601</v>
      </c>
      <c r="L259" s="183" t="s">
        <v>3550</v>
      </c>
      <c r="M259" s="183" t="s">
        <v>158</v>
      </c>
      <c r="N259" s="183" t="s">
        <v>158</v>
      </c>
      <c r="O259" s="414" t="s">
        <v>3932</v>
      </c>
    </row>
    <row r="260" spans="1:15" s="182" customFormat="1" ht="21.75" customHeight="1" x14ac:dyDescent="0.15">
      <c r="A260" s="151" t="s">
        <v>3912</v>
      </c>
      <c r="B260" s="20" t="s">
        <v>3931</v>
      </c>
      <c r="C260" s="224" t="s">
        <v>3351</v>
      </c>
      <c r="D260" s="224" t="s">
        <v>3717</v>
      </c>
      <c r="E260" s="224" t="s">
        <v>3936</v>
      </c>
      <c r="F260" s="418" t="s">
        <v>3328</v>
      </c>
      <c r="G260" s="235" t="s">
        <v>3378</v>
      </c>
      <c r="H260" s="414">
        <v>19107</v>
      </c>
      <c r="I260" s="194">
        <v>216000</v>
      </c>
      <c r="J260" s="194">
        <v>0</v>
      </c>
      <c r="K260" s="185">
        <v>0.6</v>
      </c>
      <c r="L260" s="183" t="s">
        <v>1172</v>
      </c>
      <c r="M260" s="183" t="s">
        <v>190</v>
      </c>
      <c r="N260" s="183" t="s">
        <v>190</v>
      </c>
      <c r="O260" s="414" t="s">
        <v>3933</v>
      </c>
    </row>
    <row r="261" spans="1:15" s="182" customFormat="1" ht="21.75" customHeight="1" x14ac:dyDescent="0.15">
      <c r="A261" s="151" t="s">
        <v>3912</v>
      </c>
      <c r="B261" s="20" t="s">
        <v>3931</v>
      </c>
      <c r="C261" s="224" t="s">
        <v>3351</v>
      </c>
      <c r="D261" s="224" t="s">
        <v>3717</v>
      </c>
      <c r="E261" s="224" t="s">
        <v>3936</v>
      </c>
      <c r="F261" s="224" t="s">
        <v>3937</v>
      </c>
      <c r="G261" s="235" t="s">
        <v>3938</v>
      </c>
      <c r="H261" s="414">
        <v>19108</v>
      </c>
      <c r="I261" s="194">
        <v>354000</v>
      </c>
      <c r="J261" s="194">
        <v>0</v>
      </c>
      <c r="K261" s="185">
        <v>0.6</v>
      </c>
      <c r="L261" s="183" t="s">
        <v>1172</v>
      </c>
      <c r="M261" s="183" t="s">
        <v>190</v>
      </c>
      <c r="N261" s="183" t="s">
        <v>190</v>
      </c>
      <c r="O261" s="414" t="s">
        <v>3934</v>
      </c>
    </row>
    <row r="262" spans="1:15" s="182" customFormat="1" ht="21.75" customHeight="1" x14ac:dyDescent="0.15">
      <c r="A262" s="151" t="s">
        <v>3935</v>
      </c>
      <c r="B262" s="20" t="s">
        <v>515</v>
      </c>
      <c r="C262" s="184" t="s">
        <v>3346</v>
      </c>
      <c r="D262" s="184" t="s">
        <v>3354</v>
      </c>
      <c r="E262" s="184" t="s">
        <v>3675</v>
      </c>
      <c r="F262" s="184" t="s">
        <v>3355</v>
      </c>
      <c r="G262" s="235" t="s">
        <v>3775</v>
      </c>
      <c r="H262" s="414" t="s">
        <v>3939</v>
      </c>
      <c r="I262" s="194">
        <v>0</v>
      </c>
      <c r="J262" s="194">
        <v>247125.9</v>
      </c>
      <c r="K262" s="185">
        <v>0.97</v>
      </c>
      <c r="L262" s="183" t="s">
        <v>1147</v>
      </c>
      <c r="M262" s="183" t="s">
        <v>1784</v>
      </c>
      <c r="N262" s="183" t="s">
        <v>1784</v>
      </c>
      <c r="O262" s="414"/>
    </row>
    <row r="263" spans="1:15" s="182" customFormat="1" ht="21.75" customHeight="1" x14ac:dyDescent="0.15">
      <c r="A263" s="151" t="s">
        <v>3935</v>
      </c>
      <c r="B263" s="20" t="s">
        <v>515</v>
      </c>
      <c r="C263" s="184" t="s">
        <v>3346</v>
      </c>
      <c r="D263" s="184" t="s">
        <v>3354</v>
      </c>
      <c r="E263" s="184" t="s">
        <v>3675</v>
      </c>
      <c r="F263" s="184" t="s">
        <v>3355</v>
      </c>
      <c r="G263" s="235" t="s">
        <v>3941</v>
      </c>
      <c r="H263" s="414" t="s">
        <v>3940</v>
      </c>
      <c r="I263" s="194">
        <v>0</v>
      </c>
      <c r="J263" s="194">
        <v>26595.1</v>
      </c>
      <c r="K263" s="185">
        <v>0.97</v>
      </c>
      <c r="L263" s="183" t="s">
        <v>1147</v>
      </c>
      <c r="M263" s="183" t="s">
        <v>1784</v>
      </c>
      <c r="N263" s="183" t="s">
        <v>1784</v>
      </c>
      <c r="O263" s="414"/>
    </row>
    <row r="264" spans="1:15" s="182" customFormat="1" ht="21.75" customHeight="1" x14ac:dyDescent="0.15">
      <c r="A264" s="151" t="s">
        <v>3935</v>
      </c>
      <c r="B264" s="20" t="s">
        <v>1141</v>
      </c>
      <c r="C264" s="224" t="s">
        <v>3351</v>
      </c>
      <c r="D264" s="224" t="s">
        <v>3352</v>
      </c>
      <c r="E264" s="394" t="s">
        <v>3689</v>
      </c>
      <c r="F264" s="224" t="s">
        <v>3328</v>
      </c>
      <c r="G264" s="239" t="s">
        <v>3349</v>
      </c>
      <c r="H264" s="414">
        <v>18166</v>
      </c>
      <c r="I264" s="194">
        <v>0</v>
      </c>
      <c r="J264" s="194">
        <v>50000</v>
      </c>
      <c r="K264" s="185">
        <v>0.5</v>
      </c>
      <c r="L264" s="183" t="s">
        <v>285</v>
      </c>
      <c r="M264" s="183" t="s">
        <v>158</v>
      </c>
      <c r="N264" s="183" t="s">
        <v>158</v>
      </c>
      <c r="O264" s="414"/>
    </row>
    <row r="265" spans="1:15" s="182" customFormat="1" ht="21.75" customHeight="1" x14ac:dyDescent="0.15">
      <c r="A265" s="151" t="s">
        <v>3935</v>
      </c>
      <c r="B265" s="20" t="s">
        <v>2708</v>
      </c>
      <c r="C265" s="184" t="s">
        <v>3334</v>
      </c>
      <c r="D265" s="184" t="s">
        <v>3326</v>
      </c>
      <c r="E265" s="184" t="s">
        <v>3942</v>
      </c>
      <c r="F265" s="419" t="s">
        <v>3328</v>
      </c>
      <c r="G265" s="235" t="s">
        <v>3341</v>
      </c>
      <c r="H265" s="414">
        <v>19051</v>
      </c>
      <c r="I265" s="194">
        <v>0</v>
      </c>
      <c r="J265" s="194">
        <v>49650</v>
      </c>
      <c r="K265" s="185">
        <v>0.25</v>
      </c>
      <c r="L265" s="183" t="s">
        <v>285</v>
      </c>
      <c r="M265" s="183" t="s">
        <v>170</v>
      </c>
      <c r="N265" s="183" t="s">
        <v>170</v>
      </c>
      <c r="O265" s="414"/>
    </row>
    <row r="266" spans="1:15" s="182" customFormat="1" ht="21.75" customHeight="1" x14ac:dyDescent="0.15">
      <c r="A266" s="151" t="s">
        <v>3935</v>
      </c>
      <c r="B266" s="20" t="s">
        <v>3947</v>
      </c>
      <c r="C266" s="224" t="s">
        <v>3346</v>
      </c>
      <c r="D266" s="224" t="s">
        <v>3360</v>
      </c>
      <c r="E266" s="180" t="s">
        <v>3259</v>
      </c>
      <c r="F266" s="224" t="s">
        <v>3328</v>
      </c>
      <c r="G266" s="239" t="s">
        <v>3386</v>
      </c>
      <c r="H266" s="421">
        <v>19181</v>
      </c>
      <c r="I266" s="194">
        <v>0</v>
      </c>
      <c r="J266" s="194">
        <v>6000</v>
      </c>
      <c r="K266" s="185">
        <v>1</v>
      </c>
      <c r="L266" s="183" t="s">
        <v>1948</v>
      </c>
      <c r="M266" s="183" t="s">
        <v>155</v>
      </c>
      <c r="N266" s="183" t="s">
        <v>155</v>
      </c>
      <c r="O266" s="421"/>
    </row>
    <row r="267" spans="1:15" s="182" customFormat="1" ht="21.75" customHeight="1" x14ac:dyDescent="0.15">
      <c r="A267" s="151" t="s">
        <v>3946</v>
      </c>
      <c r="B267" s="20" t="s">
        <v>624</v>
      </c>
      <c r="C267" s="224" t="s">
        <v>3346</v>
      </c>
      <c r="D267" s="224" t="s">
        <v>3463</v>
      </c>
      <c r="E267" s="394" t="s">
        <v>3806</v>
      </c>
      <c r="F267" s="224" t="s">
        <v>3328</v>
      </c>
      <c r="G267" s="239" t="s">
        <v>3670</v>
      </c>
      <c r="H267" s="421">
        <v>19151</v>
      </c>
      <c r="I267" s="194">
        <v>0</v>
      </c>
      <c r="J267" s="194">
        <v>30000</v>
      </c>
      <c r="K267" s="185">
        <v>1</v>
      </c>
      <c r="L267" s="183" t="s">
        <v>1948</v>
      </c>
      <c r="M267" s="183" t="s">
        <v>162</v>
      </c>
      <c r="N267" s="183" t="s">
        <v>3790</v>
      </c>
      <c r="O267" s="421"/>
    </row>
    <row r="268" spans="1:15" s="182" customFormat="1" ht="21.75" customHeight="1" x14ac:dyDescent="0.15">
      <c r="A268" s="151" t="s">
        <v>3946</v>
      </c>
      <c r="B268" s="20" t="s">
        <v>482</v>
      </c>
      <c r="C268" s="224" t="s">
        <v>3346</v>
      </c>
      <c r="D268" s="224" t="s">
        <v>3463</v>
      </c>
      <c r="E268" s="394" t="s">
        <v>3809</v>
      </c>
      <c r="F268" s="224" t="s">
        <v>3328</v>
      </c>
      <c r="G268" s="239" t="s">
        <v>3670</v>
      </c>
      <c r="H268" s="421">
        <v>19152</v>
      </c>
      <c r="I268" s="194">
        <v>0</v>
      </c>
      <c r="J268" s="194">
        <v>30000</v>
      </c>
      <c r="K268" s="185">
        <v>1</v>
      </c>
      <c r="L268" s="183" t="s">
        <v>1948</v>
      </c>
      <c r="M268" s="183" t="s">
        <v>162</v>
      </c>
      <c r="N268" s="183" t="s">
        <v>3790</v>
      </c>
      <c r="O268" s="421"/>
    </row>
    <row r="269" spans="1:15" s="182" customFormat="1" ht="21.75" customHeight="1" x14ac:dyDescent="0.15">
      <c r="A269" s="151" t="s">
        <v>3948</v>
      </c>
      <c r="B269" s="20" t="s">
        <v>176</v>
      </c>
      <c r="C269" s="399" t="s">
        <v>3414</v>
      </c>
      <c r="D269" s="399" t="s">
        <v>3347</v>
      </c>
      <c r="E269" s="399" t="s">
        <v>3950</v>
      </c>
      <c r="F269" s="418" t="s">
        <v>3328</v>
      </c>
      <c r="G269" s="235" t="s">
        <v>3951</v>
      </c>
      <c r="H269" s="424">
        <v>19117</v>
      </c>
      <c r="I269" s="194">
        <v>0</v>
      </c>
      <c r="J269" s="194">
        <v>75000</v>
      </c>
      <c r="K269" s="185">
        <v>1</v>
      </c>
      <c r="L269" s="183" t="s">
        <v>285</v>
      </c>
      <c r="M269" s="183" t="s">
        <v>170</v>
      </c>
      <c r="N269" s="183" t="s">
        <v>170</v>
      </c>
      <c r="O269" s="424"/>
    </row>
    <row r="270" spans="1:15" s="182" customFormat="1" ht="21.75" customHeight="1" x14ac:dyDescent="0.15">
      <c r="A270" s="151" t="s">
        <v>3948</v>
      </c>
      <c r="B270" s="20" t="s">
        <v>3123</v>
      </c>
      <c r="C270" s="224" t="s">
        <v>3384</v>
      </c>
      <c r="D270" s="224" t="s">
        <v>3347</v>
      </c>
      <c r="E270" s="224" t="s">
        <v>3952</v>
      </c>
      <c r="F270" s="418" t="s">
        <v>3328</v>
      </c>
      <c r="G270" s="235" t="s">
        <v>3378</v>
      </c>
      <c r="H270" s="424">
        <v>18143</v>
      </c>
      <c r="I270" s="194">
        <v>0</v>
      </c>
      <c r="J270" s="194">
        <v>27850</v>
      </c>
      <c r="K270" s="185">
        <v>0.05</v>
      </c>
      <c r="L270" s="183" t="s">
        <v>1147</v>
      </c>
      <c r="M270" s="183" t="s">
        <v>170</v>
      </c>
      <c r="N270" s="183" t="s">
        <v>170</v>
      </c>
      <c r="O270" s="424"/>
    </row>
    <row r="271" spans="1:15" s="182" customFormat="1" ht="21.75" customHeight="1" x14ac:dyDescent="0.15">
      <c r="A271" s="151" t="s">
        <v>3948</v>
      </c>
      <c r="B271" s="20" t="s">
        <v>3953</v>
      </c>
      <c r="C271" s="184" t="s">
        <v>3363</v>
      </c>
      <c r="D271" s="184" t="s">
        <v>3463</v>
      </c>
      <c r="E271" s="184" t="s">
        <v>3954</v>
      </c>
      <c r="F271" s="419" t="s">
        <v>3328</v>
      </c>
      <c r="G271" s="235" t="s">
        <v>3829</v>
      </c>
      <c r="H271" s="424">
        <v>19076</v>
      </c>
      <c r="I271" s="194">
        <v>0</v>
      </c>
      <c r="J271" s="194">
        <v>212756.59</v>
      </c>
      <c r="K271" s="185" t="s">
        <v>3955</v>
      </c>
      <c r="L271" s="183" t="s">
        <v>1948</v>
      </c>
      <c r="M271" s="184" t="s">
        <v>3956</v>
      </c>
      <c r="N271" s="184" t="s">
        <v>3957</v>
      </c>
      <c r="O271" s="424"/>
    </row>
    <row r="272" spans="1:15" s="182" customFormat="1" ht="21.75" customHeight="1" x14ac:dyDescent="0.15">
      <c r="A272" s="151" t="s">
        <v>3948</v>
      </c>
      <c r="B272" s="20" t="s">
        <v>3958</v>
      </c>
      <c r="C272" s="427" t="s">
        <v>3664</v>
      </c>
      <c r="D272" s="391" t="s">
        <v>3959</v>
      </c>
      <c r="E272" s="391" t="s">
        <v>3960</v>
      </c>
      <c r="F272" s="224" t="s">
        <v>3328</v>
      </c>
      <c r="G272" s="239" t="s">
        <v>3349</v>
      </c>
      <c r="H272" s="424">
        <v>19084</v>
      </c>
      <c r="I272" s="194">
        <v>0</v>
      </c>
      <c r="J272" s="194">
        <v>60000</v>
      </c>
      <c r="K272" s="185">
        <v>1</v>
      </c>
      <c r="L272" s="183" t="s">
        <v>285</v>
      </c>
      <c r="M272" s="183" t="s">
        <v>170</v>
      </c>
      <c r="N272" s="183" t="s">
        <v>170</v>
      </c>
      <c r="O272" s="424"/>
    </row>
    <row r="273" spans="1:15" s="182" customFormat="1" ht="21.75" customHeight="1" x14ac:dyDescent="0.15">
      <c r="A273" s="151" t="s">
        <v>3949</v>
      </c>
      <c r="B273" s="20" t="s">
        <v>2647</v>
      </c>
      <c r="C273" s="224" t="s">
        <v>3346</v>
      </c>
      <c r="D273" s="224" t="s">
        <v>3463</v>
      </c>
      <c r="E273" s="394" t="s">
        <v>3791</v>
      </c>
      <c r="F273" s="224" t="s">
        <v>3328</v>
      </c>
      <c r="G273" s="239" t="s">
        <v>3670</v>
      </c>
      <c r="H273" s="425">
        <v>19155</v>
      </c>
      <c r="I273" s="194">
        <v>0</v>
      </c>
      <c r="J273" s="194">
        <v>30000</v>
      </c>
      <c r="K273" s="185">
        <v>1</v>
      </c>
      <c r="L273" s="183" t="s">
        <v>1948</v>
      </c>
      <c r="M273" s="183" t="s">
        <v>162</v>
      </c>
      <c r="N273" s="183" t="s">
        <v>3790</v>
      </c>
      <c r="O273" s="425"/>
    </row>
    <row r="274" spans="1:15" s="182" customFormat="1" ht="21.75" customHeight="1" x14ac:dyDescent="0.15">
      <c r="A274" s="151" t="s">
        <v>3949</v>
      </c>
      <c r="B274" s="20" t="s">
        <v>224</v>
      </c>
      <c r="C274" s="224" t="s">
        <v>3363</v>
      </c>
      <c r="D274" s="224" t="s">
        <v>3360</v>
      </c>
      <c r="E274" s="224" t="s">
        <v>3961</v>
      </c>
      <c r="F274" s="224" t="s">
        <v>3328</v>
      </c>
      <c r="G274" s="239" t="s">
        <v>3349</v>
      </c>
      <c r="H274" s="425">
        <v>19144</v>
      </c>
      <c r="I274" s="194">
        <v>0</v>
      </c>
      <c r="J274" s="194">
        <v>110000</v>
      </c>
      <c r="K274" s="185">
        <v>1</v>
      </c>
      <c r="L274" s="183" t="s">
        <v>285</v>
      </c>
      <c r="M274" s="183" t="s">
        <v>2660</v>
      </c>
      <c r="N274" s="183" t="s">
        <v>2660</v>
      </c>
      <c r="O274" s="425"/>
    </row>
    <row r="275" spans="1:15" s="182" customFormat="1" ht="21.75" customHeight="1" x14ac:dyDescent="0.15">
      <c r="A275" s="151" t="s">
        <v>3949</v>
      </c>
      <c r="B275" s="20" t="s">
        <v>2646</v>
      </c>
      <c r="C275" s="224" t="s">
        <v>3346</v>
      </c>
      <c r="D275" s="224" t="s">
        <v>3463</v>
      </c>
      <c r="E275" s="394" t="s">
        <v>3789</v>
      </c>
      <c r="F275" s="224" t="s">
        <v>3328</v>
      </c>
      <c r="G275" s="239" t="s">
        <v>3670</v>
      </c>
      <c r="H275" s="425">
        <v>19157</v>
      </c>
      <c r="I275" s="194">
        <v>0</v>
      </c>
      <c r="J275" s="194">
        <v>30000</v>
      </c>
      <c r="K275" s="185">
        <v>1</v>
      </c>
      <c r="L275" s="183" t="s">
        <v>1948</v>
      </c>
      <c r="M275" s="183" t="s">
        <v>162</v>
      </c>
      <c r="N275" s="183" t="s">
        <v>3790</v>
      </c>
      <c r="O275" s="425"/>
    </row>
    <row r="276" spans="1:15" s="182" customFormat="1" ht="21.75" customHeight="1" x14ac:dyDescent="0.15">
      <c r="A276" s="151" t="s">
        <v>3949</v>
      </c>
      <c r="B276" s="20" t="s">
        <v>343</v>
      </c>
      <c r="C276" s="224" t="s">
        <v>3346</v>
      </c>
      <c r="D276" s="224" t="s">
        <v>3463</v>
      </c>
      <c r="E276" s="428" t="s">
        <v>2953</v>
      </c>
      <c r="F276" s="224" t="s">
        <v>3328</v>
      </c>
      <c r="G276" s="239" t="s">
        <v>3670</v>
      </c>
      <c r="H276" s="425" t="s">
        <v>3962</v>
      </c>
      <c r="I276" s="194">
        <v>0</v>
      </c>
      <c r="J276" s="194">
        <v>30000</v>
      </c>
      <c r="K276" s="185">
        <v>1</v>
      </c>
      <c r="L276" s="183" t="s">
        <v>1948</v>
      </c>
      <c r="M276" s="183" t="s">
        <v>162</v>
      </c>
      <c r="N276" s="183" t="s">
        <v>3790</v>
      </c>
      <c r="O276" s="425"/>
    </row>
    <row r="277" spans="1:15" s="182" customFormat="1" ht="21.75" customHeight="1" x14ac:dyDescent="0.15">
      <c r="A277" s="151" t="s">
        <v>3949</v>
      </c>
      <c r="B277" s="20" t="s">
        <v>44</v>
      </c>
      <c r="C277" s="224" t="s">
        <v>3346</v>
      </c>
      <c r="D277" s="224" t="s">
        <v>3463</v>
      </c>
      <c r="E277" s="428" t="s">
        <v>2954</v>
      </c>
      <c r="F277" s="224" t="s">
        <v>3328</v>
      </c>
      <c r="G277" s="239" t="s">
        <v>3670</v>
      </c>
      <c r="H277" s="425" t="s">
        <v>3963</v>
      </c>
      <c r="I277" s="194">
        <v>0</v>
      </c>
      <c r="J277" s="194">
        <v>30000</v>
      </c>
      <c r="K277" s="185">
        <v>1</v>
      </c>
      <c r="L277" s="183" t="s">
        <v>1948</v>
      </c>
      <c r="M277" s="183" t="s">
        <v>162</v>
      </c>
      <c r="N277" s="183" t="s">
        <v>3790</v>
      </c>
      <c r="O277" s="425"/>
    </row>
    <row r="278" spans="1:15" s="182" customFormat="1" ht="21.75" customHeight="1" x14ac:dyDescent="0.15">
      <c r="A278" s="151" t="s">
        <v>3949</v>
      </c>
      <c r="B278" s="20" t="s">
        <v>44</v>
      </c>
      <c r="C278" s="224" t="s">
        <v>3346</v>
      </c>
      <c r="D278" s="224" t="s">
        <v>3463</v>
      </c>
      <c r="E278" s="428" t="s">
        <v>2955</v>
      </c>
      <c r="F278" s="224" t="s">
        <v>3328</v>
      </c>
      <c r="G278" s="239" t="s">
        <v>3670</v>
      </c>
      <c r="H278" s="425" t="s">
        <v>3964</v>
      </c>
      <c r="I278" s="194">
        <v>0</v>
      </c>
      <c r="J278" s="194">
        <v>30000</v>
      </c>
      <c r="K278" s="185">
        <v>1</v>
      </c>
      <c r="L278" s="183" t="s">
        <v>1948</v>
      </c>
      <c r="M278" s="183" t="s">
        <v>162</v>
      </c>
      <c r="N278" s="183" t="s">
        <v>3790</v>
      </c>
      <c r="O278" s="425"/>
    </row>
    <row r="279" spans="1:15" s="182" customFormat="1" ht="21.75" customHeight="1" x14ac:dyDescent="0.15">
      <c r="A279" s="151" t="s">
        <v>3949</v>
      </c>
      <c r="B279" s="20" t="s">
        <v>44</v>
      </c>
      <c r="C279" s="224" t="s">
        <v>3346</v>
      </c>
      <c r="D279" s="224" t="s">
        <v>3463</v>
      </c>
      <c r="E279" s="428" t="s">
        <v>2956</v>
      </c>
      <c r="F279" s="224" t="s">
        <v>3328</v>
      </c>
      <c r="G279" s="239" t="s">
        <v>3670</v>
      </c>
      <c r="H279" s="425" t="s">
        <v>3965</v>
      </c>
      <c r="I279" s="194">
        <v>0</v>
      </c>
      <c r="J279" s="194">
        <v>30000</v>
      </c>
      <c r="K279" s="185">
        <v>1</v>
      </c>
      <c r="L279" s="183" t="s">
        <v>1948</v>
      </c>
      <c r="M279" s="183" t="s">
        <v>162</v>
      </c>
      <c r="N279" s="183" t="s">
        <v>3790</v>
      </c>
      <c r="O279" s="425"/>
    </row>
    <row r="280" spans="1:15" s="182" customFormat="1" ht="21.75" customHeight="1" x14ac:dyDescent="0.15">
      <c r="A280" s="151" t="s">
        <v>3949</v>
      </c>
      <c r="B280" s="20" t="s">
        <v>2078</v>
      </c>
      <c r="C280" s="224" t="s">
        <v>3346</v>
      </c>
      <c r="D280" s="224" t="s">
        <v>3463</v>
      </c>
      <c r="E280" s="405" t="s">
        <v>3793</v>
      </c>
      <c r="F280" s="224" t="s">
        <v>3328</v>
      </c>
      <c r="G280" s="239" t="s">
        <v>3670</v>
      </c>
      <c r="H280" s="425">
        <v>19162</v>
      </c>
      <c r="I280" s="194">
        <v>0</v>
      </c>
      <c r="J280" s="194">
        <v>30000</v>
      </c>
      <c r="K280" s="185">
        <v>1</v>
      </c>
      <c r="L280" s="183" t="s">
        <v>1948</v>
      </c>
      <c r="M280" s="183" t="s">
        <v>162</v>
      </c>
      <c r="N280" s="183" t="s">
        <v>3790</v>
      </c>
      <c r="O280" s="425"/>
    </row>
    <row r="281" spans="1:15" s="182" customFormat="1" ht="21.75" customHeight="1" x14ac:dyDescent="0.15">
      <c r="A281" s="151" t="s">
        <v>3949</v>
      </c>
      <c r="B281" s="20" t="s">
        <v>1653</v>
      </c>
      <c r="C281" s="224" t="s">
        <v>3346</v>
      </c>
      <c r="D281" s="224" t="s">
        <v>3463</v>
      </c>
      <c r="E281" s="394" t="s">
        <v>3800</v>
      </c>
      <c r="F281" s="224" t="s">
        <v>3328</v>
      </c>
      <c r="G281" s="239" t="s">
        <v>3670</v>
      </c>
      <c r="H281" s="425">
        <v>19161</v>
      </c>
      <c r="I281" s="194">
        <v>0</v>
      </c>
      <c r="J281" s="194">
        <v>30000</v>
      </c>
      <c r="K281" s="185">
        <v>1</v>
      </c>
      <c r="L281" s="183" t="s">
        <v>1948</v>
      </c>
      <c r="M281" s="183" t="s">
        <v>162</v>
      </c>
      <c r="N281" s="183" t="s">
        <v>3790</v>
      </c>
      <c r="O281" s="425"/>
    </row>
    <row r="282" spans="1:15" s="182" customFormat="1" ht="21.75" customHeight="1" x14ac:dyDescent="0.15">
      <c r="A282" s="151" t="s">
        <v>3949</v>
      </c>
      <c r="B282" s="20" t="s">
        <v>2260</v>
      </c>
      <c r="C282" s="224" t="s">
        <v>3346</v>
      </c>
      <c r="D282" s="224" t="s">
        <v>3463</v>
      </c>
      <c r="E282" s="394" t="s">
        <v>3464</v>
      </c>
      <c r="F282" s="224" t="s">
        <v>3328</v>
      </c>
      <c r="G282" s="239" t="s">
        <v>3670</v>
      </c>
      <c r="H282" s="425">
        <v>19153</v>
      </c>
      <c r="I282" s="194">
        <v>0</v>
      </c>
      <c r="J282" s="194">
        <v>30000</v>
      </c>
      <c r="K282" s="185">
        <v>1</v>
      </c>
      <c r="L282" s="183" t="s">
        <v>1948</v>
      </c>
      <c r="M282" s="183" t="s">
        <v>162</v>
      </c>
      <c r="N282" s="183" t="s">
        <v>3790</v>
      </c>
      <c r="O282" s="425"/>
    </row>
    <row r="283" spans="1:15" s="182" customFormat="1" ht="21.75" customHeight="1" x14ac:dyDescent="0.15">
      <c r="A283" s="151" t="s">
        <v>3949</v>
      </c>
      <c r="B283" s="20" t="s">
        <v>342</v>
      </c>
      <c r="C283" s="224" t="s">
        <v>3346</v>
      </c>
      <c r="D283" s="224" t="s">
        <v>3463</v>
      </c>
      <c r="E283" s="394" t="s">
        <v>3799</v>
      </c>
      <c r="F283" s="224" t="s">
        <v>3328</v>
      </c>
      <c r="G283" s="239" t="s">
        <v>3670</v>
      </c>
      <c r="H283" s="425">
        <v>19160</v>
      </c>
      <c r="I283" s="194">
        <v>0</v>
      </c>
      <c r="J283" s="194">
        <v>30000</v>
      </c>
      <c r="K283" s="185">
        <v>1</v>
      </c>
      <c r="L283" s="183" t="s">
        <v>1948</v>
      </c>
      <c r="M283" s="183" t="s">
        <v>162</v>
      </c>
      <c r="N283" s="183" t="s">
        <v>3790</v>
      </c>
      <c r="O283" s="425"/>
    </row>
    <row r="284" spans="1:15" s="182" customFormat="1" ht="21.75" customHeight="1" x14ac:dyDescent="0.15">
      <c r="A284" s="151" t="s">
        <v>3949</v>
      </c>
      <c r="B284" s="20" t="s">
        <v>488</v>
      </c>
      <c r="C284" s="224" t="s">
        <v>3346</v>
      </c>
      <c r="D284" s="224" t="s">
        <v>3463</v>
      </c>
      <c r="E284" s="394" t="s">
        <v>3798</v>
      </c>
      <c r="F284" s="224" t="s">
        <v>3328</v>
      </c>
      <c r="G284" s="239" t="s">
        <v>3670</v>
      </c>
      <c r="H284" s="425">
        <v>19159</v>
      </c>
      <c r="I284" s="194">
        <v>0</v>
      </c>
      <c r="J284" s="194">
        <v>30000</v>
      </c>
      <c r="K284" s="185">
        <v>1</v>
      </c>
      <c r="L284" s="183" t="s">
        <v>1948</v>
      </c>
      <c r="M284" s="183" t="s">
        <v>162</v>
      </c>
      <c r="N284" s="183" t="s">
        <v>3790</v>
      </c>
      <c r="O284" s="425"/>
    </row>
    <row r="285" spans="1:15" s="182" customFormat="1" ht="21.75" customHeight="1" x14ac:dyDescent="0.15">
      <c r="A285" s="151" t="s">
        <v>3949</v>
      </c>
      <c r="B285" s="20" t="s">
        <v>2644</v>
      </c>
      <c r="C285" s="224" t="s">
        <v>3346</v>
      </c>
      <c r="D285" s="224" t="s">
        <v>3463</v>
      </c>
      <c r="E285" s="394" t="s">
        <v>964</v>
      </c>
      <c r="F285" s="224" t="s">
        <v>3328</v>
      </c>
      <c r="G285" s="239" t="s">
        <v>3670</v>
      </c>
      <c r="H285" s="425">
        <v>19154</v>
      </c>
      <c r="I285" s="194">
        <v>0</v>
      </c>
      <c r="J285" s="194">
        <v>30000</v>
      </c>
      <c r="K285" s="185">
        <v>1</v>
      </c>
      <c r="L285" s="183" t="s">
        <v>1948</v>
      </c>
      <c r="M285" s="183" t="s">
        <v>162</v>
      </c>
      <c r="N285" s="183" t="s">
        <v>3790</v>
      </c>
      <c r="O285" s="425"/>
    </row>
    <row r="286" spans="1:15" s="182" customFormat="1" ht="21.75" customHeight="1" x14ac:dyDescent="0.15">
      <c r="A286" s="151" t="s">
        <v>3949</v>
      </c>
      <c r="B286" s="20" t="s">
        <v>2946</v>
      </c>
      <c r="C286" s="224" t="s">
        <v>3346</v>
      </c>
      <c r="D286" s="224" t="s">
        <v>3463</v>
      </c>
      <c r="E286" s="394" t="s">
        <v>3792</v>
      </c>
      <c r="F286" s="224" t="s">
        <v>3328</v>
      </c>
      <c r="G286" s="239" t="s">
        <v>3670</v>
      </c>
      <c r="H286" s="425">
        <v>19149</v>
      </c>
      <c r="I286" s="194">
        <v>0</v>
      </c>
      <c r="J286" s="194">
        <v>30000</v>
      </c>
      <c r="K286" s="185">
        <v>1</v>
      </c>
      <c r="L286" s="183" t="s">
        <v>1948</v>
      </c>
      <c r="M286" s="183" t="s">
        <v>162</v>
      </c>
      <c r="N286" s="183" t="s">
        <v>3790</v>
      </c>
      <c r="O286" s="425"/>
    </row>
    <row r="287" spans="1:15" s="182" customFormat="1" ht="21.75" customHeight="1" x14ac:dyDescent="0.15">
      <c r="A287" s="151" t="s">
        <v>3949</v>
      </c>
      <c r="B287" s="20" t="s">
        <v>1452</v>
      </c>
      <c r="C287" s="391" t="s">
        <v>3363</v>
      </c>
      <c r="D287" s="393" t="s">
        <v>3967</v>
      </c>
      <c r="E287" s="394" t="s">
        <v>3968</v>
      </c>
      <c r="F287" s="224" t="s">
        <v>3328</v>
      </c>
      <c r="G287" s="239" t="s">
        <v>3349</v>
      </c>
      <c r="H287" s="425" t="s">
        <v>3966</v>
      </c>
      <c r="I287" s="194">
        <v>0</v>
      </c>
      <c r="J287" s="194">
        <v>30000</v>
      </c>
      <c r="K287" s="185">
        <v>1</v>
      </c>
      <c r="L287" s="183" t="s">
        <v>285</v>
      </c>
      <c r="M287" s="183" t="s">
        <v>2660</v>
      </c>
      <c r="N287" s="183" t="s">
        <v>2660</v>
      </c>
      <c r="O287" s="425"/>
    </row>
    <row r="288" spans="1:15" s="182" customFormat="1" ht="21.75" customHeight="1" x14ac:dyDescent="0.15">
      <c r="A288" s="151" t="s">
        <v>3949</v>
      </c>
      <c r="B288" s="20" t="s">
        <v>1447</v>
      </c>
      <c r="C288" s="391" t="s">
        <v>3363</v>
      </c>
      <c r="D288" s="393" t="s">
        <v>3967</v>
      </c>
      <c r="E288" s="394" t="s">
        <v>3969</v>
      </c>
      <c r="F288" s="224" t="s">
        <v>3328</v>
      </c>
      <c r="G288" s="239" t="s">
        <v>3349</v>
      </c>
      <c r="H288" s="425" t="s">
        <v>3970</v>
      </c>
      <c r="I288" s="194">
        <v>0</v>
      </c>
      <c r="J288" s="194">
        <v>30000</v>
      </c>
      <c r="K288" s="185">
        <v>1</v>
      </c>
      <c r="L288" s="183" t="s">
        <v>285</v>
      </c>
      <c r="M288" s="183" t="s">
        <v>2660</v>
      </c>
      <c r="N288" s="183" t="s">
        <v>2660</v>
      </c>
      <c r="O288" s="425"/>
    </row>
    <row r="289" spans="1:15" s="182" customFormat="1" ht="21.75" customHeight="1" x14ac:dyDescent="0.15">
      <c r="A289" s="151" t="s">
        <v>3971</v>
      </c>
      <c r="B289" s="20" t="s">
        <v>226</v>
      </c>
      <c r="C289" s="399" t="s">
        <v>3972</v>
      </c>
      <c r="D289" s="399" t="s">
        <v>3973</v>
      </c>
      <c r="E289" s="403" t="s">
        <v>3974</v>
      </c>
      <c r="F289" s="224" t="s">
        <v>3328</v>
      </c>
      <c r="G289" s="239" t="s">
        <v>3566</v>
      </c>
      <c r="H289" s="426">
        <v>18091</v>
      </c>
      <c r="I289" s="194">
        <v>0</v>
      </c>
      <c r="J289" s="194">
        <v>100000</v>
      </c>
      <c r="K289" s="185" t="s">
        <v>3105</v>
      </c>
      <c r="L289" s="183" t="s">
        <v>285</v>
      </c>
      <c r="M289" s="183" t="s">
        <v>155</v>
      </c>
      <c r="N289" s="183" t="s">
        <v>2660</v>
      </c>
      <c r="O289" s="426"/>
    </row>
    <row r="290" spans="1:15" s="182" customFormat="1" ht="21.75" customHeight="1" x14ac:dyDescent="0.15">
      <c r="A290" s="151" t="s">
        <v>3971</v>
      </c>
      <c r="B290" s="20" t="s">
        <v>1461</v>
      </c>
      <c r="C290" s="391" t="s">
        <v>3363</v>
      </c>
      <c r="D290" s="393" t="s">
        <v>3967</v>
      </c>
      <c r="E290" s="394" t="s">
        <v>3975</v>
      </c>
      <c r="F290" s="224" t="s">
        <v>3328</v>
      </c>
      <c r="G290" s="239" t="s">
        <v>3349</v>
      </c>
      <c r="H290" s="426" t="s">
        <v>3976</v>
      </c>
      <c r="I290" s="194">
        <v>0</v>
      </c>
      <c r="J290" s="194">
        <v>30000</v>
      </c>
      <c r="K290" s="185">
        <v>1</v>
      </c>
      <c r="L290" s="183" t="s">
        <v>285</v>
      </c>
      <c r="M290" s="183" t="s">
        <v>2660</v>
      </c>
      <c r="N290" s="183" t="s">
        <v>2660</v>
      </c>
      <c r="O290" s="426"/>
    </row>
    <row r="291" spans="1:15" s="182" customFormat="1" ht="21.75" customHeight="1" x14ac:dyDescent="0.15">
      <c r="A291" s="151" t="s">
        <v>3971</v>
      </c>
      <c r="B291" s="20" t="s">
        <v>176</v>
      </c>
      <c r="C291" s="432" t="s">
        <v>3979</v>
      </c>
      <c r="D291" s="432" t="s">
        <v>3980</v>
      </c>
      <c r="E291" s="432" t="s">
        <v>3981</v>
      </c>
      <c r="F291" s="433" t="s">
        <v>3929</v>
      </c>
      <c r="G291" s="434" t="s">
        <v>3982</v>
      </c>
      <c r="H291" s="426">
        <v>19115</v>
      </c>
      <c r="I291" s="194">
        <v>0</v>
      </c>
      <c r="J291" s="194">
        <v>80000</v>
      </c>
      <c r="K291" s="185">
        <v>1</v>
      </c>
      <c r="L291" s="183" t="s">
        <v>285</v>
      </c>
      <c r="M291" s="183" t="s">
        <v>170</v>
      </c>
      <c r="N291" s="183" t="s">
        <v>170</v>
      </c>
      <c r="O291" s="426"/>
    </row>
    <row r="292" spans="1:15" s="182" customFormat="1" ht="21.75" customHeight="1" x14ac:dyDescent="0.15">
      <c r="A292" s="151" t="s">
        <v>3971</v>
      </c>
      <c r="B292" s="20" t="s">
        <v>176</v>
      </c>
      <c r="C292" s="399" t="s">
        <v>3414</v>
      </c>
      <c r="D292" s="399" t="s">
        <v>3347</v>
      </c>
      <c r="E292" s="399" t="s">
        <v>3950</v>
      </c>
      <c r="F292" s="418" t="s">
        <v>3328</v>
      </c>
      <c r="G292" s="235" t="s">
        <v>3349</v>
      </c>
      <c r="H292" s="426">
        <v>19118</v>
      </c>
      <c r="I292" s="194">
        <v>0</v>
      </c>
      <c r="J292" s="194">
        <v>75000</v>
      </c>
      <c r="K292" s="185">
        <v>1</v>
      </c>
      <c r="L292" s="183" t="s">
        <v>285</v>
      </c>
      <c r="M292" s="183" t="s">
        <v>170</v>
      </c>
      <c r="N292" s="183" t="s">
        <v>170</v>
      </c>
      <c r="O292" s="426"/>
    </row>
    <row r="293" spans="1:15" s="182" customFormat="1" ht="21.75" customHeight="1" x14ac:dyDescent="0.15">
      <c r="A293" s="151" t="s">
        <v>3971</v>
      </c>
      <c r="B293" s="20" t="s">
        <v>176</v>
      </c>
      <c r="C293" s="399" t="s">
        <v>3414</v>
      </c>
      <c r="D293" s="399" t="s">
        <v>3347</v>
      </c>
      <c r="E293" s="399" t="s">
        <v>3984</v>
      </c>
      <c r="F293" s="418" t="s">
        <v>3328</v>
      </c>
      <c r="G293" s="235" t="s">
        <v>3349</v>
      </c>
      <c r="H293" s="435">
        <v>19116</v>
      </c>
      <c r="I293" s="194">
        <v>0</v>
      </c>
      <c r="J293" s="194">
        <v>80000</v>
      </c>
      <c r="K293" s="185">
        <v>1</v>
      </c>
      <c r="L293" s="183" t="s">
        <v>285</v>
      </c>
      <c r="M293" s="183" t="s">
        <v>170</v>
      </c>
      <c r="N293" s="183" t="s">
        <v>170</v>
      </c>
      <c r="O293" s="435"/>
    </row>
    <row r="294" spans="1:15" s="182" customFormat="1" ht="21.75" customHeight="1" x14ac:dyDescent="0.15">
      <c r="A294" s="151" t="s">
        <v>3971</v>
      </c>
      <c r="B294" s="20" t="s">
        <v>195</v>
      </c>
      <c r="C294" s="399" t="s">
        <v>3985</v>
      </c>
      <c r="D294" s="399" t="s">
        <v>3405</v>
      </c>
      <c r="E294" s="403" t="s">
        <v>3986</v>
      </c>
      <c r="F294" s="184" t="s">
        <v>3332</v>
      </c>
      <c r="G294" s="235" t="s">
        <v>3381</v>
      </c>
      <c r="H294" s="431">
        <v>18028</v>
      </c>
      <c r="I294" s="194">
        <v>0</v>
      </c>
      <c r="J294" s="194">
        <v>50000</v>
      </c>
      <c r="K294" s="185">
        <v>0.5</v>
      </c>
      <c r="L294" s="183" t="s">
        <v>285</v>
      </c>
      <c r="M294" s="183" t="s">
        <v>1880</v>
      </c>
      <c r="N294" s="183" t="s">
        <v>1880</v>
      </c>
      <c r="O294" s="431"/>
    </row>
    <row r="295" spans="1:15" s="182" customFormat="1" ht="21.75" customHeight="1" x14ac:dyDescent="0.15">
      <c r="A295" s="151" t="s">
        <v>3983</v>
      </c>
      <c r="B295" s="20" t="s">
        <v>1973</v>
      </c>
      <c r="C295" s="399" t="s">
        <v>3337</v>
      </c>
      <c r="D295" s="399" t="s">
        <v>3347</v>
      </c>
      <c r="E295" s="399" t="s">
        <v>3455</v>
      </c>
      <c r="F295" s="206" t="s">
        <v>3328</v>
      </c>
      <c r="G295" s="243" t="s">
        <v>3386</v>
      </c>
      <c r="H295" s="431">
        <v>19039</v>
      </c>
      <c r="I295" s="194">
        <v>0</v>
      </c>
      <c r="J295" s="194">
        <v>28000</v>
      </c>
      <c r="K295" s="185">
        <v>1</v>
      </c>
      <c r="L295" s="183" t="s">
        <v>1948</v>
      </c>
      <c r="M295" s="183" t="s">
        <v>190</v>
      </c>
      <c r="N295" s="183" t="s">
        <v>190</v>
      </c>
      <c r="O295" s="431"/>
    </row>
    <row r="296" spans="1:15" s="182" customFormat="1" ht="21.75" customHeight="1" x14ac:dyDescent="0.15">
      <c r="A296" s="151" t="s">
        <v>3983</v>
      </c>
      <c r="B296" s="20" t="s">
        <v>340</v>
      </c>
      <c r="C296" s="224" t="s">
        <v>3346</v>
      </c>
      <c r="D296" s="224" t="s">
        <v>3463</v>
      </c>
      <c r="E296" s="394" t="s">
        <v>3807</v>
      </c>
      <c r="F296" s="224" t="s">
        <v>3328</v>
      </c>
      <c r="G296" s="239" t="s">
        <v>3670</v>
      </c>
      <c r="H296" s="431">
        <v>19150</v>
      </c>
      <c r="I296" s="194">
        <v>0</v>
      </c>
      <c r="J296" s="194">
        <v>30000</v>
      </c>
      <c r="K296" s="185">
        <v>1</v>
      </c>
      <c r="L296" s="183" t="s">
        <v>1948</v>
      </c>
      <c r="M296" s="183" t="s">
        <v>162</v>
      </c>
      <c r="N296" s="183" t="s">
        <v>3790</v>
      </c>
      <c r="O296" s="431"/>
    </row>
    <row r="297" spans="1:15" s="182" customFormat="1" ht="21.75" customHeight="1" x14ac:dyDescent="0.15">
      <c r="A297" s="151" t="s">
        <v>3983</v>
      </c>
      <c r="B297" s="20" t="s">
        <v>489</v>
      </c>
      <c r="C297" s="224" t="s">
        <v>3346</v>
      </c>
      <c r="D297" s="224" t="s">
        <v>3463</v>
      </c>
      <c r="E297" s="394" t="s">
        <v>3808</v>
      </c>
      <c r="F297" s="224" t="s">
        <v>3328</v>
      </c>
      <c r="G297" s="239" t="s">
        <v>3670</v>
      </c>
      <c r="H297" s="431">
        <v>19156</v>
      </c>
      <c r="I297" s="194">
        <v>0</v>
      </c>
      <c r="J297" s="194">
        <v>30000</v>
      </c>
      <c r="K297" s="185">
        <v>1</v>
      </c>
      <c r="L297" s="183" t="s">
        <v>1948</v>
      </c>
      <c r="M297" s="183" t="s">
        <v>162</v>
      </c>
      <c r="N297" s="183" t="s">
        <v>3790</v>
      </c>
      <c r="O297" s="431"/>
    </row>
    <row r="298" spans="1:15" s="182" customFormat="1" ht="21.75" customHeight="1" x14ac:dyDescent="0.15">
      <c r="A298" s="151" t="s">
        <v>3983</v>
      </c>
      <c r="B298" s="20" t="s">
        <v>490</v>
      </c>
      <c r="C298" s="224" t="s">
        <v>3346</v>
      </c>
      <c r="D298" s="224" t="s">
        <v>3463</v>
      </c>
      <c r="E298" s="394" t="s">
        <v>967</v>
      </c>
      <c r="F298" s="224" t="s">
        <v>3328</v>
      </c>
      <c r="G298" s="239" t="s">
        <v>3670</v>
      </c>
      <c r="H298" s="431">
        <v>19158</v>
      </c>
      <c r="I298" s="194">
        <v>0</v>
      </c>
      <c r="J298" s="194">
        <v>30000</v>
      </c>
      <c r="K298" s="185">
        <v>1</v>
      </c>
      <c r="L298" s="183" t="s">
        <v>1948</v>
      </c>
      <c r="M298" s="183" t="s">
        <v>162</v>
      </c>
      <c r="N298" s="183" t="s">
        <v>3790</v>
      </c>
      <c r="O298" s="431"/>
    </row>
    <row r="299" spans="1:15" s="182" customFormat="1" ht="21.75" customHeight="1" x14ac:dyDescent="0.15">
      <c r="A299" s="151" t="s">
        <v>3987</v>
      </c>
      <c r="B299" s="20" t="s">
        <v>174</v>
      </c>
      <c r="C299" s="224" t="s">
        <v>3346</v>
      </c>
      <c r="D299" s="224" t="s">
        <v>3463</v>
      </c>
      <c r="E299" s="394" t="s">
        <v>934</v>
      </c>
      <c r="F299" s="224" t="s">
        <v>3328</v>
      </c>
      <c r="G299" s="239" t="s">
        <v>3670</v>
      </c>
      <c r="H299" s="431">
        <v>19147</v>
      </c>
      <c r="I299" s="194">
        <v>0</v>
      </c>
      <c r="J299" s="194">
        <v>30000</v>
      </c>
      <c r="K299" s="185">
        <v>1</v>
      </c>
      <c r="L299" s="183" t="s">
        <v>1948</v>
      </c>
      <c r="M299" s="183" t="s">
        <v>162</v>
      </c>
      <c r="N299" s="183" t="s">
        <v>3790</v>
      </c>
      <c r="O299" s="431"/>
    </row>
    <row r="300" spans="1:15" s="182" customFormat="1" ht="21.75" customHeight="1" x14ac:dyDescent="0.15">
      <c r="A300" s="151" t="s">
        <v>3988</v>
      </c>
      <c r="B300" s="20" t="s">
        <v>248</v>
      </c>
      <c r="C300" s="438" t="s">
        <v>4003</v>
      </c>
      <c r="D300" s="438" t="s">
        <v>4004</v>
      </c>
      <c r="E300" s="438" t="s">
        <v>4005</v>
      </c>
      <c r="F300" s="438" t="s">
        <v>4006</v>
      </c>
      <c r="G300" s="439" t="s">
        <v>4007</v>
      </c>
      <c r="H300" s="431">
        <v>19140</v>
      </c>
      <c r="I300" s="194">
        <v>0</v>
      </c>
      <c r="J300" s="194">
        <v>55817.66</v>
      </c>
      <c r="K300" s="185" t="s">
        <v>4008</v>
      </c>
      <c r="L300" s="183" t="s">
        <v>285</v>
      </c>
      <c r="M300" s="183" t="s">
        <v>2660</v>
      </c>
      <c r="N300" s="183" t="s">
        <v>2660</v>
      </c>
      <c r="O300" s="431"/>
    </row>
    <row r="301" spans="1:15" s="182" customFormat="1" ht="21.75" customHeight="1" x14ac:dyDescent="0.15">
      <c r="A301" s="151" t="s">
        <v>3988</v>
      </c>
      <c r="B301" s="20" t="s">
        <v>2419</v>
      </c>
      <c r="C301" s="184" t="s">
        <v>3384</v>
      </c>
      <c r="D301" s="184" t="s">
        <v>3326</v>
      </c>
      <c r="E301" s="184" t="s">
        <v>3385</v>
      </c>
      <c r="F301" s="224" t="s">
        <v>3328</v>
      </c>
      <c r="G301" s="239" t="s">
        <v>3566</v>
      </c>
      <c r="H301" s="431">
        <v>19176</v>
      </c>
      <c r="I301" s="194">
        <v>0</v>
      </c>
      <c r="J301" s="194">
        <v>80000</v>
      </c>
      <c r="K301" s="185" t="s">
        <v>3105</v>
      </c>
      <c r="L301" s="183" t="s">
        <v>285</v>
      </c>
      <c r="M301" s="183" t="s">
        <v>3388</v>
      </c>
      <c r="N301" s="183" t="s">
        <v>3388</v>
      </c>
      <c r="O301" s="431"/>
    </row>
    <row r="302" spans="1:15" s="182" customFormat="1" ht="21.75" customHeight="1" x14ac:dyDescent="0.15">
      <c r="A302" s="151" t="s">
        <v>3988</v>
      </c>
      <c r="B302" s="20" t="s">
        <v>2568</v>
      </c>
      <c r="C302" s="234" t="s">
        <v>3346</v>
      </c>
      <c r="D302" s="234" t="s">
        <v>3439</v>
      </c>
      <c r="E302" s="234" t="s">
        <v>3989</v>
      </c>
      <c r="F302" s="224" t="s">
        <v>3328</v>
      </c>
      <c r="G302" s="239" t="s">
        <v>3566</v>
      </c>
      <c r="H302" s="431">
        <v>18157</v>
      </c>
      <c r="I302" s="194">
        <v>0</v>
      </c>
      <c r="J302" s="194">
        <v>100000</v>
      </c>
      <c r="K302" s="185" t="s">
        <v>3105</v>
      </c>
      <c r="L302" s="183" t="s">
        <v>285</v>
      </c>
      <c r="M302" s="183" t="s">
        <v>155</v>
      </c>
      <c r="N302" s="183" t="s">
        <v>1880</v>
      </c>
      <c r="O302" s="431"/>
    </row>
    <row r="303" spans="1:15" s="182" customFormat="1" ht="21.75" customHeight="1" x14ac:dyDescent="0.15">
      <c r="A303" s="151" t="s">
        <v>3988</v>
      </c>
      <c r="B303" s="20" t="s">
        <v>1964</v>
      </c>
      <c r="C303" s="184" t="s">
        <v>3368</v>
      </c>
      <c r="D303" s="184" t="s">
        <v>3439</v>
      </c>
      <c r="E303" s="184" t="s">
        <v>3730</v>
      </c>
      <c r="F303" s="184" t="s">
        <v>3328</v>
      </c>
      <c r="G303" s="235" t="s">
        <v>3990</v>
      </c>
      <c r="H303" s="431">
        <v>19089</v>
      </c>
      <c r="I303" s="194">
        <v>0</v>
      </c>
      <c r="J303" s="194">
        <v>49800</v>
      </c>
      <c r="K303" s="185">
        <v>1</v>
      </c>
      <c r="L303" s="183" t="s">
        <v>1948</v>
      </c>
      <c r="M303" s="183" t="s">
        <v>158</v>
      </c>
      <c r="N303" s="183" t="s">
        <v>158</v>
      </c>
      <c r="O303" s="431"/>
    </row>
    <row r="304" spans="1:15" s="182" customFormat="1" ht="21.75" customHeight="1" x14ac:dyDescent="0.15">
      <c r="A304" s="151" t="s">
        <v>3988</v>
      </c>
      <c r="B304" s="20" t="s">
        <v>2936</v>
      </c>
      <c r="C304" s="224" t="s">
        <v>3363</v>
      </c>
      <c r="D304" s="224" t="s">
        <v>3352</v>
      </c>
      <c r="E304" s="224" t="s">
        <v>3991</v>
      </c>
      <c r="F304" s="224" t="s">
        <v>3328</v>
      </c>
      <c r="G304" s="239" t="s">
        <v>3992</v>
      </c>
      <c r="H304" s="424">
        <v>19139</v>
      </c>
      <c r="I304" s="194">
        <v>0</v>
      </c>
      <c r="J304" s="194">
        <v>99000</v>
      </c>
      <c r="K304" s="185">
        <v>1</v>
      </c>
      <c r="L304" s="183" t="s">
        <v>285</v>
      </c>
      <c r="M304" s="183" t="s">
        <v>2660</v>
      </c>
      <c r="N304" s="183" t="s">
        <v>2660</v>
      </c>
      <c r="O304" s="424"/>
    </row>
    <row r="305" spans="1:15" s="182" customFormat="1" ht="21.75" customHeight="1" x14ac:dyDescent="0.15">
      <c r="A305" s="151" t="s">
        <v>3993</v>
      </c>
      <c r="B305" s="20" t="s">
        <v>3994</v>
      </c>
      <c r="C305" s="184" t="s">
        <v>3995</v>
      </c>
      <c r="D305" s="184" t="s">
        <v>3354</v>
      </c>
      <c r="E305" s="184" t="s">
        <v>3996</v>
      </c>
      <c r="F305" s="184" t="s">
        <v>3340</v>
      </c>
      <c r="G305" s="235" t="s">
        <v>3997</v>
      </c>
      <c r="H305" s="436">
        <v>19040</v>
      </c>
      <c r="I305" s="194">
        <v>0</v>
      </c>
      <c r="J305" s="194">
        <v>56810</v>
      </c>
      <c r="K305" s="185">
        <v>0.95</v>
      </c>
      <c r="L305" s="183" t="s">
        <v>1172</v>
      </c>
      <c r="M305" s="183" t="s">
        <v>2712</v>
      </c>
      <c r="N305" s="183" t="s">
        <v>2712</v>
      </c>
      <c r="O305" s="436"/>
    </row>
    <row r="306" spans="1:15" s="182" customFormat="1" ht="21.75" customHeight="1" x14ac:dyDescent="0.15">
      <c r="A306" s="151" t="s">
        <v>3993</v>
      </c>
      <c r="B306" s="20" t="s">
        <v>1828</v>
      </c>
      <c r="C306" s="184" t="s">
        <v>3357</v>
      </c>
      <c r="D306" s="184" t="s">
        <v>3347</v>
      </c>
      <c r="E306" s="184" t="s">
        <v>3998</v>
      </c>
      <c r="F306" s="184" t="s">
        <v>3328</v>
      </c>
      <c r="G306" s="235" t="s">
        <v>3999</v>
      </c>
      <c r="H306" s="436">
        <v>19188</v>
      </c>
      <c r="I306" s="194">
        <v>0</v>
      </c>
      <c r="J306" s="194">
        <v>15480</v>
      </c>
      <c r="K306" s="185">
        <v>1</v>
      </c>
      <c r="L306" s="183" t="s">
        <v>1948</v>
      </c>
      <c r="M306" s="183" t="s">
        <v>3388</v>
      </c>
      <c r="N306" s="183" t="s">
        <v>3388</v>
      </c>
      <c r="O306" s="436"/>
    </row>
    <row r="307" spans="1:15" s="182" customFormat="1" ht="21.75" customHeight="1" x14ac:dyDescent="0.15">
      <c r="A307" s="151"/>
      <c r="B307" s="20"/>
      <c r="C307" s="20"/>
      <c r="D307" s="20"/>
      <c r="E307" s="30"/>
      <c r="F307" s="30"/>
      <c r="G307" s="30"/>
      <c r="H307" s="157"/>
      <c r="I307" s="194"/>
      <c r="J307" s="194"/>
      <c r="K307" s="185"/>
      <c r="L307" s="183"/>
      <c r="M307" s="183"/>
      <c r="N307" s="183"/>
      <c r="O307" s="157"/>
    </row>
    <row r="308" spans="1:15" s="182" customFormat="1" ht="21.75" customHeight="1" x14ac:dyDescent="0.15">
      <c r="A308" s="1165" t="s">
        <v>3247</v>
      </c>
      <c r="B308" s="1166"/>
      <c r="C308" s="1166"/>
      <c r="D308" s="1166"/>
      <c r="E308" s="1166"/>
      <c r="F308" s="1166"/>
      <c r="G308" s="1166"/>
      <c r="H308" s="1167"/>
      <c r="I308" s="230">
        <f>SUM(I3:I307)</f>
        <v>2002171.06</v>
      </c>
      <c r="J308" s="230">
        <f>SUM(J3:J307)</f>
        <v>26385396.68</v>
      </c>
      <c r="K308" s="231"/>
      <c r="L308" s="232"/>
      <c r="M308" s="232"/>
      <c r="N308" s="232"/>
      <c r="O308" s="233"/>
    </row>
  </sheetData>
  <autoFilter ref="A2:O87" xr:uid="{942BD51C-DD4D-41F8-8B6A-3CAFDCE8D5C7}"/>
  <mergeCells count="2">
    <mergeCell ref="A1:O1"/>
    <mergeCell ref="A308:H308"/>
  </mergeCells>
  <phoneticPr fontId="11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5"/>
  <sheetViews>
    <sheetView topLeftCell="A43" workbookViewId="0">
      <selection activeCell="J48" sqref="J48"/>
    </sheetView>
  </sheetViews>
  <sheetFormatPr defaultColWidth="13.625" defaultRowHeight="27.95" customHeight="1" x14ac:dyDescent="0.15"/>
  <cols>
    <col min="1" max="1" width="11.375" style="176" customWidth="1"/>
    <col min="2" max="2" width="23.5" style="176" customWidth="1"/>
    <col min="3" max="3" width="18.125" style="176" customWidth="1"/>
    <col min="4" max="4" width="11.875" style="176" customWidth="1"/>
    <col min="5" max="5" width="12.875" style="198" customWidth="1"/>
    <col min="6" max="6" width="17.125" style="198" bestFit="1" customWidth="1"/>
    <col min="7" max="8" width="18.25" style="176" customWidth="1"/>
    <col min="9" max="9" width="8.875" style="176" customWidth="1"/>
    <col min="10" max="10" width="45.625" style="176" customWidth="1"/>
    <col min="11" max="16384" width="13.625" style="176"/>
  </cols>
  <sheetData>
    <row r="1" spans="1:10" ht="40.5" customHeight="1" x14ac:dyDescent="0.15">
      <c r="A1" s="1164" t="s">
        <v>2464</v>
      </c>
      <c r="B1" s="1164"/>
      <c r="C1" s="1164"/>
      <c r="D1" s="1164"/>
      <c r="E1" s="1164"/>
      <c r="F1" s="1164"/>
      <c r="G1" s="1164"/>
      <c r="H1" s="1164"/>
      <c r="I1" s="1164"/>
      <c r="J1" s="1164"/>
    </row>
    <row r="2" spans="1:10" ht="21.75" customHeight="1" x14ac:dyDescent="0.15">
      <c r="A2" s="16" t="s">
        <v>2319</v>
      </c>
      <c r="B2" s="16" t="s">
        <v>128</v>
      </c>
      <c r="C2" s="16" t="s">
        <v>2320</v>
      </c>
      <c r="D2" s="16" t="s">
        <v>130</v>
      </c>
      <c r="E2" s="193" t="s">
        <v>2321</v>
      </c>
      <c r="F2" s="193" t="s">
        <v>2322</v>
      </c>
      <c r="G2" s="16" t="s">
        <v>2323</v>
      </c>
      <c r="H2" s="16" t="s">
        <v>2324</v>
      </c>
      <c r="I2" s="16" t="s">
        <v>2325</v>
      </c>
      <c r="J2" s="16" t="s">
        <v>2326</v>
      </c>
    </row>
    <row r="3" spans="1:10" ht="21.75" customHeight="1" x14ac:dyDescent="0.15">
      <c r="A3" s="151" t="s">
        <v>2311</v>
      </c>
      <c r="B3" s="11" t="s">
        <v>2312</v>
      </c>
      <c r="C3" s="30" t="s">
        <v>2313</v>
      </c>
      <c r="D3" s="157">
        <v>17050</v>
      </c>
      <c r="E3" s="194">
        <v>0</v>
      </c>
      <c r="F3" s="194">
        <v>171500</v>
      </c>
      <c r="G3" s="159">
        <v>0.7</v>
      </c>
      <c r="H3" s="159" t="s">
        <v>1199</v>
      </c>
      <c r="I3" s="157" t="s">
        <v>229</v>
      </c>
      <c r="J3" s="157"/>
    </row>
    <row r="4" spans="1:10" ht="21.75" customHeight="1" x14ac:dyDescent="0.15">
      <c r="A4" s="151" t="s">
        <v>2311</v>
      </c>
      <c r="B4" s="20" t="s">
        <v>2312</v>
      </c>
      <c r="C4" s="30" t="s">
        <v>2313</v>
      </c>
      <c r="D4" s="157">
        <v>17049</v>
      </c>
      <c r="E4" s="194">
        <v>0</v>
      </c>
      <c r="F4" s="194">
        <v>315000</v>
      </c>
      <c r="G4" s="159">
        <v>0.7</v>
      </c>
      <c r="H4" s="159" t="s">
        <v>1199</v>
      </c>
      <c r="I4" s="157" t="s">
        <v>229</v>
      </c>
      <c r="J4" s="157"/>
    </row>
    <row r="5" spans="1:10" ht="21.75" customHeight="1" x14ac:dyDescent="0.15">
      <c r="A5" s="151" t="s">
        <v>2311</v>
      </c>
      <c r="B5" s="11" t="s">
        <v>2312</v>
      </c>
      <c r="C5" s="30" t="s">
        <v>2313</v>
      </c>
      <c r="D5" s="152">
        <v>17048</v>
      </c>
      <c r="E5" s="194">
        <v>0</v>
      </c>
      <c r="F5" s="195">
        <v>245000</v>
      </c>
      <c r="G5" s="159">
        <v>0.7</v>
      </c>
      <c r="H5" s="159" t="s">
        <v>1199</v>
      </c>
      <c r="I5" s="157" t="s">
        <v>229</v>
      </c>
      <c r="J5" s="152"/>
    </row>
    <row r="6" spans="1:10" ht="21.75" customHeight="1" x14ac:dyDescent="0.15">
      <c r="A6" s="151" t="s">
        <v>2315</v>
      </c>
      <c r="B6" s="11" t="s">
        <v>2314</v>
      </c>
      <c r="C6" s="30" t="s">
        <v>2316</v>
      </c>
      <c r="D6" s="152">
        <v>13012</v>
      </c>
      <c r="E6" s="194">
        <v>0</v>
      </c>
      <c r="F6" s="195">
        <v>239550</v>
      </c>
      <c r="G6" s="154">
        <v>0.3</v>
      </c>
      <c r="H6" s="154" t="s">
        <v>2317</v>
      </c>
      <c r="I6" s="152" t="s">
        <v>2318</v>
      </c>
      <c r="J6" s="152"/>
    </row>
    <row r="7" spans="1:10" ht="21.75" customHeight="1" x14ac:dyDescent="0.15">
      <c r="A7" s="151" t="s">
        <v>2315</v>
      </c>
      <c r="B7" s="11" t="s">
        <v>2314</v>
      </c>
      <c r="C7" s="30" t="s">
        <v>258</v>
      </c>
      <c r="D7" s="152">
        <v>16045</v>
      </c>
      <c r="E7" s="194">
        <v>0</v>
      </c>
      <c r="F7" s="195">
        <v>53100</v>
      </c>
      <c r="G7" s="154">
        <v>0.9</v>
      </c>
      <c r="H7" s="154" t="s">
        <v>2317</v>
      </c>
      <c r="I7" s="152" t="s">
        <v>2318</v>
      </c>
      <c r="J7" s="152"/>
    </row>
    <row r="8" spans="1:10" ht="21.75" customHeight="1" x14ac:dyDescent="0.15">
      <c r="A8" s="151" t="s">
        <v>2327</v>
      </c>
      <c r="B8" s="11" t="s">
        <v>2328</v>
      </c>
      <c r="C8" s="30" t="s">
        <v>2329</v>
      </c>
      <c r="D8" s="152">
        <v>13004</v>
      </c>
      <c r="E8" s="194">
        <v>0</v>
      </c>
      <c r="F8" s="195">
        <v>66000</v>
      </c>
      <c r="G8" s="154" t="s">
        <v>2330</v>
      </c>
      <c r="H8" s="154" t="s">
        <v>2331</v>
      </c>
      <c r="I8" s="152" t="s">
        <v>1954</v>
      </c>
      <c r="J8" s="152"/>
    </row>
    <row r="9" spans="1:10" ht="21.75" customHeight="1" x14ac:dyDescent="0.15">
      <c r="A9" s="151" t="s">
        <v>2333</v>
      </c>
      <c r="B9" s="11" t="s">
        <v>2332</v>
      </c>
      <c r="C9" s="30" t="s">
        <v>2334</v>
      </c>
      <c r="D9" s="152">
        <v>17132</v>
      </c>
      <c r="E9" s="194">
        <v>0</v>
      </c>
      <c r="F9" s="195">
        <v>50000</v>
      </c>
      <c r="G9" s="154">
        <v>0.5</v>
      </c>
      <c r="H9" s="154" t="s">
        <v>2336</v>
      </c>
      <c r="I9" s="152" t="s">
        <v>2335</v>
      </c>
      <c r="J9" s="152"/>
    </row>
    <row r="10" spans="1:10" ht="21.75" customHeight="1" x14ac:dyDescent="0.15">
      <c r="A10" s="151" t="s">
        <v>2333</v>
      </c>
      <c r="B10" s="11" t="s">
        <v>2337</v>
      </c>
      <c r="C10" s="30" t="s">
        <v>377</v>
      </c>
      <c r="D10" s="152">
        <v>17132</v>
      </c>
      <c r="E10" s="194">
        <v>0</v>
      </c>
      <c r="F10" s="195">
        <v>50000</v>
      </c>
      <c r="G10" s="154">
        <v>0.5</v>
      </c>
      <c r="H10" s="154" t="s">
        <v>2336</v>
      </c>
      <c r="I10" s="152" t="s">
        <v>172</v>
      </c>
      <c r="J10" s="152"/>
    </row>
    <row r="11" spans="1:10" ht="21.75" customHeight="1" x14ac:dyDescent="0.15">
      <c r="A11" s="151" t="s">
        <v>2338</v>
      </c>
      <c r="B11" s="11" t="s">
        <v>2339</v>
      </c>
      <c r="C11" s="30" t="s">
        <v>2340</v>
      </c>
      <c r="D11" s="152">
        <v>14036</v>
      </c>
      <c r="E11" s="194">
        <v>0</v>
      </c>
      <c r="F11" s="195">
        <v>53959.67</v>
      </c>
      <c r="G11" s="154" t="s">
        <v>592</v>
      </c>
      <c r="H11" s="154" t="s">
        <v>1948</v>
      </c>
      <c r="I11" s="152" t="s">
        <v>2341</v>
      </c>
      <c r="J11" s="152"/>
    </row>
    <row r="12" spans="1:10" ht="21.75" customHeight="1" x14ac:dyDescent="0.15">
      <c r="A12" s="151" t="s">
        <v>2342</v>
      </c>
      <c r="B12" s="11" t="s">
        <v>2343</v>
      </c>
      <c r="C12" s="30" t="s">
        <v>2344</v>
      </c>
      <c r="D12" s="152">
        <v>12050</v>
      </c>
      <c r="E12" s="194">
        <v>0</v>
      </c>
      <c r="F12" s="195">
        <v>100000</v>
      </c>
      <c r="G12" s="154" t="s">
        <v>592</v>
      </c>
      <c r="H12" s="154" t="s">
        <v>1948</v>
      </c>
      <c r="I12" s="152" t="s">
        <v>2345</v>
      </c>
      <c r="J12" s="152"/>
    </row>
    <row r="13" spans="1:10" ht="21.75" customHeight="1" x14ac:dyDescent="0.15">
      <c r="A13" s="151" t="s">
        <v>2348</v>
      </c>
      <c r="B13" s="11" t="s">
        <v>2346</v>
      </c>
      <c r="C13" s="30" t="s">
        <v>2349</v>
      </c>
      <c r="D13" s="152">
        <v>17002</v>
      </c>
      <c r="E13" s="194">
        <v>0</v>
      </c>
      <c r="F13" s="195">
        <v>72000</v>
      </c>
      <c r="G13" s="154">
        <v>0.4</v>
      </c>
      <c r="H13" s="154" t="s">
        <v>2353</v>
      </c>
      <c r="I13" s="152" t="s">
        <v>2350</v>
      </c>
      <c r="J13" s="152"/>
    </row>
    <row r="14" spans="1:10" s="182" customFormat="1" ht="21.75" customHeight="1" x14ac:dyDescent="0.15">
      <c r="A14" s="151" t="s">
        <v>2348</v>
      </c>
      <c r="B14" s="20" t="s">
        <v>2347</v>
      </c>
      <c r="C14" s="180" t="s">
        <v>2351</v>
      </c>
      <c r="D14" s="157">
        <v>17112</v>
      </c>
      <c r="E14" s="194">
        <v>0</v>
      </c>
      <c r="F14" s="194">
        <v>108000</v>
      </c>
      <c r="G14" s="185">
        <v>0.9</v>
      </c>
      <c r="H14" s="183" t="s">
        <v>2354</v>
      </c>
      <c r="I14" s="183" t="s">
        <v>2352</v>
      </c>
      <c r="J14" s="157"/>
    </row>
    <row r="15" spans="1:10" s="182" customFormat="1" ht="21.75" customHeight="1" x14ac:dyDescent="0.15">
      <c r="A15" s="151" t="s">
        <v>2348</v>
      </c>
      <c r="B15" s="20" t="s">
        <v>2355</v>
      </c>
      <c r="C15" s="30" t="s">
        <v>2356</v>
      </c>
      <c r="D15" s="157">
        <v>18004</v>
      </c>
      <c r="E15" s="194">
        <v>0</v>
      </c>
      <c r="F15" s="194">
        <v>100000</v>
      </c>
      <c r="G15" s="185">
        <v>0.5</v>
      </c>
      <c r="H15" s="183" t="s">
        <v>2357</v>
      </c>
      <c r="I15" s="183" t="s">
        <v>2358</v>
      </c>
      <c r="J15" s="157"/>
    </row>
    <row r="16" spans="1:10" s="182" customFormat="1" ht="21.75" customHeight="1" x14ac:dyDescent="0.15">
      <c r="A16" s="151" t="s">
        <v>2360</v>
      </c>
      <c r="B16" s="20" t="s">
        <v>2359</v>
      </c>
      <c r="C16" s="30" t="s">
        <v>2364</v>
      </c>
      <c r="D16" s="157">
        <v>17154</v>
      </c>
      <c r="E16" s="194">
        <v>0</v>
      </c>
      <c r="F16" s="194">
        <v>30000</v>
      </c>
      <c r="G16" s="185">
        <v>0.2</v>
      </c>
      <c r="H16" s="183" t="s">
        <v>2367</v>
      </c>
      <c r="I16" s="183" t="s">
        <v>2365</v>
      </c>
      <c r="J16" s="157"/>
    </row>
    <row r="17" spans="1:10" s="182" customFormat="1" ht="21.75" customHeight="1" x14ac:dyDescent="0.15">
      <c r="A17" s="151" t="s">
        <v>2360</v>
      </c>
      <c r="B17" s="20" t="s">
        <v>2361</v>
      </c>
      <c r="C17" s="30" t="s">
        <v>2362</v>
      </c>
      <c r="D17" s="157">
        <v>15039</v>
      </c>
      <c r="E17" s="194">
        <v>0</v>
      </c>
      <c r="F17" s="194">
        <v>306000</v>
      </c>
      <c r="G17" s="185">
        <v>0.9</v>
      </c>
      <c r="H17" s="183" t="s">
        <v>2366</v>
      </c>
      <c r="I17" s="183" t="s">
        <v>2363</v>
      </c>
      <c r="J17" s="157"/>
    </row>
    <row r="18" spans="1:10" s="182" customFormat="1" ht="21.75" customHeight="1" x14ac:dyDescent="0.15">
      <c r="A18" s="151" t="s">
        <v>2369</v>
      </c>
      <c r="B18" s="20" t="s">
        <v>2368</v>
      </c>
      <c r="C18" s="30" t="s">
        <v>2370</v>
      </c>
      <c r="D18" s="157">
        <v>17153</v>
      </c>
      <c r="E18" s="194">
        <v>0</v>
      </c>
      <c r="F18" s="194">
        <v>75000</v>
      </c>
      <c r="G18" s="185">
        <v>1</v>
      </c>
      <c r="H18" s="183" t="s">
        <v>2372</v>
      </c>
      <c r="I18" s="183" t="s">
        <v>2371</v>
      </c>
      <c r="J18" s="157"/>
    </row>
    <row r="19" spans="1:10" s="182" customFormat="1" ht="21.75" customHeight="1" x14ac:dyDescent="0.15">
      <c r="A19" s="151" t="s">
        <v>2369</v>
      </c>
      <c r="B19" s="20" t="s">
        <v>2373</v>
      </c>
      <c r="C19" s="30" t="s">
        <v>2374</v>
      </c>
      <c r="D19" s="157">
        <v>17093</v>
      </c>
      <c r="E19" s="195">
        <v>0</v>
      </c>
      <c r="F19" s="194">
        <v>73150</v>
      </c>
      <c r="G19" s="185">
        <v>0.95</v>
      </c>
      <c r="H19" s="183" t="s">
        <v>2375</v>
      </c>
      <c r="I19" s="183" t="s">
        <v>2363</v>
      </c>
      <c r="J19" s="157"/>
    </row>
    <row r="20" spans="1:10" s="182" customFormat="1" ht="21.75" customHeight="1" x14ac:dyDescent="0.15">
      <c r="A20" s="151" t="s">
        <v>2369</v>
      </c>
      <c r="B20" s="20" t="s">
        <v>2376</v>
      </c>
      <c r="C20" s="30" t="s">
        <v>2378</v>
      </c>
      <c r="D20" s="157">
        <v>17120</v>
      </c>
      <c r="E20" s="195">
        <v>0</v>
      </c>
      <c r="F20" s="194">
        <v>90000</v>
      </c>
      <c r="G20" s="185">
        <v>0.9</v>
      </c>
      <c r="H20" s="183" t="s">
        <v>2379</v>
      </c>
      <c r="I20" s="183" t="s">
        <v>2377</v>
      </c>
      <c r="J20" s="157"/>
    </row>
    <row r="21" spans="1:10" s="182" customFormat="1" ht="21.75" customHeight="1" x14ac:dyDescent="0.15">
      <c r="A21" s="151" t="s">
        <v>2381</v>
      </c>
      <c r="B21" s="20" t="s">
        <v>2380</v>
      </c>
      <c r="C21" s="30" t="s">
        <v>2382</v>
      </c>
      <c r="D21" s="157">
        <v>17129</v>
      </c>
      <c r="E21" s="195">
        <v>0</v>
      </c>
      <c r="F21" s="194">
        <v>176085</v>
      </c>
      <c r="G21" s="185">
        <v>0.9</v>
      </c>
      <c r="H21" s="183" t="s">
        <v>2383</v>
      </c>
      <c r="I21" s="183" t="s">
        <v>2352</v>
      </c>
      <c r="J21" s="157"/>
    </row>
    <row r="22" spans="1:10" s="182" customFormat="1" ht="21.75" customHeight="1" x14ac:dyDescent="0.15">
      <c r="A22" s="151" t="s">
        <v>2385</v>
      </c>
      <c r="B22" s="20" t="s">
        <v>2384</v>
      </c>
      <c r="C22" s="30" t="s">
        <v>2386</v>
      </c>
      <c r="D22" s="157">
        <v>17003</v>
      </c>
      <c r="E22" s="195">
        <v>0</v>
      </c>
      <c r="F22" s="194">
        <v>72000</v>
      </c>
      <c r="G22" s="154">
        <v>0.4</v>
      </c>
      <c r="H22" s="154" t="s">
        <v>2353</v>
      </c>
      <c r="I22" s="152" t="s">
        <v>1784</v>
      </c>
      <c r="J22" s="157"/>
    </row>
    <row r="23" spans="1:10" s="182" customFormat="1" ht="21.75" customHeight="1" x14ac:dyDescent="0.15">
      <c r="A23" s="151" t="s">
        <v>2388</v>
      </c>
      <c r="B23" s="20" t="s">
        <v>2387</v>
      </c>
      <c r="C23" s="30" t="s">
        <v>2391</v>
      </c>
      <c r="D23" s="157">
        <v>17128</v>
      </c>
      <c r="E23" s="195">
        <v>0</v>
      </c>
      <c r="F23" s="194">
        <v>29000</v>
      </c>
      <c r="G23" s="154">
        <v>1</v>
      </c>
      <c r="H23" s="183" t="s">
        <v>1948</v>
      </c>
      <c r="I23" s="152" t="s">
        <v>2392</v>
      </c>
      <c r="J23" s="157"/>
    </row>
    <row r="24" spans="1:10" s="182" customFormat="1" ht="21.75" customHeight="1" x14ac:dyDescent="0.15">
      <c r="A24" s="151" t="s">
        <v>2388</v>
      </c>
      <c r="B24" s="20" t="s">
        <v>2387</v>
      </c>
      <c r="C24" s="30" t="s">
        <v>2391</v>
      </c>
      <c r="D24" s="157">
        <v>17127</v>
      </c>
      <c r="E24" s="195">
        <v>0</v>
      </c>
      <c r="F24" s="194">
        <v>28000</v>
      </c>
      <c r="G24" s="154">
        <v>1</v>
      </c>
      <c r="H24" s="183" t="s">
        <v>1948</v>
      </c>
      <c r="I24" s="152" t="s">
        <v>2392</v>
      </c>
      <c r="J24" s="157"/>
    </row>
    <row r="25" spans="1:10" s="182" customFormat="1" ht="21.75" customHeight="1" x14ac:dyDescent="0.15">
      <c r="A25" s="151" t="s">
        <v>2388</v>
      </c>
      <c r="B25" s="20" t="s">
        <v>2389</v>
      </c>
      <c r="C25" s="30" t="s">
        <v>2393</v>
      </c>
      <c r="D25" s="157">
        <v>17115</v>
      </c>
      <c r="E25" s="195">
        <v>0</v>
      </c>
      <c r="F25" s="194">
        <v>90000</v>
      </c>
      <c r="G25" s="154">
        <v>1</v>
      </c>
      <c r="H25" s="154" t="s">
        <v>2353</v>
      </c>
      <c r="I25" s="152" t="s">
        <v>2394</v>
      </c>
      <c r="J25" s="157"/>
    </row>
    <row r="26" spans="1:10" s="182" customFormat="1" ht="21.75" customHeight="1" x14ac:dyDescent="0.15">
      <c r="A26" s="151" t="s">
        <v>2388</v>
      </c>
      <c r="B26" s="20" t="s">
        <v>2390</v>
      </c>
      <c r="C26" s="30" t="s">
        <v>2395</v>
      </c>
      <c r="D26" s="157">
        <v>17155</v>
      </c>
      <c r="E26" s="195">
        <v>0</v>
      </c>
      <c r="F26" s="194">
        <v>30000</v>
      </c>
      <c r="G26" s="154">
        <v>0.2</v>
      </c>
      <c r="H26" s="154" t="s">
        <v>2353</v>
      </c>
      <c r="I26" s="152" t="s">
        <v>2396</v>
      </c>
      <c r="J26" s="157"/>
    </row>
    <row r="27" spans="1:10" s="182" customFormat="1" ht="21.75" customHeight="1" x14ac:dyDescent="0.15">
      <c r="A27" s="151" t="s">
        <v>2397</v>
      </c>
      <c r="B27" s="20" t="s">
        <v>2398</v>
      </c>
      <c r="C27" s="30" t="s">
        <v>2402</v>
      </c>
      <c r="D27" s="157">
        <v>17094</v>
      </c>
      <c r="E27" s="195">
        <v>0</v>
      </c>
      <c r="F27" s="194">
        <v>61600</v>
      </c>
      <c r="G27" s="154">
        <v>0.7</v>
      </c>
      <c r="H27" s="154" t="s">
        <v>2353</v>
      </c>
      <c r="I27" s="152" t="s">
        <v>2403</v>
      </c>
      <c r="J27" s="157"/>
    </row>
    <row r="28" spans="1:10" s="182" customFormat="1" ht="21.75" customHeight="1" x14ac:dyDescent="0.15">
      <c r="A28" s="151" t="s">
        <v>2397</v>
      </c>
      <c r="B28" s="20" t="s">
        <v>2399</v>
      </c>
      <c r="C28" s="30" t="s">
        <v>2400</v>
      </c>
      <c r="D28" s="157">
        <v>17013</v>
      </c>
      <c r="E28" s="195">
        <v>0</v>
      </c>
      <c r="F28" s="194">
        <v>252000</v>
      </c>
      <c r="G28" s="185">
        <v>0.9</v>
      </c>
      <c r="H28" s="154" t="s">
        <v>2404</v>
      </c>
      <c r="I28" s="152" t="s">
        <v>2401</v>
      </c>
      <c r="J28" s="157"/>
    </row>
    <row r="29" spans="1:10" s="182" customFormat="1" ht="21.75" customHeight="1" x14ac:dyDescent="0.15">
      <c r="A29" s="151" t="s">
        <v>2397</v>
      </c>
      <c r="B29" s="20" t="s">
        <v>2405</v>
      </c>
      <c r="C29" s="30" t="s">
        <v>2406</v>
      </c>
      <c r="D29" s="157">
        <v>13030</v>
      </c>
      <c r="E29" s="195">
        <v>0</v>
      </c>
      <c r="F29" s="194">
        <v>240130.2</v>
      </c>
      <c r="G29" s="185" t="s">
        <v>2408</v>
      </c>
      <c r="H29" s="154" t="s">
        <v>1143</v>
      </c>
      <c r="I29" s="183" t="s">
        <v>2407</v>
      </c>
      <c r="J29" s="157"/>
    </row>
    <row r="30" spans="1:10" s="182" customFormat="1" ht="21.75" customHeight="1" x14ac:dyDescent="0.15">
      <c r="A30" s="151" t="s">
        <v>2410</v>
      </c>
      <c r="B30" s="20" t="s">
        <v>2409</v>
      </c>
      <c r="C30" s="30" t="s">
        <v>2411</v>
      </c>
      <c r="D30" s="157">
        <v>15016</v>
      </c>
      <c r="E30" s="195">
        <v>0</v>
      </c>
      <c r="F30" s="194">
        <v>50000</v>
      </c>
      <c r="G30" s="185" t="s">
        <v>592</v>
      </c>
      <c r="H30" s="183" t="s">
        <v>2412</v>
      </c>
      <c r="I30" s="183" t="s">
        <v>2413</v>
      </c>
      <c r="J30" s="157"/>
    </row>
    <row r="31" spans="1:10" s="182" customFormat="1" ht="21.75" customHeight="1" x14ac:dyDescent="0.15">
      <c r="A31" s="151" t="s">
        <v>2415</v>
      </c>
      <c r="B31" s="20" t="s">
        <v>2414</v>
      </c>
      <c r="C31" s="30" t="s">
        <v>2416</v>
      </c>
      <c r="D31" s="157">
        <v>17114</v>
      </c>
      <c r="E31" s="195">
        <v>0</v>
      </c>
      <c r="F31" s="194">
        <v>85400</v>
      </c>
      <c r="G31" s="185">
        <v>0.4</v>
      </c>
      <c r="H31" s="183" t="s">
        <v>2418</v>
      </c>
      <c r="I31" s="183" t="s">
        <v>2417</v>
      </c>
      <c r="J31" s="157"/>
    </row>
    <row r="32" spans="1:10" s="182" customFormat="1" ht="21.75" customHeight="1" x14ac:dyDescent="0.15">
      <c r="A32" s="151" t="s">
        <v>2415</v>
      </c>
      <c r="B32" s="20" t="s">
        <v>2419</v>
      </c>
      <c r="C32" s="30" t="s">
        <v>2420</v>
      </c>
      <c r="D32" s="157">
        <v>17148</v>
      </c>
      <c r="E32" s="195">
        <v>0</v>
      </c>
      <c r="F32" s="194">
        <v>97810</v>
      </c>
      <c r="G32" s="185">
        <v>1</v>
      </c>
      <c r="H32" s="154" t="s">
        <v>1948</v>
      </c>
      <c r="I32" s="183" t="s">
        <v>2421</v>
      </c>
      <c r="J32" s="157"/>
    </row>
    <row r="33" spans="1:10" s="182" customFormat="1" ht="21.75" customHeight="1" x14ac:dyDescent="0.15">
      <c r="A33" s="151" t="s">
        <v>2415</v>
      </c>
      <c r="B33" s="20" t="s">
        <v>2419</v>
      </c>
      <c r="C33" s="30" t="s">
        <v>2420</v>
      </c>
      <c r="D33" s="157">
        <v>17110</v>
      </c>
      <c r="E33" s="195">
        <v>0</v>
      </c>
      <c r="F33" s="194">
        <v>100000</v>
      </c>
      <c r="G33" s="185">
        <v>1</v>
      </c>
      <c r="H33" s="154" t="s">
        <v>1948</v>
      </c>
      <c r="I33" s="183" t="s">
        <v>2421</v>
      </c>
      <c r="J33" s="157"/>
    </row>
    <row r="34" spans="1:10" s="182" customFormat="1" ht="21.75" customHeight="1" x14ac:dyDescent="0.15">
      <c r="A34" s="151" t="s">
        <v>2422</v>
      </c>
      <c r="B34" s="20" t="s">
        <v>2423</v>
      </c>
      <c r="C34" s="30" t="s">
        <v>2424</v>
      </c>
      <c r="D34" s="157">
        <v>17074</v>
      </c>
      <c r="E34" s="195">
        <v>0</v>
      </c>
      <c r="F34" s="194">
        <v>45000</v>
      </c>
      <c r="G34" s="185">
        <v>0.1</v>
      </c>
      <c r="H34" s="154" t="s">
        <v>2425</v>
      </c>
      <c r="I34" s="183" t="s">
        <v>2426</v>
      </c>
      <c r="J34" s="157"/>
    </row>
    <row r="35" spans="1:10" s="182" customFormat="1" ht="21.75" customHeight="1" x14ac:dyDescent="0.15">
      <c r="A35" s="151" t="s">
        <v>2428</v>
      </c>
      <c r="B35" s="20" t="s">
        <v>2427</v>
      </c>
      <c r="C35" s="30" t="s">
        <v>2429</v>
      </c>
      <c r="D35" s="157">
        <v>18002</v>
      </c>
      <c r="E35" s="195">
        <v>0</v>
      </c>
      <c r="F35" s="194">
        <v>134312</v>
      </c>
      <c r="G35" s="185">
        <v>0.2</v>
      </c>
      <c r="H35" s="154" t="s">
        <v>1162</v>
      </c>
      <c r="I35" s="183" t="s">
        <v>2430</v>
      </c>
      <c r="J35" s="157"/>
    </row>
    <row r="36" spans="1:10" s="182" customFormat="1" ht="22.5" x14ac:dyDescent="0.15">
      <c r="A36" s="151" t="s">
        <v>2432</v>
      </c>
      <c r="B36" s="20" t="s">
        <v>2431</v>
      </c>
      <c r="C36" s="30" t="s">
        <v>2433</v>
      </c>
      <c r="D36" s="157">
        <v>17104</v>
      </c>
      <c r="E36" s="195">
        <v>0</v>
      </c>
      <c r="F36" s="194">
        <v>85000</v>
      </c>
      <c r="G36" s="185">
        <v>1</v>
      </c>
      <c r="H36" s="154" t="s">
        <v>1948</v>
      </c>
      <c r="I36" s="183" t="s">
        <v>2434</v>
      </c>
      <c r="J36" s="157"/>
    </row>
    <row r="37" spans="1:10" s="182" customFormat="1" ht="21.75" customHeight="1" x14ac:dyDescent="0.15">
      <c r="A37" s="151" t="s">
        <v>2436</v>
      </c>
      <c r="B37" s="20" t="s">
        <v>2435</v>
      </c>
      <c r="C37" s="30" t="s">
        <v>2437</v>
      </c>
      <c r="D37" s="157">
        <v>16030</v>
      </c>
      <c r="E37" s="195">
        <v>495710</v>
      </c>
      <c r="F37" s="194">
        <v>0</v>
      </c>
      <c r="G37" s="185">
        <v>0.95</v>
      </c>
      <c r="H37" s="159" t="s">
        <v>1147</v>
      </c>
      <c r="I37" s="183" t="s">
        <v>2198</v>
      </c>
      <c r="J37" s="157" t="s">
        <v>2439</v>
      </c>
    </row>
    <row r="38" spans="1:10" s="182" customFormat="1" ht="21.75" customHeight="1" x14ac:dyDescent="0.15">
      <c r="A38" s="151" t="s">
        <v>2442</v>
      </c>
      <c r="B38" s="20" t="s">
        <v>2440</v>
      </c>
      <c r="C38" s="30" t="s">
        <v>2441</v>
      </c>
      <c r="D38" s="157">
        <v>17034</v>
      </c>
      <c r="E38" s="195">
        <v>0</v>
      </c>
      <c r="F38" s="194">
        <v>120000</v>
      </c>
      <c r="G38" s="185">
        <v>1</v>
      </c>
      <c r="H38" s="154" t="s">
        <v>1948</v>
      </c>
      <c r="I38" s="183" t="s">
        <v>2443</v>
      </c>
      <c r="J38" s="157"/>
    </row>
    <row r="39" spans="1:10" s="182" customFormat="1" ht="21.75" customHeight="1" x14ac:dyDescent="0.15">
      <c r="A39" s="151" t="s">
        <v>2451</v>
      </c>
      <c r="B39" s="20" t="s">
        <v>2445</v>
      </c>
      <c r="C39" s="30" t="s">
        <v>2446</v>
      </c>
      <c r="D39" s="157">
        <v>17007</v>
      </c>
      <c r="E39" s="195">
        <v>0</v>
      </c>
      <c r="F39" s="194">
        <v>49000</v>
      </c>
      <c r="G39" s="185">
        <v>0.2</v>
      </c>
      <c r="H39" s="159" t="s">
        <v>2447</v>
      </c>
      <c r="I39" s="183" t="s">
        <v>229</v>
      </c>
      <c r="J39" s="157"/>
    </row>
    <row r="40" spans="1:10" s="182" customFormat="1" ht="21.75" customHeight="1" x14ac:dyDescent="0.15">
      <c r="A40" s="151" t="s">
        <v>2451</v>
      </c>
      <c r="B40" s="20" t="s">
        <v>2444</v>
      </c>
      <c r="C40" s="30" t="s">
        <v>2450</v>
      </c>
      <c r="D40" s="157">
        <v>14025</v>
      </c>
      <c r="E40" s="195">
        <v>0</v>
      </c>
      <c r="F40" s="194">
        <v>170000</v>
      </c>
      <c r="G40" s="185">
        <v>1</v>
      </c>
      <c r="H40" s="154" t="s">
        <v>1948</v>
      </c>
      <c r="I40" s="183" t="s">
        <v>2443</v>
      </c>
      <c r="J40" s="157"/>
    </row>
    <row r="41" spans="1:10" s="182" customFormat="1" ht="21.75" customHeight="1" x14ac:dyDescent="0.15">
      <c r="A41" s="151" t="s">
        <v>2451</v>
      </c>
      <c r="B41" s="20" t="s">
        <v>2444</v>
      </c>
      <c r="C41" s="30" t="s">
        <v>2448</v>
      </c>
      <c r="D41" s="157">
        <v>13003</v>
      </c>
      <c r="E41" s="195">
        <v>0</v>
      </c>
      <c r="F41" s="194">
        <v>74400</v>
      </c>
      <c r="G41" s="185">
        <v>0.4</v>
      </c>
      <c r="H41" s="154" t="s">
        <v>2449</v>
      </c>
      <c r="I41" s="183" t="s">
        <v>2443</v>
      </c>
      <c r="J41" s="157"/>
    </row>
    <row r="42" spans="1:10" s="182" customFormat="1" ht="21.75" customHeight="1" x14ac:dyDescent="0.15">
      <c r="A42" s="151" t="s">
        <v>2453</v>
      </c>
      <c r="B42" s="20" t="s">
        <v>2452</v>
      </c>
      <c r="C42" s="30" t="s">
        <v>2454</v>
      </c>
      <c r="D42" s="157">
        <v>17042</v>
      </c>
      <c r="E42" s="195">
        <v>0</v>
      </c>
      <c r="F42" s="194">
        <v>285000</v>
      </c>
      <c r="G42" s="185">
        <v>0.5</v>
      </c>
      <c r="H42" s="159" t="s">
        <v>2455</v>
      </c>
      <c r="I42" s="183" t="s">
        <v>2456</v>
      </c>
      <c r="J42" s="157"/>
    </row>
    <row r="43" spans="1:10" s="182" customFormat="1" ht="21.75" customHeight="1" x14ac:dyDescent="0.15">
      <c r="A43" s="151" t="s">
        <v>2457</v>
      </c>
      <c r="B43" s="20" t="s">
        <v>2461</v>
      </c>
      <c r="C43" s="30" t="s">
        <v>2462</v>
      </c>
      <c r="D43" s="157">
        <v>16085</v>
      </c>
      <c r="E43" s="195">
        <v>0</v>
      </c>
      <c r="F43" s="194">
        <v>98440</v>
      </c>
      <c r="G43" s="185">
        <v>0.4</v>
      </c>
      <c r="H43" s="159" t="s">
        <v>2463</v>
      </c>
      <c r="I43" s="152" t="s">
        <v>1880</v>
      </c>
      <c r="J43" s="157"/>
    </row>
    <row r="44" spans="1:10" s="182" customFormat="1" ht="21.75" customHeight="1" x14ac:dyDescent="0.15">
      <c r="A44" s="151" t="s">
        <v>2459</v>
      </c>
      <c r="B44" s="20" t="s">
        <v>2458</v>
      </c>
      <c r="C44" s="30" t="s">
        <v>2460</v>
      </c>
      <c r="D44" s="157">
        <v>15016</v>
      </c>
      <c r="E44" s="195">
        <v>0</v>
      </c>
      <c r="F44" s="194">
        <v>113666</v>
      </c>
      <c r="G44" s="154" t="s">
        <v>592</v>
      </c>
      <c r="H44" s="154" t="s">
        <v>1948</v>
      </c>
      <c r="I44" s="152" t="s">
        <v>1880</v>
      </c>
      <c r="J44" s="157"/>
    </row>
    <row r="45" spans="1:10" ht="21.75" customHeight="1" x14ac:dyDescent="0.15">
      <c r="A45" s="151" t="s">
        <v>2465</v>
      </c>
      <c r="B45" s="20" t="s">
        <v>501</v>
      </c>
      <c r="C45" s="30" t="s">
        <v>2467</v>
      </c>
      <c r="D45" s="157">
        <v>17149</v>
      </c>
      <c r="E45" s="194">
        <v>0</v>
      </c>
      <c r="F45" s="194">
        <v>108000</v>
      </c>
      <c r="G45" s="159">
        <v>0.4</v>
      </c>
      <c r="H45" s="159" t="s">
        <v>2469</v>
      </c>
      <c r="I45" s="152" t="s">
        <v>1880</v>
      </c>
      <c r="J45" s="157"/>
    </row>
    <row r="46" spans="1:10" ht="21.75" customHeight="1" x14ac:dyDescent="0.15">
      <c r="A46" s="151" t="s">
        <v>2465</v>
      </c>
      <c r="B46" s="20" t="s">
        <v>501</v>
      </c>
      <c r="C46" s="30" t="s">
        <v>2468</v>
      </c>
      <c r="D46" s="157">
        <v>17150</v>
      </c>
      <c r="E46" s="194">
        <v>0</v>
      </c>
      <c r="F46" s="194">
        <v>108000</v>
      </c>
      <c r="G46" s="159">
        <v>0.4</v>
      </c>
      <c r="H46" s="159" t="s">
        <v>2469</v>
      </c>
      <c r="I46" s="152" t="s">
        <v>1880</v>
      </c>
      <c r="J46" s="157"/>
    </row>
    <row r="47" spans="1:10" ht="21.75" customHeight="1" x14ac:dyDescent="0.15">
      <c r="A47" s="151" t="s">
        <v>2465</v>
      </c>
      <c r="B47" s="11" t="s">
        <v>2466</v>
      </c>
      <c r="C47" s="30" t="s">
        <v>2470</v>
      </c>
      <c r="D47" s="152">
        <v>17044</v>
      </c>
      <c r="E47" s="194">
        <v>0</v>
      </c>
      <c r="F47" s="195">
        <v>28120</v>
      </c>
      <c r="G47" s="154" t="s">
        <v>592</v>
      </c>
      <c r="H47" s="154" t="s">
        <v>2471</v>
      </c>
      <c r="I47" s="152" t="s">
        <v>1880</v>
      </c>
      <c r="J47" s="152"/>
    </row>
    <row r="48" spans="1:10" s="182" customFormat="1" ht="22.5" x14ac:dyDescent="0.15">
      <c r="A48" s="156" t="s">
        <v>2475</v>
      </c>
      <c r="B48" s="11" t="s">
        <v>2466</v>
      </c>
      <c r="C48" s="30" t="s">
        <v>2470</v>
      </c>
      <c r="D48" s="152">
        <v>17044</v>
      </c>
      <c r="E48" s="194">
        <f>300000-208000</f>
        <v>92000</v>
      </c>
      <c r="F48" s="194">
        <v>0</v>
      </c>
      <c r="G48" s="154" t="s">
        <v>592</v>
      </c>
      <c r="H48" s="154" t="s">
        <v>2473</v>
      </c>
      <c r="I48" s="152" t="s">
        <v>1880</v>
      </c>
      <c r="J48" s="157" t="s">
        <v>2669</v>
      </c>
    </row>
    <row r="49" spans="1:10" s="182" customFormat="1" ht="21.95" customHeight="1" x14ac:dyDescent="0.15">
      <c r="A49" s="156" t="s">
        <v>2475</v>
      </c>
      <c r="B49" s="11" t="s">
        <v>2466</v>
      </c>
      <c r="C49" s="30" t="s">
        <v>2470</v>
      </c>
      <c r="D49" s="152">
        <v>17043</v>
      </c>
      <c r="E49" s="195">
        <v>208000</v>
      </c>
      <c r="F49" s="194">
        <v>0</v>
      </c>
      <c r="G49" s="185">
        <v>0.65</v>
      </c>
      <c r="H49" s="183" t="s">
        <v>2474</v>
      </c>
      <c r="I49" s="152" t="s">
        <v>1880</v>
      </c>
      <c r="J49" s="157"/>
    </row>
    <row r="50" spans="1:10" s="182" customFormat="1" ht="21.75" customHeight="1" x14ac:dyDescent="0.15">
      <c r="A50" s="156" t="s">
        <v>2472</v>
      </c>
      <c r="B50" s="20" t="s">
        <v>2478</v>
      </c>
      <c r="C50" s="30" t="s">
        <v>2476</v>
      </c>
      <c r="D50" s="157">
        <v>17106</v>
      </c>
      <c r="E50" s="195">
        <v>0</v>
      </c>
      <c r="F50" s="194">
        <v>85000</v>
      </c>
      <c r="G50" s="185">
        <v>1</v>
      </c>
      <c r="H50" s="154" t="s">
        <v>1948</v>
      </c>
      <c r="I50" s="183" t="s">
        <v>2477</v>
      </c>
      <c r="J50" s="157"/>
    </row>
    <row r="51" spans="1:10" s="182" customFormat="1" ht="21.75" customHeight="1" x14ac:dyDescent="0.15">
      <c r="A51" s="156" t="s">
        <v>2480</v>
      </c>
      <c r="B51" s="20" t="s">
        <v>2481</v>
      </c>
      <c r="C51" s="30" t="s">
        <v>2482</v>
      </c>
      <c r="D51" s="157">
        <v>17075</v>
      </c>
      <c r="E51" s="195">
        <v>0</v>
      </c>
      <c r="F51" s="194">
        <v>75000</v>
      </c>
      <c r="G51" s="185">
        <v>0.5</v>
      </c>
      <c r="H51" s="183" t="s">
        <v>2484</v>
      </c>
      <c r="I51" s="183" t="s">
        <v>2485</v>
      </c>
      <c r="J51" s="157"/>
    </row>
    <row r="52" spans="1:10" s="182" customFormat="1" ht="21.75" customHeight="1" x14ac:dyDescent="0.15">
      <c r="A52" s="156" t="s">
        <v>2480</v>
      </c>
      <c r="B52" s="20" t="s">
        <v>2479</v>
      </c>
      <c r="C52" s="30" t="s">
        <v>2483</v>
      </c>
      <c r="D52" s="157">
        <v>17076</v>
      </c>
      <c r="E52" s="195">
        <v>0</v>
      </c>
      <c r="F52" s="194">
        <v>75000</v>
      </c>
      <c r="G52" s="185">
        <v>0.5</v>
      </c>
      <c r="H52" s="183" t="s">
        <v>2484</v>
      </c>
      <c r="I52" s="183" t="s">
        <v>2485</v>
      </c>
      <c r="J52" s="157"/>
    </row>
    <row r="53" spans="1:10" s="182" customFormat="1" ht="21.75" customHeight="1" x14ac:dyDescent="0.15">
      <c r="A53" s="156" t="s">
        <v>2488</v>
      </c>
      <c r="B53" s="20" t="s">
        <v>2494</v>
      </c>
      <c r="C53" s="30" t="s">
        <v>2495</v>
      </c>
      <c r="D53" s="157">
        <v>17078</v>
      </c>
      <c r="E53" s="195">
        <v>0</v>
      </c>
      <c r="F53" s="194">
        <v>75000</v>
      </c>
      <c r="G53" s="185">
        <v>0.5</v>
      </c>
      <c r="H53" s="183" t="s">
        <v>1408</v>
      </c>
      <c r="I53" s="183" t="s">
        <v>162</v>
      </c>
      <c r="J53" s="157"/>
    </row>
    <row r="54" spans="1:10" s="182" customFormat="1" ht="21.75" customHeight="1" x14ac:dyDescent="0.15">
      <c r="A54" s="156" t="s">
        <v>2488</v>
      </c>
      <c r="B54" s="20" t="s">
        <v>2490</v>
      </c>
      <c r="C54" s="30" t="s">
        <v>2491</v>
      </c>
      <c r="D54" s="157">
        <v>15036</v>
      </c>
      <c r="E54" s="195">
        <v>0</v>
      </c>
      <c r="F54" s="194">
        <v>100000</v>
      </c>
      <c r="G54" s="185">
        <v>1</v>
      </c>
      <c r="H54" s="154" t="s">
        <v>1948</v>
      </c>
      <c r="I54" s="183" t="s">
        <v>162</v>
      </c>
      <c r="J54" s="157"/>
    </row>
    <row r="55" spans="1:10" s="182" customFormat="1" ht="21.75" customHeight="1" x14ac:dyDescent="0.15">
      <c r="A55" s="156" t="s">
        <v>2488</v>
      </c>
      <c r="B55" s="20" t="s">
        <v>2489</v>
      </c>
      <c r="C55" s="30" t="s">
        <v>2496</v>
      </c>
      <c r="D55" s="157">
        <v>17105</v>
      </c>
      <c r="E55" s="195">
        <v>0</v>
      </c>
      <c r="F55" s="194">
        <v>85000</v>
      </c>
      <c r="G55" s="185">
        <v>1</v>
      </c>
      <c r="H55" s="154" t="s">
        <v>1948</v>
      </c>
      <c r="I55" s="183" t="s">
        <v>229</v>
      </c>
      <c r="J55" s="157"/>
    </row>
    <row r="56" spans="1:10" s="182" customFormat="1" ht="21.75" customHeight="1" x14ac:dyDescent="0.15">
      <c r="A56" s="156" t="s">
        <v>2488</v>
      </c>
      <c r="B56" s="20" t="s">
        <v>2492</v>
      </c>
      <c r="C56" s="30" t="s">
        <v>2491</v>
      </c>
      <c r="D56" s="157">
        <v>16009</v>
      </c>
      <c r="E56" s="195">
        <v>0</v>
      </c>
      <c r="F56" s="194">
        <v>85000</v>
      </c>
      <c r="G56" s="185">
        <v>0.5</v>
      </c>
      <c r="H56" s="183" t="s">
        <v>1408</v>
      </c>
      <c r="I56" s="183" t="s">
        <v>162</v>
      </c>
      <c r="J56" s="157"/>
    </row>
    <row r="57" spans="1:10" s="182" customFormat="1" ht="21.75" customHeight="1" x14ac:dyDescent="0.15">
      <c r="A57" s="156" t="s">
        <v>2488</v>
      </c>
      <c r="B57" s="20" t="s">
        <v>2493</v>
      </c>
      <c r="C57" s="30" t="s">
        <v>2491</v>
      </c>
      <c r="D57" s="157">
        <v>17080</v>
      </c>
      <c r="E57" s="195">
        <v>0</v>
      </c>
      <c r="F57" s="194">
        <v>75000</v>
      </c>
      <c r="G57" s="185">
        <v>0.5</v>
      </c>
      <c r="H57" s="183" t="s">
        <v>1408</v>
      </c>
      <c r="I57" s="183" t="s">
        <v>162</v>
      </c>
      <c r="J57" s="157"/>
    </row>
    <row r="58" spans="1:10" s="182" customFormat="1" ht="21.75" customHeight="1" x14ac:dyDescent="0.15">
      <c r="A58" s="156" t="s">
        <v>2488</v>
      </c>
      <c r="B58" s="20" t="s">
        <v>2497</v>
      </c>
      <c r="C58" s="30" t="s">
        <v>2498</v>
      </c>
      <c r="D58" s="157">
        <v>16116</v>
      </c>
      <c r="E58" s="195">
        <v>0</v>
      </c>
      <c r="F58" s="194">
        <v>239200</v>
      </c>
      <c r="G58" s="185">
        <v>0.4</v>
      </c>
      <c r="H58" s="183" t="s">
        <v>2504</v>
      </c>
      <c r="I58" s="183" t="s">
        <v>2499</v>
      </c>
      <c r="J58" s="157"/>
    </row>
    <row r="59" spans="1:10" s="182" customFormat="1" ht="21.75" customHeight="1" x14ac:dyDescent="0.15">
      <c r="A59" s="156" t="s">
        <v>2487</v>
      </c>
      <c r="B59" s="20" t="s">
        <v>2500</v>
      </c>
      <c r="C59" s="30" t="s">
        <v>2501</v>
      </c>
      <c r="D59" s="157">
        <v>17118</v>
      </c>
      <c r="E59" s="195">
        <v>0</v>
      </c>
      <c r="F59" s="194">
        <v>100000</v>
      </c>
      <c r="G59" s="185">
        <v>1</v>
      </c>
      <c r="H59" s="154" t="s">
        <v>1948</v>
      </c>
      <c r="I59" s="183" t="s">
        <v>2502</v>
      </c>
      <c r="J59" s="157"/>
    </row>
    <row r="60" spans="1:10" s="182" customFormat="1" ht="21.75" customHeight="1" x14ac:dyDescent="0.15">
      <c r="A60" s="163" t="s">
        <v>2486</v>
      </c>
      <c r="B60" s="44" t="s">
        <v>2503</v>
      </c>
      <c r="C60" s="199" t="s">
        <v>2505</v>
      </c>
      <c r="D60" s="164">
        <v>16032</v>
      </c>
      <c r="E60" s="200">
        <v>0</v>
      </c>
      <c r="F60" s="200">
        <v>100000</v>
      </c>
      <c r="G60" s="186">
        <v>0.33329999999999999</v>
      </c>
      <c r="H60" s="187" t="s">
        <v>2507</v>
      </c>
      <c r="I60" s="187" t="s">
        <v>2506</v>
      </c>
      <c r="J60" s="201"/>
    </row>
    <row r="61" spans="1:10" s="182" customFormat="1" ht="21.75" customHeight="1" x14ac:dyDescent="0.15">
      <c r="A61" s="156" t="s">
        <v>2508</v>
      </c>
      <c r="B61" s="20" t="s">
        <v>2513</v>
      </c>
      <c r="C61" s="30" t="s">
        <v>2514</v>
      </c>
      <c r="D61" s="157">
        <v>18006</v>
      </c>
      <c r="E61" s="194">
        <v>0</v>
      </c>
      <c r="F61" s="194">
        <v>8600</v>
      </c>
      <c r="G61" s="185">
        <v>1</v>
      </c>
      <c r="H61" s="159" t="s">
        <v>1948</v>
      </c>
      <c r="I61" s="183" t="s">
        <v>2515</v>
      </c>
      <c r="J61" s="157"/>
    </row>
    <row r="62" spans="1:10" s="182" customFormat="1" ht="22.5" x14ac:dyDescent="0.15">
      <c r="A62" s="156" t="s">
        <v>2508</v>
      </c>
      <c r="B62" s="20" t="s">
        <v>2516</v>
      </c>
      <c r="C62" s="30" t="s">
        <v>2517</v>
      </c>
      <c r="D62" s="157">
        <v>16028</v>
      </c>
      <c r="E62" s="194">
        <v>0</v>
      </c>
      <c r="F62" s="194">
        <v>5560</v>
      </c>
      <c r="G62" s="185">
        <v>0.1</v>
      </c>
      <c r="H62" s="159" t="s">
        <v>1143</v>
      </c>
      <c r="I62" s="183" t="s">
        <v>170</v>
      </c>
      <c r="J62" s="157"/>
    </row>
    <row r="63" spans="1:10" s="182" customFormat="1" ht="21.75" customHeight="1" x14ac:dyDescent="0.15">
      <c r="A63" s="156" t="s">
        <v>2508</v>
      </c>
      <c r="B63" s="20" t="s">
        <v>627</v>
      </c>
      <c r="C63" s="30" t="s">
        <v>2519</v>
      </c>
      <c r="D63" s="157">
        <v>16026</v>
      </c>
      <c r="E63" s="200">
        <v>0</v>
      </c>
      <c r="F63" s="194">
        <v>2360</v>
      </c>
      <c r="G63" s="185">
        <v>0.1</v>
      </c>
      <c r="H63" s="159" t="s">
        <v>1143</v>
      </c>
      <c r="I63" s="183" t="s">
        <v>170</v>
      </c>
      <c r="J63" s="157"/>
    </row>
    <row r="64" spans="1:10" s="182" customFormat="1" ht="21.75" customHeight="1" x14ac:dyDescent="0.15">
      <c r="A64" s="156" t="s">
        <v>2508</v>
      </c>
      <c r="B64" s="20" t="s">
        <v>2518</v>
      </c>
      <c r="C64" s="30" t="s">
        <v>2519</v>
      </c>
      <c r="D64" s="157">
        <v>16072</v>
      </c>
      <c r="E64" s="200">
        <v>0</v>
      </c>
      <c r="F64" s="194">
        <v>700</v>
      </c>
      <c r="G64" s="185">
        <v>0.1</v>
      </c>
      <c r="H64" s="159" t="s">
        <v>1143</v>
      </c>
      <c r="I64" s="183" t="s">
        <v>170</v>
      </c>
      <c r="J64" s="157"/>
    </row>
    <row r="65" spans="1:10" s="182" customFormat="1" ht="21.75" customHeight="1" x14ac:dyDescent="0.15">
      <c r="A65" s="156" t="s">
        <v>2509</v>
      </c>
      <c r="B65" s="20" t="s">
        <v>606</v>
      </c>
      <c r="C65" s="30" t="s">
        <v>2520</v>
      </c>
      <c r="D65" s="157">
        <v>16027</v>
      </c>
      <c r="E65" s="200">
        <v>0</v>
      </c>
      <c r="F65" s="194">
        <v>3960</v>
      </c>
      <c r="G65" s="185">
        <v>0.1</v>
      </c>
      <c r="H65" s="159" t="s">
        <v>1143</v>
      </c>
      <c r="I65" s="183" t="s">
        <v>170</v>
      </c>
      <c r="J65" s="157"/>
    </row>
    <row r="66" spans="1:10" s="182" customFormat="1" ht="21.75" customHeight="1" x14ac:dyDescent="0.15">
      <c r="A66" s="156" t="s">
        <v>2510</v>
      </c>
      <c r="B66" s="44" t="s">
        <v>2521</v>
      </c>
      <c r="C66" s="30" t="s">
        <v>2527</v>
      </c>
      <c r="D66" s="157">
        <v>18046</v>
      </c>
      <c r="E66" s="200">
        <v>0</v>
      </c>
      <c r="F66" s="194">
        <v>73500</v>
      </c>
      <c r="G66" s="185">
        <v>0.3</v>
      </c>
      <c r="H66" s="183" t="s">
        <v>2526</v>
      </c>
      <c r="I66" s="183" t="s">
        <v>2525</v>
      </c>
      <c r="J66" s="157"/>
    </row>
    <row r="67" spans="1:10" s="182" customFormat="1" ht="21.75" customHeight="1" x14ac:dyDescent="0.15">
      <c r="A67" s="156" t="s">
        <v>2511</v>
      </c>
      <c r="B67" s="20" t="s">
        <v>606</v>
      </c>
      <c r="C67" s="30" t="s">
        <v>2520</v>
      </c>
      <c r="D67" s="157">
        <v>16073</v>
      </c>
      <c r="E67" s="200">
        <v>0</v>
      </c>
      <c r="F67" s="194">
        <v>3120</v>
      </c>
      <c r="G67" s="185">
        <v>0.1</v>
      </c>
      <c r="H67" s="159" t="s">
        <v>1143</v>
      </c>
      <c r="I67" s="183" t="s">
        <v>170</v>
      </c>
      <c r="J67" s="157"/>
    </row>
    <row r="68" spans="1:10" s="182" customFormat="1" ht="21.75" customHeight="1" x14ac:dyDescent="0.15">
      <c r="A68" s="156" t="s">
        <v>2512</v>
      </c>
      <c r="B68" s="44" t="s">
        <v>362</v>
      </c>
      <c r="C68" s="30" t="s">
        <v>2522</v>
      </c>
      <c r="D68" s="157">
        <v>15016</v>
      </c>
      <c r="E68" s="194">
        <v>0</v>
      </c>
      <c r="F68" s="194">
        <v>90000</v>
      </c>
      <c r="G68" s="185" t="s">
        <v>2524</v>
      </c>
      <c r="H68" s="183" t="s">
        <v>2523</v>
      </c>
      <c r="I68" s="183" t="s">
        <v>2525</v>
      </c>
      <c r="J68" s="157"/>
    </row>
    <row r="69" spans="1:10" s="182" customFormat="1" ht="21.75" customHeight="1" x14ac:dyDescent="0.15">
      <c r="A69" s="156" t="s">
        <v>2533</v>
      </c>
      <c r="B69" s="20" t="s">
        <v>1428</v>
      </c>
      <c r="C69" s="30" t="s">
        <v>2536</v>
      </c>
      <c r="D69" s="157">
        <v>17144</v>
      </c>
      <c r="E69" s="195">
        <v>0</v>
      </c>
      <c r="F69" s="194">
        <v>40000</v>
      </c>
      <c r="G69" s="185">
        <v>0.5</v>
      </c>
      <c r="H69" s="183" t="s">
        <v>2538</v>
      </c>
      <c r="I69" s="183" t="s">
        <v>2539</v>
      </c>
      <c r="J69" s="157"/>
    </row>
    <row r="70" spans="1:10" s="182" customFormat="1" ht="21.75" customHeight="1" x14ac:dyDescent="0.15">
      <c r="A70" s="156" t="s">
        <v>2533</v>
      </c>
      <c r="B70" s="20" t="s">
        <v>2535</v>
      </c>
      <c r="C70" s="30" t="s">
        <v>2537</v>
      </c>
      <c r="D70" s="157">
        <v>17145</v>
      </c>
      <c r="E70" s="195">
        <v>0</v>
      </c>
      <c r="F70" s="194">
        <v>40000</v>
      </c>
      <c r="G70" s="185">
        <v>0.5</v>
      </c>
      <c r="H70" s="183" t="s">
        <v>2538</v>
      </c>
      <c r="I70" s="183" t="s">
        <v>2539</v>
      </c>
      <c r="J70" s="157"/>
    </row>
    <row r="71" spans="1:10" s="182" customFormat="1" ht="21.75" customHeight="1" x14ac:dyDescent="0.15">
      <c r="A71" s="156" t="s">
        <v>2533</v>
      </c>
      <c r="B71" s="20" t="s">
        <v>1428</v>
      </c>
      <c r="C71" s="202" t="s">
        <v>2540</v>
      </c>
      <c r="D71" s="157">
        <v>17142</v>
      </c>
      <c r="E71" s="195">
        <v>0</v>
      </c>
      <c r="F71" s="194">
        <v>40000</v>
      </c>
      <c r="G71" s="185">
        <v>0.5</v>
      </c>
      <c r="H71" s="183" t="s">
        <v>2538</v>
      </c>
      <c r="I71" s="183" t="s">
        <v>2539</v>
      </c>
      <c r="J71" s="157"/>
    </row>
    <row r="72" spans="1:10" s="182" customFormat="1" ht="21.75" customHeight="1" x14ac:dyDescent="0.15">
      <c r="A72" s="156" t="s">
        <v>2532</v>
      </c>
      <c r="B72" s="20" t="s">
        <v>1435</v>
      </c>
      <c r="C72" s="202" t="s">
        <v>2541</v>
      </c>
      <c r="D72" s="157">
        <v>17140</v>
      </c>
      <c r="E72" s="195">
        <v>0</v>
      </c>
      <c r="F72" s="194">
        <v>40000</v>
      </c>
      <c r="G72" s="185">
        <v>0.5</v>
      </c>
      <c r="H72" s="183" t="s">
        <v>2538</v>
      </c>
      <c r="I72" s="183" t="s">
        <v>2539</v>
      </c>
      <c r="J72" s="157"/>
    </row>
    <row r="73" spans="1:10" s="182" customFormat="1" ht="45" x14ac:dyDescent="0.15">
      <c r="A73" s="156" t="s">
        <v>2532</v>
      </c>
      <c r="B73" s="20" t="s">
        <v>2542</v>
      </c>
      <c r="C73" s="202" t="s">
        <v>2543</v>
      </c>
      <c r="D73" s="157">
        <v>17143</v>
      </c>
      <c r="E73" s="195">
        <v>0</v>
      </c>
      <c r="F73" s="194">
        <v>40000</v>
      </c>
      <c r="G73" s="185">
        <v>0.5</v>
      </c>
      <c r="H73" s="183" t="s">
        <v>2538</v>
      </c>
      <c r="I73" s="183" t="s">
        <v>2539</v>
      </c>
      <c r="J73" s="157"/>
    </row>
    <row r="74" spans="1:10" s="182" customFormat="1" ht="33.75" x14ac:dyDescent="0.15">
      <c r="A74" s="156" t="s">
        <v>2532</v>
      </c>
      <c r="B74" s="20" t="s">
        <v>2544</v>
      </c>
      <c r="C74" s="202" t="s">
        <v>2545</v>
      </c>
      <c r="D74" s="157">
        <v>17139</v>
      </c>
      <c r="E74" s="195">
        <v>0</v>
      </c>
      <c r="F74" s="194">
        <v>40000</v>
      </c>
      <c r="G74" s="185">
        <v>0.5</v>
      </c>
      <c r="H74" s="183" t="s">
        <v>2538</v>
      </c>
      <c r="I74" s="183" t="s">
        <v>2539</v>
      </c>
      <c r="J74" s="157"/>
    </row>
    <row r="75" spans="1:10" s="182" customFormat="1" ht="21.75" customHeight="1" x14ac:dyDescent="0.15">
      <c r="A75" s="156" t="s">
        <v>2532</v>
      </c>
      <c r="B75" s="20" t="s">
        <v>2531</v>
      </c>
      <c r="C75" s="202" t="s">
        <v>2546</v>
      </c>
      <c r="D75" s="157">
        <v>17141</v>
      </c>
      <c r="E75" s="195">
        <v>0</v>
      </c>
      <c r="F75" s="194">
        <v>40000</v>
      </c>
      <c r="G75" s="185">
        <v>0.5</v>
      </c>
      <c r="H75" s="183" t="s">
        <v>2538</v>
      </c>
      <c r="I75" s="183" t="s">
        <v>2539</v>
      </c>
      <c r="J75" s="157"/>
    </row>
    <row r="76" spans="1:10" s="182" customFormat="1" ht="21.75" customHeight="1" x14ac:dyDescent="0.15">
      <c r="A76" s="156" t="s">
        <v>2530</v>
      </c>
      <c r="B76" s="20" t="s">
        <v>2547</v>
      </c>
      <c r="C76" s="203" t="s">
        <v>2548</v>
      </c>
      <c r="D76" s="157">
        <v>17095</v>
      </c>
      <c r="E76" s="195">
        <v>0</v>
      </c>
      <c r="F76" s="194">
        <v>348831</v>
      </c>
      <c r="G76" s="185">
        <v>0.7</v>
      </c>
      <c r="H76" s="187" t="s">
        <v>2550</v>
      </c>
      <c r="I76" s="183" t="s">
        <v>2549</v>
      </c>
      <c r="J76" s="157"/>
    </row>
    <row r="77" spans="1:10" s="182" customFormat="1" ht="21.75" customHeight="1" x14ac:dyDescent="0.15">
      <c r="A77" s="156" t="s">
        <v>2534</v>
      </c>
      <c r="B77" s="20" t="s">
        <v>2551</v>
      </c>
      <c r="C77" s="204" t="s">
        <v>2552</v>
      </c>
      <c r="D77" s="157" t="s">
        <v>2553</v>
      </c>
      <c r="E77" s="195">
        <v>500000</v>
      </c>
      <c r="F77" s="194">
        <v>0</v>
      </c>
      <c r="G77" s="185" t="s">
        <v>2554</v>
      </c>
      <c r="H77" s="183" t="s">
        <v>2562</v>
      </c>
      <c r="I77" s="183" t="s">
        <v>2556</v>
      </c>
      <c r="J77" s="157" t="s">
        <v>2611</v>
      </c>
    </row>
    <row r="78" spans="1:10" s="182" customFormat="1" ht="21.75" customHeight="1" x14ac:dyDescent="0.15">
      <c r="A78" s="156" t="s">
        <v>2534</v>
      </c>
      <c r="B78" s="20" t="s">
        <v>1986</v>
      </c>
      <c r="C78" s="203" t="s">
        <v>2561</v>
      </c>
      <c r="D78" s="164">
        <v>17156</v>
      </c>
      <c r="E78" s="200">
        <v>0</v>
      </c>
      <c r="F78" s="200">
        <v>90000</v>
      </c>
      <c r="G78" s="186">
        <v>1</v>
      </c>
      <c r="H78" s="187" t="s">
        <v>2562</v>
      </c>
      <c r="I78" s="187" t="s">
        <v>2563</v>
      </c>
      <c r="J78" s="157"/>
    </row>
    <row r="79" spans="1:10" s="182" customFormat="1" ht="21.75" customHeight="1" x14ac:dyDescent="0.15">
      <c r="A79" s="156" t="s">
        <v>2529</v>
      </c>
      <c r="B79" s="20" t="s">
        <v>1439</v>
      </c>
      <c r="C79" s="202" t="s">
        <v>2557</v>
      </c>
      <c r="D79" s="157">
        <v>17137</v>
      </c>
      <c r="E79" s="195">
        <v>0</v>
      </c>
      <c r="F79" s="194">
        <v>40000</v>
      </c>
      <c r="G79" s="185">
        <v>0.5</v>
      </c>
      <c r="H79" s="183" t="s">
        <v>2538</v>
      </c>
      <c r="I79" s="183" t="s">
        <v>2539</v>
      </c>
      <c r="J79" s="157"/>
    </row>
    <row r="80" spans="1:10" s="182" customFormat="1" ht="21.75" customHeight="1" x14ac:dyDescent="0.15">
      <c r="A80" s="156" t="s">
        <v>2529</v>
      </c>
      <c r="B80" s="20" t="s">
        <v>1433</v>
      </c>
      <c r="C80" s="202" t="s">
        <v>2558</v>
      </c>
      <c r="D80" s="157">
        <v>17138</v>
      </c>
      <c r="E80" s="195">
        <v>0</v>
      </c>
      <c r="F80" s="194">
        <v>40000</v>
      </c>
      <c r="G80" s="185">
        <v>0.5</v>
      </c>
      <c r="H80" s="183" t="s">
        <v>2538</v>
      </c>
      <c r="I80" s="183" t="s">
        <v>2539</v>
      </c>
      <c r="J80" s="157"/>
    </row>
    <row r="81" spans="1:10" s="182" customFormat="1" ht="21.75" customHeight="1" x14ac:dyDescent="0.15">
      <c r="A81" s="156" t="s">
        <v>2529</v>
      </c>
      <c r="B81" s="20" t="s">
        <v>254</v>
      </c>
      <c r="C81" s="203" t="s">
        <v>2559</v>
      </c>
      <c r="D81" s="164">
        <v>17087</v>
      </c>
      <c r="E81" s="200">
        <v>0</v>
      </c>
      <c r="F81" s="200">
        <v>137880</v>
      </c>
      <c r="G81" s="186" t="s">
        <v>2560</v>
      </c>
      <c r="H81" s="187" t="s">
        <v>2555</v>
      </c>
      <c r="I81" s="187" t="s">
        <v>2556</v>
      </c>
      <c r="J81" s="157"/>
    </row>
    <row r="82" spans="1:10" s="182" customFormat="1" ht="21.75" customHeight="1" x14ac:dyDescent="0.15">
      <c r="A82" s="156" t="s">
        <v>2565</v>
      </c>
      <c r="B82" s="20" t="s">
        <v>1313</v>
      </c>
      <c r="C82" s="205" t="s">
        <v>2567</v>
      </c>
      <c r="D82" s="157">
        <v>17085</v>
      </c>
      <c r="E82" s="195">
        <v>0</v>
      </c>
      <c r="F82" s="194">
        <v>80055</v>
      </c>
      <c r="G82" s="185">
        <v>0.9</v>
      </c>
      <c r="H82" s="183" t="s">
        <v>2566</v>
      </c>
      <c r="I82" s="187" t="s">
        <v>2556</v>
      </c>
      <c r="J82" s="157"/>
    </row>
    <row r="83" spans="1:10" s="182" customFormat="1" ht="21.75" customHeight="1" x14ac:dyDescent="0.15">
      <c r="A83" s="156" t="s">
        <v>2564</v>
      </c>
      <c r="B83" s="20" t="s">
        <v>2568</v>
      </c>
      <c r="C83" s="30" t="s">
        <v>2571</v>
      </c>
      <c r="D83" s="157">
        <v>17029</v>
      </c>
      <c r="E83" s="195">
        <v>0</v>
      </c>
      <c r="F83" s="194">
        <v>120000</v>
      </c>
      <c r="G83" s="185">
        <v>1</v>
      </c>
      <c r="H83" s="183" t="s">
        <v>2569</v>
      </c>
      <c r="I83" s="183" t="s">
        <v>2570</v>
      </c>
      <c r="J83" s="157"/>
    </row>
    <row r="84" spans="1:10" s="182" customFormat="1" ht="21.75" customHeight="1" x14ac:dyDescent="0.15">
      <c r="A84" s="156" t="s">
        <v>2574</v>
      </c>
      <c r="B84" s="20" t="s">
        <v>1910</v>
      </c>
      <c r="C84" s="30" t="s">
        <v>2575</v>
      </c>
      <c r="D84" s="157">
        <v>17088</v>
      </c>
      <c r="E84" s="195">
        <v>0</v>
      </c>
      <c r="F84" s="194">
        <v>62010</v>
      </c>
      <c r="G84" s="185">
        <v>0.9</v>
      </c>
      <c r="H84" s="183" t="s">
        <v>2576</v>
      </c>
      <c r="I84" s="183" t="s">
        <v>2577</v>
      </c>
      <c r="J84" s="157"/>
    </row>
    <row r="85" spans="1:10" s="182" customFormat="1" ht="21.75" customHeight="1" x14ac:dyDescent="0.15">
      <c r="A85" s="156" t="s">
        <v>2574</v>
      </c>
      <c r="B85" s="20" t="s">
        <v>2578</v>
      </c>
      <c r="C85" s="30" t="s">
        <v>2580</v>
      </c>
      <c r="D85" s="157">
        <v>13031</v>
      </c>
      <c r="E85" s="195">
        <v>0</v>
      </c>
      <c r="F85" s="194">
        <v>67000</v>
      </c>
      <c r="G85" s="185">
        <v>0.1</v>
      </c>
      <c r="H85" s="183" t="s">
        <v>2579</v>
      </c>
      <c r="I85" s="183" t="s">
        <v>2581</v>
      </c>
      <c r="J85" s="157"/>
    </row>
    <row r="86" spans="1:10" s="182" customFormat="1" ht="21.75" customHeight="1" x14ac:dyDescent="0.15">
      <c r="A86" s="156" t="s">
        <v>2573</v>
      </c>
      <c r="B86" s="20" t="s">
        <v>1964</v>
      </c>
      <c r="C86" s="30" t="s">
        <v>2582</v>
      </c>
      <c r="D86" s="157">
        <v>18030</v>
      </c>
      <c r="E86" s="195">
        <v>0</v>
      </c>
      <c r="F86" s="194">
        <v>168727.4</v>
      </c>
      <c r="G86" s="185" t="s">
        <v>2583</v>
      </c>
      <c r="H86" s="183" t="s">
        <v>2584</v>
      </c>
      <c r="I86" s="183" t="s">
        <v>2585</v>
      </c>
      <c r="J86" s="157"/>
    </row>
    <row r="87" spans="1:10" s="182" customFormat="1" ht="21.75" customHeight="1" x14ac:dyDescent="0.15">
      <c r="A87" s="156" t="s">
        <v>2572</v>
      </c>
      <c r="B87" s="20" t="s">
        <v>2419</v>
      </c>
      <c r="C87" s="30" t="s">
        <v>2586</v>
      </c>
      <c r="D87" s="157">
        <v>18042</v>
      </c>
      <c r="E87" s="195">
        <v>0</v>
      </c>
      <c r="F87" s="194">
        <v>31000</v>
      </c>
      <c r="G87" s="185">
        <v>1</v>
      </c>
      <c r="H87" s="183" t="s">
        <v>2587</v>
      </c>
      <c r="I87" s="183" t="s">
        <v>2581</v>
      </c>
      <c r="J87" s="157"/>
    </row>
    <row r="88" spans="1:10" s="182" customFormat="1" ht="21.75" customHeight="1" x14ac:dyDescent="0.15">
      <c r="A88" s="156" t="s">
        <v>2588</v>
      </c>
      <c r="B88" s="20" t="s">
        <v>2589</v>
      </c>
      <c r="C88" s="30" t="s">
        <v>2590</v>
      </c>
      <c r="D88" s="157">
        <v>18048</v>
      </c>
      <c r="E88" s="194">
        <v>0</v>
      </c>
      <c r="F88" s="194">
        <v>80000</v>
      </c>
      <c r="G88" s="185">
        <v>1</v>
      </c>
      <c r="H88" s="183" t="s">
        <v>1948</v>
      </c>
      <c r="I88" s="183" t="s">
        <v>158</v>
      </c>
      <c r="J88" s="157"/>
    </row>
    <row r="89" spans="1:10" s="182" customFormat="1" ht="21.75" customHeight="1" x14ac:dyDescent="0.15">
      <c r="A89" s="156" t="s">
        <v>2588</v>
      </c>
      <c r="B89" s="20" t="s">
        <v>2250</v>
      </c>
      <c r="C89" s="199" t="s">
        <v>2591</v>
      </c>
      <c r="D89" s="178">
        <v>18002</v>
      </c>
      <c r="E89" s="195">
        <v>0</v>
      </c>
      <c r="F89" s="194">
        <v>201468</v>
      </c>
      <c r="G89" s="186">
        <v>0.3</v>
      </c>
      <c r="H89" s="187" t="s">
        <v>1172</v>
      </c>
      <c r="I89" s="183" t="s">
        <v>158</v>
      </c>
      <c r="J89" s="157"/>
    </row>
    <row r="90" spans="1:10" s="182" customFormat="1" ht="21.75" customHeight="1" x14ac:dyDescent="0.15">
      <c r="A90" s="156" t="s">
        <v>2592</v>
      </c>
      <c r="B90" s="20" t="s">
        <v>563</v>
      </c>
      <c r="C90" s="184" t="s">
        <v>83</v>
      </c>
      <c r="D90" s="178">
        <v>18017</v>
      </c>
      <c r="E90" s="195">
        <v>0</v>
      </c>
      <c r="F90" s="194">
        <v>90000</v>
      </c>
      <c r="G90" s="186">
        <v>1</v>
      </c>
      <c r="H90" s="187" t="s">
        <v>285</v>
      </c>
      <c r="I90" s="206" t="s">
        <v>2593</v>
      </c>
      <c r="J90" s="157"/>
    </row>
    <row r="91" spans="1:10" s="182" customFormat="1" ht="21.75" customHeight="1" x14ac:dyDescent="0.15">
      <c r="A91" s="156" t="s">
        <v>2594</v>
      </c>
      <c r="B91" s="20" t="s">
        <v>425</v>
      </c>
      <c r="C91" s="180" t="s">
        <v>2595</v>
      </c>
      <c r="D91" s="178">
        <v>17028</v>
      </c>
      <c r="E91" s="194">
        <v>0</v>
      </c>
      <c r="F91" s="194">
        <v>92800</v>
      </c>
      <c r="G91" s="185">
        <v>0.28999999999999998</v>
      </c>
      <c r="H91" s="183" t="s">
        <v>1147</v>
      </c>
      <c r="I91" s="183" t="s">
        <v>162</v>
      </c>
      <c r="J91" s="157"/>
    </row>
    <row r="92" spans="1:10" s="182" customFormat="1" ht="21.75" customHeight="1" x14ac:dyDescent="0.15">
      <c r="A92" s="156" t="s">
        <v>2596</v>
      </c>
      <c r="B92" s="20" t="s">
        <v>2597</v>
      </c>
      <c r="C92" s="204" t="s">
        <v>2552</v>
      </c>
      <c r="D92" s="157" t="s">
        <v>2553</v>
      </c>
      <c r="E92" s="194">
        <v>473387.5</v>
      </c>
      <c r="F92" s="194">
        <v>0</v>
      </c>
      <c r="G92" s="185" t="s">
        <v>2554</v>
      </c>
      <c r="H92" s="183" t="s">
        <v>1948</v>
      </c>
      <c r="I92" s="183" t="s">
        <v>1784</v>
      </c>
      <c r="J92" s="157" t="s">
        <v>2612</v>
      </c>
    </row>
    <row r="93" spans="1:10" s="182" customFormat="1" ht="21.75" customHeight="1" x14ac:dyDescent="0.15">
      <c r="A93" s="156" t="s">
        <v>2598</v>
      </c>
      <c r="B93" s="20" t="s">
        <v>2599</v>
      </c>
      <c r="C93" s="30" t="s">
        <v>2600</v>
      </c>
      <c r="D93" s="157" t="s">
        <v>2601</v>
      </c>
      <c r="E93" s="195">
        <v>0</v>
      </c>
      <c r="F93" s="194">
        <v>500000</v>
      </c>
      <c r="G93" s="185" t="s">
        <v>2554</v>
      </c>
      <c r="H93" s="183" t="s">
        <v>1948</v>
      </c>
      <c r="I93" s="183" t="s">
        <v>1784</v>
      </c>
      <c r="J93" s="157"/>
    </row>
    <row r="94" spans="1:10" s="182" customFormat="1" ht="21.75" customHeight="1" x14ac:dyDescent="0.15">
      <c r="A94" s="156" t="s">
        <v>2598</v>
      </c>
      <c r="B94" s="20" t="s">
        <v>2602</v>
      </c>
      <c r="C94" s="30" t="s">
        <v>1818</v>
      </c>
      <c r="D94" s="157">
        <v>18016</v>
      </c>
      <c r="E94" s="195">
        <v>0</v>
      </c>
      <c r="F94" s="194">
        <v>18000</v>
      </c>
      <c r="G94" s="185">
        <v>0.2</v>
      </c>
      <c r="H94" s="183" t="s">
        <v>285</v>
      </c>
      <c r="I94" s="183" t="s">
        <v>170</v>
      </c>
      <c r="J94" s="157"/>
    </row>
    <row r="95" spans="1:10" s="182" customFormat="1" ht="21.75" customHeight="1" x14ac:dyDescent="0.15">
      <c r="A95" s="156" t="s">
        <v>2609</v>
      </c>
      <c r="B95" s="20" t="s">
        <v>2606</v>
      </c>
      <c r="C95" s="199" t="s">
        <v>2607</v>
      </c>
      <c r="D95" s="164">
        <v>18040</v>
      </c>
      <c r="E95" s="195">
        <v>0</v>
      </c>
      <c r="F95" s="194">
        <v>205034.2</v>
      </c>
      <c r="G95" s="186" t="s">
        <v>2608</v>
      </c>
      <c r="H95" s="187" t="s">
        <v>1172</v>
      </c>
      <c r="I95" s="187" t="s">
        <v>1880</v>
      </c>
      <c r="J95" s="157"/>
    </row>
    <row r="96" spans="1:10" s="182" customFormat="1" ht="21" customHeight="1" x14ac:dyDescent="0.15">
      <c r="A96" s="156" t="s">
        <v>2603</v>
      </c>
      <c r="B96" s="20" t="s">
        <v>2604</v>
      </c>
      <c r="C96" s="199" t="s">
        <v>2605</v>
      </c>
      <c r="D96" s="157">
        <v>16083</v>
      </c>
      <c r="E96" s="195">
        <v>0</v>
      </c>
      <c r="F96" s="194">
        <v>15500</v>
      </c>
      <c r="G96" s="186">
        <v>0.1</v>
      </c>
      <c r="H96" s="187" t="s">
        <v>1162</v>
      </c>
      <c r="I96" s="187" t="s">
        <v>190</v>
      </c>
      <c r="J96" s="157"/>
    </row>
    <row r="97" spans="1:10" s="182" customFormat="1" ht="22.5" x14ac:dyDescent="0.15">
      <c r="A97" s="163" t="s">
        <v>2603</v>
      </c>
      <c r="B97" s="20" t="s">
        <v>282</v>
      </c>
      <c r="C97" s="199" t="s">
        <v>1702</v>
      </c>
      <c r="D97" s="157">
        <v>15002</v>
      </c>
      <c r="E97" s="200">
        <v>70000</v>
      </c>
      <c r="F97" s="200">
        <v>0</v>
      </c>
      <c r="G97" s="186" t="s">
        <v>2614</v>
      </c>
      <c r="H97" s="187" t="s">
        <v>2615</v>
      </c>
      <c r="I97" s="157" t="s">
        <v>2616</v>
      </c>
      <c r="J97" s="164" t="s">
        <v>2629</v>
      </c>
    </row>
    <row r="98" spans="1:10" s="182" customFormat="1" ht="22.5" x14ac:dyDescent="0.15">
      <c r="A98" s="163" t="s">
        <v>2610</v>
      </c>
      <c r="B98" s="44" t="s">
        <v>2503</v>
      </c>
      <c r="C98" s="199" t="s">
        <v>1356</v>
      </c>
      <c r="D98" s="157">
        <v>16032</v>
      </c>
      <c r="E98" s="200">
        <v>100000</v>
      </c>
      <c r="F98" s="200">
        <v>0</v>
      </c>
      <c r="G98" s="186" t="s">
        <v>2613</v>
      </c>
      <c r="H98" s="187" t="s">
        <v>1147</v>
      </c>
      <c r="I98" s="187" t="s">
        <v>190</v>
      </c>
      <c r="J98" s="164" t="s">
        <v>2630</v>
      </c>
    </row>
    <row r="99" spans="1:10" s="182" customFormat="1" ht="21.75" customHeight="1" x14ac:dyDescent="0.15">
      <c r="A99" s="156" t="s">
        <v>2617</v>
      </c>
      <c r="B99" s="20" t="s">
        <v>2016</v>
      </c>
      <c r="C99" s="199" t="s">
        <v>2017</v>
      </c>
      <c r="D99" s="157">
        <v>17024</v>
      </c>
      <c r="E99" s="195">
        <v>0</v>
      </c>
      <c r="F99" s="194">
        <v>221220</v>
      </c>
      <c r="G99" s="186">
        <v>0.9</v>
      </c>
      <c r="H99" s="187" t="s">
        <v>2618</v>
      </c>
      <c r="I99" s="187" t="s">
        <v>1880</v>
      </c>
      <c r="J99" s="157"/>
    </row>
    <row r="100" spans="1:10" s="182" customFormat="1" ht="21.75" customHeight="1" x14ac:dyDescent="0.15">
      <c r="A100" s="156" t="s">
        <v>2619</v>
      </c>
      <c r="B100" s="20" t="s">
        <v>2620</v>
      </c>
      <c r="C100" s="30" t="s">
        <v>2621</v>
      </c>
      <c r="D100" s="157">
        <v>15016</v>
      </c>
      <c r="E100" s="194">
        <v>0</v>
      </c>
      <c r="F100" s="194">
        <v>100000</v>
      </c>
      <c r="G100" s="185" t="s">
        <v>2622</v>
      </c>
      <c r="H100" s="183" t="s">
        <v>1414</v>
      </c>
      <c r="I100" s="183" t="s">
        <v>2627</v>
      </c>
      <c r="J100" s="157"/>
    </row>
    <row r="101" spans="1:10" s="182" customFormat="1" ht="22.5" x14ac:dyDescent="0.15">
      <c r="A101" s="156" t="s">
        <v>2619</v>
      </c>
      <c r="B101" s="20" t="s">
        <v>282</v>
      </c>
      <c r="C101" s="30" t="s">
        <v>2628</v>
      </c>
      <c r="D101" s="157">
        <v>15002</v>
      </c>
      <c r="E101" s="195">
        <v>100000</v>
      </c>
      <c r="F101" s="194">
        <v>0</v>
      </c>
      <c r="G101" s="185" t="s">
        <v>2631</v>
      </c>
      <c r="H101" s="183" t="s">
        <v>1414</v>
      </c>
      <c r="I101" s="183" t="s">
        <v>158</v>
      </c>
      <c r="J101" s="164" t="s">
        <v>2632</v>
      </c>
    </row>
    <row r="102" spans="1:10" s="182" customFormat="1" ht="21.75" customHeight="1" x14ac:dyDescent="0.15">
      <c r="A102" s="156" t="s">
        <v>2623</v>
      </c>
      <c r="B102" s="20" t="s">
        <v>359</v>
      </c>
      <c r="C102" s="207" t="s">
        <v>1</v>
      </c>
      <c r="D102" s="178">
        <v>18011</v>
      </c>
      <c r="E102" s="194">
        <v>0</v>
      </c>
      <c r="F102" s="194">
        <v>75000</v>
      </c>
      <c r="G102" s="185">
        <v>0.5</v>
      </c>
      <c r="H102" s="183" t="s">
        <v>285</v>
      </c>
      <c r="I102" s="183" t="s">
        <v>1784</v>
      </c>
      <c r="J102" s="208" t="s">
        <v>2625</v>
      </c>
    </row>
    <row r="103" spans="1:10" s="182" customFormat="1" ht="21.75" customHeight="1" x14ac:dyDescent="0.15">
      <c r="A103" s="156" t="s">
        <v>2623</v>
      </c>
      <c r="B103" s="20" t="s">
        <v>515</v>
      </c>
      <c r="C103" s="207" t="s">
        <v>13</v>
      </c>
      <c r="D103" s="178">
        <v>18012</v>
      </c>
      <c r="E103" s="194">
        <v>0</v>
      </c>
      <c r="F103" s="194">
        <v>75000</v>
      </c>
      <c r="G103" s="185">
        <v>0.5</v>
      </c>
      <c r="H103" s="183" t="s">
        <v>285</v>
      </c>
      <c r="I103" s="183" t="s">
        <v>1784</v>
      </c>
      <c r="J103" s="208" t="s">
        <v>2626</v>
      </c>
    </row>
    <row r="104" spans="1:10" s="182" customFormat="1" ht="21.75" customHeight="1" x14ac:dyDescent="0.15">
      <c r="A104" s="156" t="s">
        <v>2623</v>
      </c>
      <c r="B104" s="20" t="s">
        <v>331</v>
      </c>
      <c r="C104" s="30" t="s">
        <v>2054</v>
      </c>
      <c r="D104" s="157">
        <v>18010</v>
      </c>
      <c r="E104" s="194">
        <v>0</v>
      </c>
      <c r="F104" s="194">
        <v>75000</v>
      </c>
      <c r="G104" s="185">
        <v>0.5</v>
      </c>
      <c r="H104" s="183" t="s">
        <v>285</v>
      </c>
      <c r="I104" s="183" t="s">
        <v>1784</v>
      </c>
      <c r="J104" s="157"/>
    </row>
    <row r="105" spans="1:10" s="182" customFormat="1" ht="21.75" customHeight="1" x14ac:dyDescent="0.15">
      <c r="A105" s="156" t="s">
        <v>2623</v>
      </c>
      <c r="B105" s="20" t="s">
        <v>1313</v>
      </c>
      <c r="C105" s="30" t="s">
        <v>2108</v>
      </c>
      <c r="D105" s="157">
        <v>18009</v>
      </c>
      <c r="E105" s="194">
        <v>0</v>
      </c>
      <c r="F105" s="194">
        <v>75000</v>
      </c>
      <c r="G105" s="185">
        <v>0.5</v>
      </c>
      <c r="H105" s="183" t="s">
        <v>285</v>
      </c>
      <c r="I105" s="183" t="s">
        <v>1784</v>
      </c>
      <c r="J105" s="157"/>
    </row>
    <row r="106" spans="1:10" s="182" customFormat="1" ht="21.75" customHeight="1" x14ac:dyDescent="0.15">
      <c r="A106" s="156" t="s">
        <v>2624</v>
      </c>
      <c r="B106" s="20" t="s">
        <v>3</v>
      </c>
      <c r="C106" s="30" t="s">
        <v>163</v>
      </c>
      <c r="D106" s="157">
        <v>18007</v>
      </c>
      <c r="E106" s="194">
        <v>0</v>
      </c>
      <c r="F106" s="194">
        <v>75000</v>
      </c>
      <c r="G106" s="185">
        <v>0.5</v>
      </c>
      <c r="H106" s="183" t="s">
        <v>285</v>
      </c>
      <c r="I106" s="183" t="s">
        <v>1784</v>
      </c>
      <c r="J106" s="157"/>
    </row>
    <row r="107" spans="1:10" s="182" customFormat="1" ht="21.75" customHeight="1" x14ac:dyDescent="0.15">
      <c r="A107" s="156" t="s">
        <v>2624</v>
      </c>
      <c r="B107" s="20" t="s">
        <v>3</v>
      </c>
      <c r="C107" s="30" t="s">
        <v>164</v>
      </c>
      <c r="D107" s="157">
        <v>18008</v>
      </c>
      <c r="E107" s="194">
        <v>0</v>
      </c>
      <c r="F107" s="194">
        <v>75000</v>
      </c>
      <c r="G107" s="185">
        <v>0.5</v>
      </c>
      <c r="H107" s="183" t="s">
        <v>285</v>
      </c>
      <c r="I107" s="183" t="s">
        <v>1784</v>
      </c>
      <c r="J107" s="157"/>
    </row>
    <row r="108" spans="1:10" s="182" customFormat="1" ht="21.75" customHeight="1" x14ac:dyDescent="0.15">
      <c r="A108" s="156" t="s">
        <v>2624</v>
      </c>
      <c r="B108" s="20" t="s">
        <v>184</v>
      </c>
      <c r="C108" s="30" t="s">
        <v>1370</v>
      </c>
      <c r="D108" s="157">
        <v>16052</v>
      </c>
      <c r="E108" s="194">
        <v>0</v>
      </c>
      <c r="F108" s="194">
        <v>3150</v>
      </c>
      <c r="G108" s="185">
        <v>0.05</v>
      </c>
      <c r="H108" s="183" t="s">
        <v>1143</v>
      </c>
      <c r="I108" s="183" t="s">
        <v>2627</v>
      </c>
      <c r="J108" s="157"/>
    </row>
    <row r="109" spans="1:10" s="182" customFormat="1" ht="21.75" customHeight="1" x14ac:dyDescent="0.15">
      <c r="A109" s="156" t="s">
        <v>2633</v>
      </c>
      <c r="B109" s="20" t="s">
        <v>2016</v>
      </c>
      <c r="C109" s="30" t="s">
        <v>2634</v>
      </c>
      <c r="D109" s="157">
        <v>17023</v>
      </c>
      <c r="E109" s="195">
        <v>0</v>
      </c>
      <c r="F109" s="194">
        <v>221220</v>
      </c>
      <c r="G109" s="185">
        <v>0.9</v>
      </c>
      <c r="H109" s="183" t="s">
        <v>2618</v>
      </c>
      <c r="I109" s="183" t="s">
        <v>1880</v>
      </c>
      <c r="J109" s="157"/>
    </row>
    <row r="110" spans="1:10" s="182" customFormat="1" ht="21.75" customHeight="1" x14ac:dyDescent="0.15">
      <c r="A110" s="156" t="s">
        <v>2635</v>
      </c>
      <c r="B110" s="20" t="s">
        <v>2568</v>
      </c>
      <c r="C110" s="30" t="s">
        <v>2636</v>
      </c>
      <c r="D110" s="157">
        <v>18015</v>
      </c>
      <c r="E110" s="195">
        <v>0</v>
      </c>
      <c r="F110" s="194">
        <v>90000</v>
      </c>
      <c r="G110" s="185">
        <v>1</v>
      </c>
      <c r="H110" s="183" t="s">
        <v>1948</v>
      </c>
      <c r="I110" s="183" t="s">
        <v>1880</v>
      </c>
      <c r="J110" s="157"/>
    </row>
    <row r="111" spans="1:10" s="182" customFormat="1" ht="21.75" customHeight="1" x14ac:dyDescent="0.15">
      <c r="A111" s="156" t="s">
        <v>2635</v>
      </c>
      <c r="B111" s="20" t="s">
        <v>269</v>
      </c>
      <c r="C111" s="30" t="s">
        <v>1228</v>
      </c>
      <c r="D111" s="157">
        <v>17012</v>
      </c>
      <c r="E111" s="195">
        <v>0</v>
      </c>
      <c r="F111" s="194">
        <v>120000</v>
      </c>
      <c r="G111" s="185">
        <v>0.75</v>
      </c>
      <c r="H111" s="183" t="s">
        <v>285</v>
      </c>
      <c r="I111" s="183" t="s">
        <v>1784</v>
      </c>
      <c r="J111" s="157"/>
    </row>
    <row r="112" spans="1:10" s="182" customFormat="1" ht="21.75" customHeight="1" x14ac:dyDescent="0.15">
      <c r="A112" s="156" t="s">
        <v>2637</v>
      </c>
      <c r="B112" s="20" t="s">
        <v>358</v>
      </c>
      <c r="C112" s="30" t="s">
        <v>2638</v>
      </c>
      <c r="D112" s="157">
        <v>17131</v>
      </c>
      <c r="E112" s="195">
        <v>0</v>
      </c>
      <c r="F112" s="194">
        <v>80000</v>
      </c>
      <c r="G112" s="185">
        <v>1</v>
      </c>
      <c r="H112" s="183" t="s">
        <v>1948</v>
      </c>
      <c r="I112" s="183" t="s">
        <v>1784</v>
      </c>
      <c r="J112" s="157"/>
    </row>
    <row r="113" spans="1:10" s="182" customFormat="1" ht="21.75" customHeight="1" x14ac:dyDescent="0.15">
      <c r="A113" s="156" t="s">
        <v>2637</v>
      </c>
      <c r="B113" s="20" t="s">
        <v>358</v>
      </c>
      <c r="C113" s="30" t="s">
        <v>1191</v>
      </c>
      <c r="D113" s="157">
        <v>17011</v>
      </c>
      <c r="E113" s="209">
        <v>0</v>
      </c>
      <c r="F113" s="194">
        <v>80000</v>
      </c>
      <c r="G113" s="185">
        <v>0.5</v>
      </c>
      <c r="H113" s="183" t="s">
        <v>285</v>
      </c>
      <c r="I113" s="183" t="s">
        <v>1784</v>
      </c>
      <c r="J113" s="157"/>
    </row>
    <row r="114" spans="1:10" s="182" customFormat="1" ht="21.75" customHeight="1" x14ac:dyDescent="0.15">
      <c r="A114" s="156" t="s">
        <v>2637</v>
      </c>
      <c r="B114" s="20" t="s">
        <v>1129</v>
      </c>
      <c r="C114" s="30" t="s">
        <v>1864</v>
      </c>
      <c r="D114" s="157">
        <v>16055</v>
      </c>
      <c r="E114" s="209">
        <v>0</v>
      </c>
      <c r="F114" s="194">
        <v>4900</v>
      </c>
      <c r="G114" s="185">
        <v>0.05</v>
      </c>
      <c r="H114" s="183" t="s">
        <v>1143</v>
      </c>
      <c r="I114" s="187" t="s">
        <v>1617</v>
      </c>
      <c r="J114" s="157"/>
    </row>
    <row r="115" spans="1:10" s="182" customFormat="1" ht="21.75" customHeight="1" x14ac:dyDescent="0.15">
      <c r="A115" s="156" t="s">
        <v>2639</v>
      </c>
      <c r="B115" s="20" t="s">
        <v>359</v>
      </c>
      <c r="C115" s="30" t="s">
        <v>2057</v>
      </c>
      <c r="D115" s="157">
        <v>17077</v>
      </c>
      <c r="E115" s="209">
        <v>0</v>
      </c>
      <c r="F115" s="194">
        <v>75000</v>
      </c>
      <c r="G115" s="185">
        <v>0.5</v>
      </c>
      <c r="H115" s="183" t="s">
        <v>285</v>
      </c>
      <c r="I115" s="183" t="s">
        <v>1784</v>
      </c>
      <c r="J115" s="157" t="s">
        <v>180</v>
      </c>
    </row>
    <row r="116" spans="1:10" s="182" customFormat="1" ht="21.75" customHeight="1" x14ac:dyDescent="0.15">
      <c r="A116" s="156" t="s">
        <v>2639</v>
      </c>
      <c r="B116" s="20" t="s">
        <v>515</v>
      </c>
      <c r="C116" s="30" t="s">
        <v>275</v>
      </c>
      <c r="D116" s="157">
        <v>17091</v>
      </c>
      <c r="E116" s="209">
        <v>0</v>
      </c>
      <c r="F116" s="194">
        <v>80055</v>
      </c>
      <c r="G116" s="185">
        <v>0.9</v>
      </c>
      <c r="H116" s="183" t="s">
        <v>1147</v>
      </c>
      <c r="I116" s="183" t="s">
        <v>1784</v>
      </c>
      <c r="J116" s="157" t="s">
        <v>179</v>
      </c>
    </row>
    <row r="117" spans="1:10" s="182" customFormat="1" ht="21.75" customHeight="1" x14ac:dyDescent="0.15">
      <c r="A117" s="156" t="s">
        <v>2639</v>
      </c>
      <c r="B117" s="20" t="s">
        <v>515</v>
      </c>
      <c r="C117" s="30" t="s">
        <v>275</v>
      </c>
      <c r="D117" s="157">
        <v>18033</v>
      </c>
      <c r="E117" s="209">
        <v>0</v>
      </c>
      <c r="F117" s="194">
        <v>26323.07</v>
      </c>
      <c r="G117" s="185" t="s">
        <v>2608</v>
      </c>
      <c r="H117" s="183" t="s">
        <v>1147</v>
      </c>
      <c r="I117" s="183" t="s">
        <v>1784</v>
      </c>
      <c r="J117" s="157" t="s">
        <v>2640</v>
      </c>
    </row>
    <row r="118" spans="1:10" s="182" customFormat="1" ht="21.75" customHeight="1" x14ac:dyDescent="0.15">
      <c r="A118" s="156" t="s">
        <v>2639</v>
      </c>
      <c r="B118" s="20" t="s">
        <v>515</v>
      </c>
      <c r="C118" s="30" t="s">
        <v>275</v>
      </c>
      <c r="D118" s="157">
        <v>17079</v>
      </c>
      <c r="E118" s="209">
        <v>0</v>
      </c>
      <c r="F118" s="194">
        <v>75000</v>
      </c>
      <c r="G118" s="185">
        <v>0.5</v>
      </c>
      <c r="H118" s="183" t="s">
        <v>285</v>
      </c>
      <c r="I118" s="183" t="s">
        <v>1784</v>
      </c>
      <c r="J118" s="157" t="s">
        <v>179</v>
      </c>
    </row>
    <row r="119" spans="1:10" s="182" customFormat="1" ht="21.75" customHeight="1" x14ac:dyDescent="0.15">
      <c r="A119" s="156" t="s">
        <v>2639</v>
      </c>
      <c r="B119" s="20" t="s">
        <v>515</v>
      </c>
      <c r="C119" s="30" t="s">
        <v>1</v>
      </c>
      <c r="D119" s="157">
        <v>17133</v>
      </c>
      <c r="E119" s="209">
        <v>0</v>
      </c>
      <c r="F119" s="194">
        <v>26055.39</v>
      </c>
      <c r="G119" s="185" t="s">
        <v>2608</v>
      </c>
      <c r="H119" s="183" t="s">
        <v>1172</v>
      </c>
      <c r="I119" s="183" t="s">
        <v>1784</v>
      </c>
      <c r="J119" s="157" t="s">
        <v>180</v>
      </c>
    </row>
    <row r="120" spans="1:10" s="212" customFormat="1" ht="21.75" customHeight="1" x14ac:dyDescent="0.15">
      <c r="A120" s="163" t="s">
        <v>2641</v>
      </c>
      <c r="B120" s="44" t="s">
        <v>2642</v>
      </c>
      <c r="C120" s="199" t="s">
        <v>1574</v>
      </c>
      <c r="D120" s="164">
        <v>18060</v>
      </c>
      <c r="E120" s="211">
        <v>0</v>
      </c>
      <c r="F120" s="200">
        <v>150000</v>
      </c>
      <c r="G120" s="186">
        <v>1</v>
      </c>
      <c r="H120" s="187" t="s">
        <v>1948</v>
      </c>
      <c r="I120" s="187" t="s">
        <v>1880</v>
      </c>
      <c r="J120" s="164"/>
    </row>
    <row r="121" spans="1:10" s="212" customFormat="1" ht="21.75" customHeight="1" x14ac:dyDescent="0.15">
      <c r="A121" s="163" t="s">
        <v>2641</v>
      </c>
      <c r="B121" s="44" t="s">
        <v>343</v>
      </c>
      <c r="C121" s="199" t="s">
        <v>2661</v>
      </c>
      <c r="D121" s="164" t="s">
        <v>2664</v>
      </c>
      <c r="E121" s="211">
        <v>0</v>
      </c>
      <c r="F121" s="200">
        <v>150000</v>
      </c>
      <c r="G121" s="186">
        <v>1</v>
      </c>
      <c r="H121" s="187" t="s">
        <v>1948</v>
      </c>
      <c r="I121" s="187" t="s">
        <v>1880</v>
      </c>
      <c r="J121" s="164"/>
    </row>
    <row r="122" spans="1:10" s="212" customFormat="1" ht="21.75" customHeight="1" x14ac:dyDescent="0.15">
      <c r="A122" s="163" t="s">
        <v>2641</v>
      </c>
      <c r="B122" s="44" t="s">
        <v>343</v>
      </c>
      <c r="C122" s="199" t="s">
        <v>2662</v>
      </c>
      <c r="D122" s="164" t="s">
        <v>2665</v>
      </c>
      <c r="E122" s="211">
        <v>0</v>
      </c>
      <c r="F122" s="200">
        <v>150000</v>
      </c>
      <c r="G122" s="186">
        <v>1</v>
      </c>
      <c r="H122" s="187" t="s">
        <v>1948</v>
      </c>
      <c r="I122" s="187" t="s">
        <v>1880</v>
      </c>
      <c r="J122" s="164"/>
    </row>
    <row r="123" spans="1:10" s="212" customFormat="1" ht="21.75" customHeight="1" x14ac:dyDescent="0.15">
      <c r="A123" s="163" t="s">
        <v>2641</v>
      </c>
      <c r="B123" s="44" t="s">
        <v>343</v>
      </c>
      <c r="C123" s="199" t="s">
        <v>2663</v>
      </c>
      <c r="D123" s="164" t="s">
        <v>2666</v>
      </c>
      <c r="E123" s="211">
        <v>0</v>
      </c>
      <c r="F123" s="200">
        <v>150000</v>
      </c>
      <c r="G123" s="186">
        <v>1</v>
      </c>
      <c r="H123" s="187" t="s">
        <v>1948</v>
      </c>
      <c r="I123" s="187" t="s">
        <v>1880</v>
      </c>
      <c r="J123" s="164"/>
    </row>
    <row r="124" spans="1:10" s="221" customFormat="1" ht="21.75" customHeight="1" x14ac:dyDescent="0.15">
      <c r="A124" s="213" t="s">
        <v>2649</v>
      </c>
      <c r="B124" s="214" t="s">
        <v>2078</v>
      </c>
      <c r="C124" s="215" t="s">
        <v>478</v>
      </c>
      <c r="D124" s="216">
        <v>14009</v>
      </c>
      <c r="E124" s="217">
        <v>0</v>
      </c>
      <c r="F124" s="218">
        <v>150000</v>
      </c>
      <c r="G124" s="219" t="s">
        <v>2613</v>
      </c>
      <c r="H124" s="220" t="s">
        <v>285</v>
      </c>
      <c r="I124" s="220" t="s">
        <v>2650</v>
      </c>
      <c r="J124" s="216"/>
    </row>
    <row r="125" spans="1:10" s="212" customFormat="1" ht="21.75" customHeight="1" x14ac:dyDescent="0.15">
      <c r="A125" s="163" t="s">
        <v>2641</v>
      </c>
      <c r="B125" s="44" t="s">
        <v>342</v>
      </c>
      <c r="C125" s="199" t="s">
        <v>1625</v>
      </c>
      <c r="D125" s="164">
        <v>18065</v>
      </c>
      <c r="E125" s="211">
        <v>0</v>
      </c>
      <c r="F125" s="200">
        <v>150000</v>
      </c>
      <c r="G125" s="186">
        <v>1</v>
      </c>
      <c r="H125" s="187" t="s">
        <v>1948</v>
      </c>
      <c r="I125" s="187" t="s">
        <v>1880</v>
      </c>
      <c r="J125" s="164"/>
    </row>
    <row r="126" spans="1:10" s="212" customFormat="1" ht="21.75" customHeight="1" x14ac:dyDescent="0.15">
      <c r="A126" s="163" t="s">
        <v>2643</v>
      </c>
      <c r="B126" s="44" t="s">
        <v>2644</v>
      </c>
      <c r="C126" s="199" t="s">
        <v>1606</v>
      </c>
      <c r="D126" s="164">
        <v>18064</v>
      </c>
      <c r="E126" s="211">
        <v>0</v>
      </c>
      <c r="F126" s="200">
        <v>150000</v>
      </c>
      <c r="G126" s="186">
        <v>1</v>
      </c>
      <c r="H126" s="187" t="s">
        <v>1948</v>
      </c>
      <c r="I126" s="187" t="s">
        <v>1880</v>
      </c>
      <c r="J126" s="164"/>
    </row>
    <row r="127" spans="1:10" s="212" customFormat="1" ht="21.75" customHeight="1" x14ac:dyDescent="0.15">
      <c r="A127" s="163" t="s">
        <v>2643</v>
      </c>
      <c r="B127" s="44" t="s">
        <v>482</v>
      </c>
      <c r="C127" s="199" t="s">
        <v>1597</v>
      </c>
      <c r="D127" s="164">
        <v>18067</v>
      </c>
      <c r="E127" s="211">
        <v>0</v>
      </c>
      <c r="F127" s="200">
        <v>150000</v>
      </c>
      <c r="G127" s="186">
        <v>1</v>
      </c>
      <c r="H127" s="187" t="s">
        <v>1948</v>
      </c>
      <c r="I127" s="187" t="s">
        <v>1880</v>
      </c>
      <c r="J127" s="164"/>
    </row>
    <row r="128" spans="1:10" s="212" customFormat="1" ht="21.75" customHeight="1" x14ac:dyDescent="0.15">
      <c r="A128" s="163" t="s">
        <v>2643</v>
      </c>
      <c r="B128" s="44" t="s">
        <v>489</v>
      </c>
      <c r="C128" s="199" t="s">
        <v>175</v>
      </c>
      <c r="D128" s="164">
        <v>18066</v>
      </c>
      <c r="E128" s="211">
        <v>0</v>
      </c>
      <c r="F128" s="200">
        <v>150000</v>
      </c>
      <c r="G128" s="186">
        <v>1</v>
      </c>
      <c r="H128" s="187" t="s">
        <v>1948</v>
      </c>
      <c r="I128" s="187" t="s">
        <v>1880</v>
      </c>
      <c r="J128" s="164"/>
    </row>
    <row r="129" spans="1:10" s="212" customFormat="1" ht="21.75" customHeight="1" x14ac:dyDescent="0.15">
      <c r="A129" s="163" t="s">
        <v>2643</v>
      </c>
      <c r="B129" s="44" t="s">
        <v>490</v>
      </c>
      <c r="C129" s="199" t="s">
        <v>25</v>
      </c>
      <c r="D129" s="164">
        <v>18061</v>
      </c>
      <c r="E129" s="211">
        <v>0</v>
      </c>
      <c r="F129" s="200">
        <v>150000</v>
      </c>
      <c r="G129" s="186">
        <v>1</v>
      </c>
      <c r="H129" s="187" t="s">
        <v>1948</v>
      </c>
      <c r="I129" s="187" t="s">
        <v>1880</v>
      </c>
      <c r="J129" s="164"/>
    </row>
    <row r="130" spans="1:10" s="212" customFormat="1" ht="21.75" customHeight="1" x14ac:dyDescent="0.15">
      <c r="A130" s="163" t="s">
        <v>2643</v>
      </c>
      <c r="B130" s="44" t="s">
        <v>340</v>
      </c>
      <c r="C130" s="199" t="s">
        <v>341</v>
      </c>
      <c r="D130" s="164">
        <v>18058</v>
      </c>
      <c r="E130" s="211">
        <v>0</v>
      </c>
      <c r="F130" s="200">
        <v>150000</v>
      </c>
      <c r="G130" s="186">
        <v>1</v>
      </c>
      <c r="H130" s="187" t="s">
        <v>1948</v>
      </c>
      <c r="I130" s="187" t="s">
        <v>1880</v>
      </c>
      <c r="J130" s="164"/>
    </row>
    <row r="131" spans="1:10" s="212" customFormat="1" ht="21.75" customHeight="1" x14ac:dyDescent="0.15">
      <c r="A131" s="163" t="s">
        <v>2645</v>
      </c>
      <c r="B131" s="44" t="s">
        <v>2646</v>
      </c>
      <c r="C131" s="199" t="s">
        <v>1639</v>
      </c>
      <c r="D131" s="164">
        <v>18059</v>
      </c>
      <c r="E131" s="211">
        <v>0</v>
      </c>
      <c r="F131" s="200">
        <v>150000</v>
      </c>
      <c r="G131" s="186">
        <v>1</v>
      </c>
      <c r="H131" s="187" t="s">
        <v>1948</v>
      </c>
      <c r="I131" s="187" t="s">
        <v>1880</v>
      </c>
      <c r="J131" s="164"/>
    </row>
    <row r="132" spans="1:10" s="212" customFormat="1" ht="21.75" customHeight="1" x14ac:dyDescent="0.15">
      <c r="A132" s="163" t="s">
        <v>2645</v>
      </c>
      <c r="B132" s="44" t="s">
        <v>2647</v>
      </c>
      <c r="C132" s="199" t="s">
        <v>1623</v>
      </c>
      <c r="D132" s="164">
        <v>18057</v>
      </c>
      <c r="E132" s="211">
        <v>0</v>
      </c>
      <c r="F132" s="200">
        <v>150000</v>
      </c>
      <c r="G132" s="186">
        <v>1</v>
      </c>
      <c r="H132" s="187" t="s">
        <v>1948</v>
      </c>
      <c r="I132" s="187" t="s">
        <v>1880</v>
      </c>
      <c r="J132" s="164"/>
    </row>
    <row r="133" spans="1:10" s="182" customFormat="1" ht="21.75" customHeight="1" x14ac:dyDescent="0.15">
      <c r="A133" s="156" t="s">
        <v>2645</v>
      </c>
      <c r="B133" s="20" t="s">
        <v>2503</v>
      </c>
      <c r="C133" s="30" t="s">
        <v>1356</v>
      </c>
      <c r="D133" s="157">
        <v>16032</v>
      </c>
      <c r="E133" s="210">
        <v>0</v>
      </c>
      <c r="F133" s="194">
        <v>40000</v>
      </c>
      <c r="G133" s="185" t="s">
        <v>2648</v>
      </c>
      <c r="H133" s="183" t="s">
        <v>1147</v>
      </c>
      <c r="I133" s="183" t="s">
        <v>190</v>
      </c>
      <c r="J133" s="157" t="s">
        <v>1353</v>
      </c>
    </row>
    <row r="134" spans="1:10" s="182" customFormat="1" ht="21.75" customHeight="1" x14ac:dyDescent="0.15">
      <c r="A134" s="156" t="s">
        <v>2645</v>
      </c>
      <c r="B134" s="20" t="s">
        <v>1129</v>
      </c>
      <c r="C134" s="30" t="s">
        <v>1864</v>
      </c>
      <c r="D134" s="157">
        <v>17035</v>
      </c>
      <c r="E134" s="210">
        <v>0</v>
      </c>
      <c r="F134" s="194">
        <v>93100</v>
      </c>
      <c r="G134" s="185">
        <v>0.95</v>
      </c>
      <c r="H134" s="183" t="s">
        <v>285</v>
      </c>
      <c r="I134" s="183" t="s">
        <v>1617</v>
      </c>
      <c r="J134" s="157"/>
    </row>
    <row r="135" spans="1:10" s="212" customFormat="1" ht="21.75" customHeight="1" x14ac:dyDescent="0.15">
      <c r="A135" s="163" t="s">
        <v>2645</v>
      </c>
      <c r="B135" s="44" t="s">
        <v>488</v>
      </c>
      <c r="C135" s="199" t="s">
        <v>1614</v>
      </c>
      <c r="D135" s="164">
        <v>18062</v>
      </c>
      <c r="E135" s="211">
        <v>0</v>
      </c>
      <c r="F135" s="200">
        <v>150000</v>
      </c>
      <c r="G135" s="186">
        <v>1</v>
      </c>
      <c r="H135" s="187" t="s">
        <v>1948</v>
      </c>
      <c r="I135" s="187" t="s">
        <v>1880</v>
      </c>
      <c r="J135" s="164"/>
    </row>
    <row r="136" spans="1:10" s="212" customFormat="1" ht="21.75" customHeight="1" x14ac:dyDescent="0.15">
      <c r="A136" s="163" t="s">
        <v>2651</v>
      </c>
      <c r="B136" s="44" t="s">
        <v>2654</v>
      </c>
      <c r="C136" s="199" t="s">
        <v>2653</v>
      </c>
      <c r="D136" s="164">
        <v>17027</v>
      </c>
      <c r="E136" s="211">
        <v>0</v>
      </c>
      <c r="F136" s="200">
        <v>245000</v>
      </c>
      <c r="G136" s="222">
        <v>0.89859999999999995</v>
      </c>
      <c r="H136" s="187" t="s">
        <v>1147</v>
      </c>
      <c r="I136" s="187" t="s">
        <v>170</v>
      </c>
      <c r="J136" s="164"/>
    </row>
    <row r="137" spans="1:10" s="182" customFormat="1" ht="21.75" customHeight="1" x14ac:dyDescent="0.15">
      <c r="A137" s="163" t="s">
        <v>2651</v>
      </c>
      <c r="B137" s="44" t="s">
        <v>2652</v>
      </c>
      <c r="C137" s="199" t="s">
        <v>2653</v>
      </c>
      <c r="D137" s="164">
        <v>17027</v>
      </c>
      <c r="E137" s="209">
        <v>0</v>
      </c>
      <c r="F137" s="194">
        <v>384.61</v>
      </c>
      <c r="G137" s="222">
        <v>1.4E-3</v>
      </c>
      <c r="H137" s="187" t="s">
        <v>1147</v>
      </c>
      <c r="I137" s="183" t="s">
        <v>170</v>
      </c>
      <c r="J137" s="157"/>
    </row>
    <row r="138" spans="1:10" s="182" customFormat="1" ht="21.75" customHeight="1" x14ac:dyDescent="0.15">
      <c r="A138" s="156" t="s">
        <v>2651</v>
      </c>
      <c r="B138" s="20" t="s">
        <v>174</v>
      </c>
      <c r="C138" s="30" t="s">
        <v>1656</v>
      </c>
      <c r="D138" s="157">
        <v>18063</v>
      </c>
      <c r="E138" s="209">
        <v>0</v>
      </c>
      <c r="F138" s="194">
        <v>150000</v>
      </c>
      <c r="G138" s="185">
        <v>1</v>
      </c>
      <c r="H138" s="183" t="s">
        <v>1948</v>
      </c>
      <c r="I138" s="187" t="s">
        <v>1880</v>
      </c>
      <c r="J138" s="157"/>
    </row>
    <row r="139" spans="1:10" s="182" customFormat="1" ht="21.75" customHeight="1" x14ac:dyDescent="0.15">
      <c r="A139" s="156" t="s">
        <v>2655</v>
      </c>
      <c r="B139" s="20" t="s">
        <v>2019</v>
      </c>
      <c r="C139" s="30" t="s">
        <v>255</v>
      </c>
      <c r="D139" s="157">
        <v>17152</v>
      </c>
      <c r="E139" s="209">
        <v>0</v>
      </c>
      <c r="F139" s="194">
        <v>70000</v>
      </c>
      <c r="G139" s="185">
        <v>1</v>
      </c>
      <c r="H139" s="183" t="s">
        <v>1948</v>
      </c>
      <c r="I139" s="187" t="s">
        <v>1880</v>
      </c>
      <c r="J139" s="157"/>
    </row>
    <row r="140" spans="1:10" s="182" customFormat="1" ht="21.75" customHeight="1" x14ac:dyDescent="0.15">
      <c r="A140" s="156" t="s">
        <v>2656</v>
      </c>
      <c r="B140" s="20" t="s">
        <v>201</v>
      </c>
      <c r="C140" s="30" t="s">
        <v>2659</v>
      </c>
      <c r="D140" s="157" t="s">
        <v>2657</v>
      </c>
      <c r="E140" s="209">
        <v>0</v>
      </c>
      <c r="F140" s="194">
        <v>447750</v>
      </c>
      <c r="G140" s="185">
        <v>0.15</v>
      </c>
      <c r="H140" s="183" t="s">
        <v>1162</v>
      </c>
      <c r="I140" s="183" t="s">
        <v>2660</v>
      </c>
      <c r="J140" s="157"/>
    </row>
    <row r="141" spans="1:10" s="182" customFormat="1" ht="21.75" customHeight="1" x14ac:dyDescent="0.15">
      <c r="A141" s="156" t="s">
        <v>2656</v>
      </c>
      <c r="B141" s="20" t="s">
        <v>201</v>
      </c>
      <c r="C141" s="30" t="s">
        <v>2659</v>
      </c>
      <c r="D141" s="157" t="s">
        <v>2658</v>
      </c>
      <c r="E141" s="209">
        <v>0</v>
      </c>
      <c r="F141" s="194">
        <v>509250</v>
      </c>
      <c r="G141" s="185">
        <v>0.15</v>
      </c>
      <c r="H141" s="183" t="s">
        <v>1162</v>
      </c>
      <c r="I141" s="183" t="s">
        <v>2660</v>
      </c>
      <c r="J141" s="157"/>
    </row>
    <row r="142" spans="1:10" s="182" customFormat="1" ht="38.25" customHeight="1" x14ac:dyDescent="0.15">
      <c r="A142" s="156" t="s">
        <v>2667</v>
      </c>
      <c r="B142" s="20" t="s">
        <v>282</v>
      </c>
      <c r="C142" s="30" t="s">
        <v>2628</v>
      </c>
      <c r="D142" s="157">
        <v>15002</v>
      </c>
      <c r="E142" s="209">
        <v>69924</v>
      </c>
      <c r="F142" s="194">
        <v>0</v>
      </c>
      <c r="G142" s="185" t="s">
        <v>2668</v>
      </c>
      <c r="H142" s="183" t="s">
        <v>1475</v>
      </c>
      <c r="I142" s="183" t="s">
        <v>158</v>
      </c>
      <c r="J142" s="164" t="s">
        <v>2671</v>
      </c>
    </row>
    <row r="143" spans="1:10" s="182" customFormat="1" ht="39.75" customHeight="1" x14ac:dyDescent="0.15">
      <c r="A143" s="156" t="s">
        <v>2667</v>
      </c>
      <c r="B143" s="20" t="s">
        <v>282</v>
      </c>
      <c r="C143" s="30" t="s">
        <v>2670</v>
      </c>
      <c r="D143" s="157">
        <v>15002</v>
      </c>
      <c r="E143" s="209">
        <v>30076</v>
      </c>
      <c r="F143" s="194">
        <v>0</v>
      </c>
      <c r="G143" s="185" t="s">
        <v>2672</v>
      </c>
      <c r="H143" s="183" t="s">
        <v>249</v>
      </c>
      <c r="I143" s="183" t="s">
        <v>158</v>
      </c>
      <c r="J143" s="157" t="s">
        <v>2671</v>
      </c>
    </row>
    <row r="144" spans="1:10" s="182" customFormat="1" ht="21.75" customHeight="1" x14ac:dyDescent="0.15">
      <c r="A144" s="156" t="s">
        <v>2673</v>
      </c>
      <c r="B144" s="20" t="s">
        <v>2674</v>
      </c>
      <c r="C144" s="30" t="s">
        <v>2675</v>
      </c>
      <c r="D144" s="157">
        <v>18003</v>
      </c>
      <c r="E144" s="209">
        <v>0</v>
      </c>
      <c r="F144" s="194">
        <v>80000</v>
      </c>
      <c r="G144" s="185">
        <v>1</v>
      </c>
      <c r="H144" s="183" t="s">
        <v>1948</v>
      </c>
      <c r="I144" s="183" t="s">
        <v>1880</v>
      </c>
      <c r="J144" s="157"/>
    </row>
    <row r="145" spans="1:10" s="182" customFormat="1" ht="21.75" customHeight="1" x14ac:dyDescent="0.15">
      <c r="A145" s="156" t="s">
        <v>2673</v>
      </c>
      <c r="B145" s="20" t="s">
        <v>455</v>
      </c>
      <c r="C145" s="30" t="s">
        <v>223</v>
      </c>
      <c r="D145" s="157">
        <v>13046</v>
      </c>
      <c r="E145" s="209">
        <v>0</v>
      </c>
      <c r="F145" s="194">
        <v>79800</v>
      </c>
      <c r="G145" s="185">
        <v>0.1</v>
      </c>
      <c r="H145" s="183" t="s">
        <v>1143</v>
      </c>
      <c r="I145" s="183" t="s">
        <v>1880</v>
      </c>
      <c r="J145" s="157"/>
    </row>
    <row r="146" spans="1:10" s="182" customFormat="1" ht="21.75" customHeight="1" x14ac:dyDescent="0.15">
      <c r="A146" s="156" t="s">
        <v>2673</v>
      </c>
      <c r="B146" s="20" t="s">
        <v>1318</v>
      </c>
      <c r="C146" s="30" t="s">
        <v>2676</v>
      </c>
      <c r="D146" s="157">
        <v>13015</v>
      </c>
      <c r="E146" s="209">
        <v>0</v>
      </c>
      <c r="F146" s="194">
        <v>48600</v>
      </c>
      <c r="G146" s="185">
        <v>0.1</v>
      </c>
      <c r="H146" s="183" t="s">
        <v>1143</v>
      </c>
      <c r="I146" s="183" t="s">
        <v>1880</v>
      </c>
      <c r="J146" s="157"/>
    </row>
    <row r="147" spans="1:10" s="182" customFormat="1" ht="21.75" customHeight="1" x14ac:dyDescent="0.15">
      <c r="A147" s="156" t="s">
        <v>2673</v>
      </c>
      <c r="B147" s="20" t="s">
        <v>2677</v>
      </c>
      <c r="C147" s="207" t="s">
        <v>98</v>
      </c>
      <c r="D147" s="178" t="s">
        <v>2678</v>
      </c>
      <c r="E147" s="209">
        <v>0</v>
      </c>
      <c r="F147" s="194">
        <v>50000</v>
      </c>
      <c r="G147" s="186">
        <v>1</v>
      </c>
      <c r="H147" s="187" t="s">
        <v>1948</v>
      </c>
      <c r="I147" s="187" t="s">
        <v>170</v>
      </c>
      <c r="J147" s="157"/>
    </row>
    <row r="148" spans="1:10" s="182" customFormat="1" ht="21.75" customHeight="1" x14ac:dyDescent="0.15">
      <c r="A148" s="156" t="s">
        <v>2673</v>
      </c>
      <c r="B148" s="20" t="s">
        <v>2677</v>
      </c>
      <c r="C148" s="207" t="s">
        <v>98</v>
      </c>
      <c r="D148" s="178" t="s">
        <v>2679</v>
      </c>
      <c r="E148" s="209">
        <v>0</v>
      </c>
      <c r="F148" s="194">
        <v>100000</v>
      </c>
      <c r="G148" s="186">
        <v>1</v>
      </c>
      <c r="H148" s="187" t="s">
        <v>1948</v>
      </c>
      <c r="I148" s="187" t="s">
        <v>170</v>
      </c>
      <c r="J148" s="157"/>
    </row>
    <row r="149" spans="1:10" s="182" customFormat="1" ht="21.75" customHeight="1" x14ac:dyDescent="0.15">
      <c r="A149" s="156" t="s">
        <v>2680</v>
      </c>
      <c r="B149" s="20" t="s">
        <v>360</v>
      </c>
      <c r="C149" s="30" t="s">
        <v>295</v>
      </c>
      <c r="D149" s="157">
        <v>15004</v>
      </c>
      <c r="E149" s="209">
        <v>0</v>
      </c>
      <c r="F149" s="194">
        <v>40000</v>
      </c>
      <c r="G149" s="185">
        <v>0.5</v>
      </c>
      <c r="H149" s="183" t="s">
        <v>285</v>
      </c>
      <c r="I149" s="183" t="s">
        <v>1880</v>
      </c>
      <c r="J149" s="157"/>
    </row>
    <row r="150" spans="1:10" s="182" customFormat="1" ht="21.75" customHeight="1" x14ac:dyDescent="0.15">
      <c r="A150" s="156" t="s">
        <v>2680</v>
      </c>
      <c r="B150" s="20" t="s">
        <v>360</v>
      </c>
      <c r="C150" s="30" t="s">
        <v>2681</v>
      </c>
      <c r="D150" s="157">
        <v>16033</v>
      </c>
      <c r="E150" s="209">
        <v>0</v>
      </c>
      <c r="F150" s="194">
        <v>20000</v>
      </c>
      <c r="G150" s="185">
        <v>0.25</v>
      </c>
      <c r="H150" s="183" t="s">
        <v>285</v>
      </c>
      <c r="I150" s="183" t="s">
        <v>1880</v>
      </c>
      <c r="J150" s="157"/>
    </row>
    <row r="151" spans="1:10" s="182" customFormat="1" ht="21.75" customHeight="1" x14ac:dyDescent="0.15">
      <c r="A151" s="156" t="s">
        <v>2680</v>
      </c>
      <c r="B151" s="20" t="s">
        <v>360</v>
      </c>
      <c r="C151" s="30" t="s">
        <v>2681</v>
      </c>
      <c r="D151" s="157">
        <v>16033</v>
      </c>
      <c r="E151" s="209">
        <v>0</v>
      </c>
      <c r="F151" s="194">
        <v>40000</v>
      </c>
      <c r="G151" s="185">
        <v>0.5</v>
      </c>
      <c r="H151" s="183" t="s">
        <v>285</v>
      </c>
      <c r="I151" s="183" t="s">
        <v>1880</v>
      </c>
      <c r="J151" s="157"/>
    </row>
    <row r="152" spans="1:10" s="182" customFormat="1" ht="21.75" customHeight="1" x14ac:dyDescent="0.15">
      <c r="A152" s="156" t="s">
        <v>2680</v>
      </c>
      <c r="B152" s="20" t="s">
        <v>360</v>
      </c>
      <c r="C152" s="30" t="s">
        <v>2681</v>
      </c>
      <c r="D152" s="157">
        <v>16033</v>
      </c>
      <c r="E152" s="209">
        <v>0</v>
      </c>
      <c r="F152" s="194">
        <v>20000</v>
      </c>
      <c r="G152" s="185">
        <v>0.25</v>
      </c>
      <c r="H152" s="183" t="s">
        <v>285</v>
      </c>
      <c r="I152" s="183" t="s">
        <v>1880</v>
      </c>
      <c r="J152" s="157"/>
    </row>
    <row r="153" spans="1:10" s="182" customFormat="1" ht="21.75" customHeight="1" x14ac:dyDescent="0.15">
      <c r="A153" s="156" t="s">
        <v>2682</v>
      </c>
      <c r="B153" s="20" t="s">
        <v>425</v>
      </c>
      <c r="C153" s="207" t="s">
        <v>2685</v>
      </c>
      <c r="D153" s="178" t="s">
        <v>2683</v>
      </c>
      <c r="E153" s="209">
        <v>0</v>
      </c>
      <c r="F153" s="194">
        <v>126000</v>
      </c>
      <c r="G153" s="185">
        <v>0.8</v>
      </c>
      <c r="H153" s="183" t="s">
        <v>1147</v>
      </c>
      <c r="I153" s="183" t="s">
        <v>2660</v>
      </c>
      <c r="J153" s="157"/>
    </row>
    <row r="154" spans="1:10" s="182" customFormat="1" ht="21.75" customHeight="1" x14ac:dyDescent="0.15">
      <c r="A154" s="156" t="s">
        <v>2682</v>
      </c>
      <c r="B154" s="20" t="s">
        <v>425</v>
      </c>
      <c r="C154" s="207" t="s">
        <v>2685</v>
      </c>
      <c r="D154" s="178" t="s">
        <v>2684</v>
      </c>
      <c r="E154" s="209">
        <v>0</v>
      </c>
      <c r="F154" s="194">
        <v>65600</v>
      </c>
      <c r="G154" s="185">
        <v>0.8</v>
      </c>
      <c r="H154" s="183" t="s">
        <v>1147</v>
      </c>
      <c r="I154" s="183" t="s">
        <v>2660</v>
      </c>
      <c r="J154" s="157"/>
    </row>
    <row r="155" spans="1:10" s="182" customFormat="1" ht="21.75" customHeight="1" x14ac:dyDescent="0.15">
      <c r="A155" s="156" t="s">
        <v>2686</v>
      </c>
      <c r="B155" s="20" t="s">
        <v>1169</v>
      </c>
      <c r="C155" s="207" t="s">
        <v>2687</v>
      </c>
      <c r="D155" s="178" t="s">
        <v>2688</v>
      </c>
      <c r="E155" s="209">
        <v>0</v>
      </c>
      <c r="F155" s="194">
        <v>50000</v>
      </c>
      <c r="G155" s="185">
        <v>1</v>
      </c>
      <c r="H155" s="183" t="s">
        <v>1948</v>
      </c>
      <c r="I155" s="183" t="s">
        <v>170</v>
      </c>
      <c r="J155" s="157"/>
    </row>
    <row r="156" spans="1:10" s="182" customFormat="1" ht="21.75" customHeight="1" x14ac:dyDescent="0.15">
      <c r="A156" s="156" t="s">
        <v>2686</v>
      </c>
      <c r="B156" s="20" t="s">
        <v>1169</v>
      </c>
      <c r="C156" s="207" t="s">
        <v>2687</v>
      </c>
      <c r="D156" s="178" t="s">
        <v>2689</v>
      </c>
      <c r="E156" s="209">
        <v>0</v>
      </c>
      <c r="F156" s="194">
        <v>100000</v>
      </c>
      <c r="G156" s="185">
        <v>1</v>
      </c>
      <c r="H156" s="183" t="s">
        <v>1948</v>
      </c>
      <c r="I156" s="183" t="s">
        <v>170</v>
      </c>
      <c r="J156" s="157"/>
    </row>
    <row r="157" spans="1:10" s="182" customFormat="1" ht="21.75" customHeight="1" x14ac:dyDescent="0.15">
      <c r="A157" s="156" t="s">
        <v>2686</v>
      </c>
      <c r="B157" s="20" t="s">
        <v>2690</v>
      </c>
      <c r="C157" s="30" t="s">
        <v>1706</v>
      </c>
      <c r="D157" s="157">
        <v>15030</v>
      </c>
      <c r="E157" s="209">
        <v>0</v>
      </c>
      <c r="F157" s="194">
        <v>322222.2</v>
      </c>
      <c r="G157" s="185">
        <v>1</v>
      </c>
      <c r="H157" s="183" t="s">
        <v>2697</v>
      </c>
      <c r="I157" s="183" t="s">
        <v>170</v>
      </c>
      <c r="J157" s="157"/>
    </row>
    <row r="158" spans="1:10" s="182" customFormat="1" ht="21.75" customHeight="1" x14ac:dyDescent="0.15">
      <c r="A158" s="156" t="s">
        <v>2686</v>
      </c>
      <c r="B158" s="20" t="s">
        <v>313</v>
      </c>
      <c r="C158" s="30" t="s">
        <v>189</v>
      </c>
      <c r="D158" s="157">
        <v>14038</v>
      </c>
      <c r="E158" s="209">
        <v>0</v>
      </c>
      <c r="F158" s="194">
        <v>25943.4</v>
      </c>
      <c r="G158" s="185">
        <v>0.1</v>
      </c>
      <c r="H158" s="183" t="s">
        <v>1143</v>
      </c>
      <c r="I158" s="187" t="s">
        <v>190</v>
      </c>
      <c r="J158" s="157"/>
    </row>
    <row r="159" spans="1:10" s="182" customFormat="1" ht="21.75" customHeight="1" x14ac:dyDescent="0.15">
      <c r="A159" s="156" t="s">
        <v>2686</v>
      </c>
      <c r="B159" s="20" t="s">
        <v>2690</v>
      </c>
      <c r="C159" s="207" t="s">
        <v>2691</v>
      </c>
      <c r="D159" s="178" t="s">
        <v>2692</v>
      </c>
      <c r="E159" s="209">
        <v>0</v>
      </c>
      <c r="F159" s="194">
        <v>50000</v>
      </c>
      <c r="G159" s="185">
        <v>1</v>
      </c>
      <c r="H159" s="183" t="s">
        <v>1948</v>
      </c>
      <c r="I159" s="183" t="s">
        <v>170</v>
      </c>
      <c r="J159" s="157"/>
    </row>
    <row r="160" spans="1:10" s="182" customFormat="1" ht="21.75" customHeight="1" x14ac:dyDescent="0.15">
      <c r="A160" s="156" t="s">
        <v>2686</v>
      </c>
      <c r="B160" s="20" t="s">
        <v>2690</v>
      </c>
      <c r="C160" s="207" t="s">
        <v>2691</v>
      </c>
      <c r="D160" s="178" t="s">
        <v>2693</v>
      </c>
      <c r="E160" s="209">
        <v>0</v>
      </c>
      <c r="F160" s="194">
        <v>100000</v>
      </c>
      <c r="G160" s="185">
        <v>1</v>
      </c>
      <c r="H160" s="183" t="s">
        <v>1948</v>
      </c>
      <c r="I160" s="183" t="s">
        <v>170</v>
      </c>
      <c r="J160" s="157"/>
    </row>
    <row r="161" spans="1:10" s="182" customFormat="1" ht="21.75" customHeight="1" x14ac:dyDescent="0.15">
      <c r="A161" s="156" t="s">
        <v>2686</v>
      </c>
      <c r="B161" s="20" t="s">
        <v>627</v>
      </c>
      <c r="C161" s="207" t="s">
        <v>2694</v>
      </c>
      <c r="D161" s="178" t="s">
        <v>2695</v>
      </c>
      <c r="E161" s="209">
        <v>0</v>
      </c>
      <c r="F161" s="194">
        <v>50000</v>
      </c>
      <c r="G161" s="185">
        <v>1</v>
      </c>
      <c r="H161" s="183" t="s">
        <v>1948</v>
      </c>
      <c r="I161" s="183" t="s">
        <v>170</v>
      </c>
      <c r="J161" s="157"/>
    </row>
    <row r="162" spans="1:10" s="182" customFormat="1" ht="21.75" customHeight="1" x14ac:dyDescent="0.15">
      <c r="A162" s="156" t="s">
        <v>2686</v>
      </c>
      <c r="B162" s="20" t="s">
        <v>79</v>
      </c>
      <c r="C162" s="207" t="s">
        <v>2694</v>
      </c>
      <c r="D162" s="178" t="s">
        <v>2696</v>
      </c>
      <c r="E162" s="209">
        <v>0</v>
      </c>
      <c r="F162" s="194">
        <v>100000</v>
      </c>
      <c r="G162" s="185">
        <v>1</v>
      </c>
      <c r="H162" s="183" t="s">
        <v>1948</v>
      </c>
      <c r="I162" s="183" t="s">
        <v>170</v>
      </c>
      <c r="J162" s="157"/>
    </row>
    <row r="163" spans="1:10" s="182" customFormat="1" ht="21.75" customHeight="1" x14ac:dyDescent="0.15">
      <c r="A163" s="156" t="s">
        <v>2686</v>
      </c>
      <c r="B163" s="20" t="s">
        <v>2060</v>
      </c>
      <c r="C163" s="30" t="s">
        <v>2699</v>
      </c>
      <c r="D163" s="157">
        <v>18032</v>
      </c>
      <c r="E163" s="209">
        <v>0</v>
      </c>
      <c r="F163" s="194">
        <v>480150</v>
      </c>
      <c r="G163" s="185">
        <v>0.97</v>
      </c>
      <c r="H163" s="183" t="s">
        <v>2698</v>
      </c>
      <c r="I163" s="183" t="s">
        <v>170</v>
      </c>
      <c r="J163" s="157"/>
    </row>
    <row r="164" spans="1:10" s="182" customFormat="1" ht="21.75" customHeight="1" x14ac:dyDescent="0.15">
      <c r="A164" s="156" t="s">
        <v>2686</v>
      </c>
      <c r="B164" s="20" t="s">
        <v>2060</v>
      </c>
      <c r="C164" s="30" t="s">
        <v>2699</v>
      </c>
      <c r="D164" s="157">
        <v>18001</v>
      </c>
      <c r="E164" s="209">
        <v>0</v>
      </c>
      <c r="F164" s="194">
        <v>112500</v>
      </c>
      <c r="G164" s="185">
        <v>0.25</v>
      </c>
      <c r="H164" s="183" t="s">
        <v>1948</v>
      </c>
      <c r="I164" s="183" t="s">
        <v>170</v>
      </c>
      <c r="J164" s="157"/>
    </row>
    <row r="165" spans="1:10" s="182" customFormat="1" ht="21.75" customHeight="1" x14ac:dyDescent="0.15">
      <c r="A165" s="156" t="s">
        <v>2686</v>
      </c>
      <c r="B165" s="20" t="s">
        <v>248</v>
      </c>
      <c r="C165" s="30" t="s">
        <v>2700</v>
      </c>
      <c r="D165" s="157">
        <v>16112</v>
      </c>
      <c r="E165" s="209">
        <v>0</v>
      </c>
      <c r="F165" s="194">
        <v>100000</v>
      </c>
      <c r="G165" s="185">
        <v>1</v>
      </c>
      <c r="H165" s="183" t="s">
        <v>285</v>
      </c>
      <c r="I165" s="187" t="s">
        <v>2660</v>
      </c>
      <c r="J165" s="157"/>
    </row>
    <row r="166" spans="1:10" s="182" customFormat="1" ht="21.75" customHeight="1" x14ac:dyDescent="0.15">
      <c r="A166" s="156" t="s">
        <v>2701</v>
      </c>
      <c r="B166" s="20" t="s">
        <v>563</v>
      </c>
      <c r="C166" s="30" t="s">
        <v>382</v>
      </c>
      <c r="D166" s="157">
        <v>12050</v>
      </c>
      <c r="E166" s="209">
        <v>0</v>
      </c>
      <c r="F166" s="194">
        <v>80000</v>
      </c>
      <c r="G166" s="185" t="s">
        <v>2702</v>
      </c>
      <c r="H166" s="183" t="s">
        <v>1414</v>
      </c>
      <c r="I166" s="187" t="s">
        <v>2660</v>
      </c>
      <c r="J166" s="157"/>
    </row>
    <row r="167" spans="1:10" s="182" customFormat="1" ht="21.75" customHeight="1" x14ac:dyDescent="0.15">
      <c r="A167" s="156" t="s">
        <v>2701</v>
      </c>
      <c r="B167" s="20" t="s">
        <v>195</v>
      </c>
      <c r="C167" s="30" t="s">
        <v>2703</v>
      </c>
      <c r="D167" s="157">
        <v>18028</v>
      </c>
      <c r="E167" s="209">
        <v>0</v>
      </c>
      <c r="F167" s="194">
        <v>50000</v>
      </c>
      <c r="G167" s="185">
        <v>0.5</v>
      </c>
      <c r="H167" s="183" t="s">
        <v>285</v>
      </c>
      <c r="I167" s="183" t="s">
        <v>2704</v>
      </c>
      <c r="J167" s="157"/>
    </row>
    <row r="168" spans="1:10" s="182" customFormat="1" ht="21.75" customHeight="1" x14ac:dyDescent="0.15">
      <c r="A168" s="156" t="s">
        <v>2701</v>
      </c>
      <c r="B168" s="20" t="s">
        <v>2361</v>
      </c>
      <c r="C168" s="30" t="s">
        <v>2064</v>
      </c>
      <c r="D168" s="157">
        <v>18029</v>
      </c>
      <c r="E168" s="209">
        <v>0</v>
      </c>
      <c r="F168" s="194">
        <v>50000</v>
      </c>
      <c r="G168" s="185">
        <v>0.5</v>
      </c>
      <c r="H168" s="183" t="s">
        <v>285</v>
      </c>
      <c r="I168" s="183" t="s">
        <v>2704</v>
      </c>
      <c r="J168" s="157"/>
    </row>
    <row r="169" spans="1:10" s="182" customFormat="1" ht="21.75" customHeight="1" x14ac:dyDescent="0.15">
      <c r="A169" s="156" t="s">
        <v>2701</v>
      </c>
      <c r="B169" s="20" t="s">
        <v>284</v>
      </c>
      <c r="C169" s="30" t="s">
        <v>2285</v>
      </c>
      <c r="D169" s="157">
        <v>17119</v>
      </c>
      <c r="E169" s="209">
        <v>0</v>
      </c>
      <c r="F169" s="194">
        <v>209730</v>
      </c>
      <c r="G169" s="185">
        <v>0.5</v>
      </c>
      <c r="H169" s="183" t="s">
        <v>1172</v>
      </c>
      <c r="I169" s="183" t="s">
        <v>158</v>
      </c>
      <c r="J169" s="157"/>
    </row>
    <row r="170" spans="1:10" s="182" customFormat="1" ht="21.75" customHeight="1" x14ac:dyDescent="0.15">
      <c r="A170" s="156" t="s">
        <v>2705</v>
      </c>
      <c r="B170" s="20" t="s">
        <v>2652</v>
      </c>
      <c r="C170" s="30" t="s">
        <v>2706</v>
      </c>
      <c r="D170" s="157">
        <v>17081</v>
      </c>
      <c r="E170" s="209">
        <v>0</v>
      </c>
      <c r="F170" s="194">
        <v>79316.240000000005</v>
      </c>
      <c r="G170" s="185">
        <v>1</v>
      </c>
      <c r="H170" s="183" t="s">
        <v>2449</v>
      </c>
      <c r="I170" s="183" t="s">
        <v>170</v>
      </c>
      <c r="J170" s="157"/>
    </row>
    <row r="171" spans="1:10" s="182" customFormat="1" ht="21.75" customHeight="1" x14ac:dyDescent="0.15">
      <c r="A171" s="156" t="s">
        <v>2707</v>
      </c>
      <c r="B171" s="20" t="s">
        <v>2708</v>
      </c>
      <c r="C171" s="30" t="s">
        <v>1218</v>
      </c>
      <c r="D171" s="157">
        <v>16015</v>
      </c>
      <c r="E171" s="209">
        <v>0</v>
      </c>
      <c r="F171" s="194">
        <v>94287</v>
      </c>
      <c r="G171" s="185" t="s">
        <v>2709</v>
      </c>
      <c r="H171" s="183" t="s">
        <v>285</v>
      </c>
      <c r="I171" s="183" t="s">
        <v>170</v>
      </c>
      <c r="J171" s="157"/>
    </row>
    <row r="172" spans="1:10" s="182" customFormat="1" ht="21.75" customHeight="1" x14ac:dyDescent="0.15">
      <c r="A172" s="156" t="s">
        <v>2710</v>
      </c>
      <c r="B172" s="20" t="s">
        <v>2711</v>
      </c>
      <c r="C172" s="30" t="s">
        <v>2713</v>
      </c>
      <c r="D172" s="157">
        <v>17082</v>
      </c>
      <c r="E172" s="209">
        <v>0</v>
      </c>
      <c r="F172" s="194">
        <v>190000</v>
      </c>
      <c r="G172" s="185">
        <v>0.95</v>
      </c>
      <c r="H172" s="183" t="s">
        <v>1147</v>
      </c>
      <c r="I172" s="183" t="s">
        <v>2712</v>
      </c>
      <c r="J172" s="157"/>
    </row>
    <row r="173" spans="1:10" s="182" customFormat="1" ht="21.75" customHeight="1" x14ac:dyDescent="0.15">
      <c r="A173" s="156" t="s">
        <v>2710</v>
      </c>
      <c r="B173" s="20" t="s">
        <v>201</v>
      </c>
      <c r="C173" s="30" t="s">
        <v>2714</v>
      </c>
      <c r="D173" s="157">
        <v>15053</v>
      </c>
      <c r="E173" s="209">
        <v>0</v>
      </c>
      <c r="F173" s="194">
        <v>30000</v>
      </c>
      <c r="G173" s="185">
        <v>0.1</v>
      </c>
      <c r="H173" s="183" t="s">
        <v>1143</v>
      </c>
      <c r="I173" s="183" t="s">
        <v>1880</v>
      </c>
      <c r="J173" s="157"/>
    </row>
    <row r="174" spans="1:10" s="182" customFormat="1" ht="21.75" customHeight="1" x14ac:dyDescent="0.15">
      <c r="A174" s="163" t="s">
        <v>2715</v>
      </c>
      <c r="B174" s="44" t="s">
        <v>358</v>
      </c>
      <c r="C174" s="199" t="s">
        <v>2716</v>
      </c>
      <c r="D174" s="164">
        <v>17009</v>
      </c>
      <c r="E174" s="211">
        <v>0</v>
      </c>
      <c r="F174" s="200">
        <v>18400</v>
      </c>
      <c r="G174" s="186">
        <v>0.1</v>
      </c>
      <c r="H174" s="187" t="s">
        <v>1147</v>
      </c>
      <c r="I174" s="187" t="s">
        <v>1784</v>
      </c>
      <c r="J174" s="164"/>
    </row>
    <row r="175" spans="1:10" s="182" customFormat="1" ht="21.75" customHeight="1" x14ac:dyDescent="0.15">
      <c r="A175" s="156" t="s">
        <v>2717</v>
      </c>
      <c r="B175" s="20" t="s">
        <v>2718</v>
      </c>
      <c r="C175" s="30" t="s">
        <v>2720</v>
      </c>
      <c r="D175" s="157" t="s">
        <v>2719</v>
      </c>
      <c r="E175" s="209">
        <v>0</v>
      </c>
      <c r="F175" s="194">
        <v>30000</v>
      </c>
      <c r="G175" s="185">
        <v>1</v>
      </c>
      <c r="H175" s="183" t="s">
        <v>2726</v>
      </c>
      <c r="I175" s="183" t="s">
        <v>2721</v>
      </c>
      <c r="J175" s="157"/>
    </row>
    <row r="176" spans="1:10" s="182" customFormat="1" ht="21.75" customHeight="1" x14ac:dyDescent="0.15">
      <c r="A176" s="156" t="s">
        <v>2722</v>
      </c>
      <c r="B176" s="20" t="s">
        <v>2723</v>
      </c>
      <c r="C176" s="30" t="s">
        <v>2724</v>
      </c>
      <c r="D176" s="157" t="s">
        <v>2725</v>
      </c>
      <c r="E176" s="209">
        <v>0</v>
      </c>
      <c r="F176" s="194">
        <v>30000</v>
      </c>
      <c r="G176" s="185">
        <v>1</v>
      </c>
      <c r="H176" s="183" t="s">
        <v>2726</v>
      </c>
      <c r="I176" s="183" t="s">
        <v>2660</v>
      </c>
      <c r="J176" s="157"/>
    </row>
    <row r="177" spans="1:10" s="182" customFormat="1" ht="21.75" customHeight="1" x14ac:dyDescent="0.15">
      <c r="A177" s="156" t="s">
        <v>2727</v>
      </c>
      <c r="B177" s="20" t="s">
        <v>2728</v>
      </c>
      <c r="C177" s="30" t="s">
        <v>2730</v>
      </c>
      <c r="D177" s="157">
        <v>17098</v>
      </c>
      <c r="E177" s="209">
        <v>0</v>
      </c>
      <c r="F177" s="194">
        <v>70833</v>
      </c>
      <c r="G177" s="223">
        <v>0.70833000000000002</v>
      </c>
      <c r="H177" s="183" t="s">
        <v>2731</v>
      </c>
      <c r="I177" s="183" t="s">
        <v>2729</v>
      </c>
      <c r="J177" s="157"/>
    </row>
    <row r="178" spans="1:10" s="182" customFormat="1" ht="21.75" customHeight="1" x14ac:dyDescent="0.15">
      <c r="A178" s="156" t="s">
        <v>2727</v>
      </c>
      <c r="B178" s="20" t="s">
        <v>2732</v>
      </c>
      <c r="C178" s="207" t="s">
        <v>2737</v>
      </c>
      <c r="D178" s="157" t="s">
        <v>2734</v>
      </c>
      <c r="E178" s="209">
        <v>0</v>
      </c>
      <c r="F178" s="194">
        <v>923.6</v>
      </c>
      <c r="G178" s="222">
        <v>3.3E-3</v>
      </c>
      <c r="H178" s="183" t="s">
        <v>1450</v>
      </c>
      <c r="I178" s="183" t="s">
        <v>2736</v>
      </c>
      <c r="J178" s="157"/>
    </row>
    <row r="179" spans="1:10" s="182" customFormat="1" ht="49.5" customHeight="1" x14ac:dyDescent="0.15">
      <c r="A179" s="156" t="s">
        <v>2733</v>
      </c>
      <c r="B179" s="20" t="s">
        <v>2466</v>
      </c>
      <c r="C179" s="207" t="s">
        <v>2737</v>
      </c>
      <c r="D179" s="157" t="s">
        <v>2735</v>
      </c>
      <c r="E179" s="194">
        <v>157939.6</v>
      </c>
      <c r="F179" s="194">
        <v>0</v>
      </c>
      <c r="G179" s="222">
        <v>0.86780000000000002</v>
      </c>
      <c r="H179" s="157" t="s">
        <v>2768</v>
      </c>
      <c r="I179" s="183" t="s">
        <v>2736</v>
      </c>
      <c r="J179" s="164" t="s">
        <v>2774</v>
      </c>
    </row>
    <row r="180" spans="1:10" s="182" customFormat="1" ht="44.25" customHeight="1" x14ac:dyDescent="0.15">
      <c r="A180" s="156" t="s">
        <v>2733</v>
      </c>
      <c r="B180" s="20" t="s">
        <v>2466</v>
      </c>
      <c r="C180" s="207" t="s">
        <v>2737</v>
      </c>
      <c r="D180" s="157" t="s">
        <v>2734</v>
      </c>
      <c r="E180" s="194">
        <v>42060.4</v>
      </c>
      <c r="F180" s="194">
        <v>0</v>
      </c>
      <c r="G180" s="222">
        <v>0.1502</v>
      </c>
      <c r="H180" s="183" t="s">
        <v>2770</v>
      </c>
      <c r="I180" s="183" t="s">
        <v>2736</v>
      </c>
      <c r="J180" s="164" t="s">
        <v>2738</v>
      </c>
    </row>
    <row r="181" spans="1:10" s="182" customFormat="1" ht="60.75" customHeight="1" x14ac:dyDescent="0.15">
      <c r="A181" s="156" t="s">
        <v>2733</v>
      </c>
      <c r="B181" s="20" t="s">
        <v>2466</v>
      </c>
      <c r="C181" s="207" t="s">
        <v>2737</v>
      </c>
      <c r="D181" s="157" t="s">
        <v>2734</v>
      </c>
      <c r="E181" s="194">
        <v>200000</v>
      </c>
      <c r="F181" s="194">
        <v>0</v>
      </c>
      <c r="G181" s="222">
        <v>0.71430000000000005</v>
      </c>
      <c r="H181" s="183" t="s">
        <v>2769</v>
      </c>
      <c r="I181" s="183" t="s">
        <v>2736</v>
      </c>
      <c r="J181" s="164" t="s">
        <v>2739</v>
      </c>
    </row>
    <row r="182" spans="1:10" s="182" customFormat="1" ht="21.75" customHeight="1" x14ac:dyDescent="0.15">
      <c r="A182" s="156" t="s">
        <v>2740</v>
      </c>
      <c r="B182" s="20" t="s">
        <v>2741</v>
      </c>
      <c r="C182" s="30" t="s">
        <v>2742</v>
      </c>
      <c r="D182" s="157">
        <v>18112</v>
      </c>
      <c r="E182" s="209">
        <v>0</v>
      </c>
      <c r="F182" s="194">
        <v>92500</v>
      </c>
      <c r="G182" s="185">
        <v>0.97</v>
      </c>
      <c r="H182" s="183" t="s">
        <v>2743</v>
      </c>
      <c r="I182" s="183" t="s">
        <v>2744</v>
      </c>
      <c r="J182" s="157"/>
    </row>
    <row r="183" spans="1:10" s="182" customFormat="1" ht="21.75" customHeight="1" x14ac:dyDescent="0.15">
      <c r="A183" s="156" t="s">
        <v>2745</v>
      </c>
      <c r="B183" s="20" t="s">
        <v>2746</v>
      </c>
      <c r="C183" s="30" t="s">
        <v>2747</v>
      </c>
      <c r="D183" s="157">
        <v>17009</v>
      </c>
      <c r="E183" s="209">
        <v>0</v>
      </c>
      <c r="F183" s="194">
        <v>165600</v>
      </c>
      <c r="G183" s="185">
        <v>0.9</v>
      </c>
      <c r="H183" s="183" t="s">
        <v>2449</v>
      </c>
      <c r="I183" s="183" t="s">
        <v>2748</v>
      </c>
      <c r="J183" s="157"/>
    </row>
    <row r="184" spans="1:10" s="182" customFormat="1" ht="21.75" customHeight="1" x14ac:dyDescent="0.15">
      <c r="A184" s="156" t="s">
        <v>2745</v>
      </c>
      <c r="B184" s="20" t="s">
        <v>2749</v>
      </c>
      <c r="C184" s="30" t="s">
        <v>2750</v>
      </c>
      <c r="D184" s="157">
        <v>15001</v>
      </c>
      <c r="E184" s="209">
        <v>0</v>
      </c>
      <c r="F184" s="194">
        <v>8000</v>
      </c>
      <c r="G184" s="185">
        <v>0.1</v>
      </c>
      <c r="H184" s="183" t="s">
        <v>2751</v>
      </c>
      <c r="I184" s="183" t="s">
        <v>2752</v>
      </c>
      <c r="J184" s="157"/>
    </row>
    <row r="185" spans="1:10" s="182" customFormat="1" ht="21.75" customHeight="1" x14ac:dyDescent="0.15">
      <c r="A185" s="156" t="s">
        <v>2745</v>
      </c>
      <c r="B185" s="20" t="s">
        <v>2749</v>
      </c>
      <c r="C185" s="30" t="s">
        <v>2750</v>
      </c>
      <c r="D185" s="157">
        <v>14049</v>
      </c>
      <c r="E185" s="209">
        <v>0</v>
      </c>
      <c r="F185" s="194">
        <v>22000</v>
      </c>
      <c r="G185" s="185">
        <v>0.1</v>
      </c>
      <c r="H185" s="183" t="s">
        <v>2751</v>
      </c>
      <c r="I185" s="183" t="s">
        <v>2752</v>
      </c>
      <c r="J185" s="157"/>
    </row>
    <row r="186" spans="1:10" s="182" customFormat="1" ht="21.75" customHeight="1" x14ac:dyDescent="0.15">
      <c r="A186" s="156" t="s">
        <v>2753</v>
      </c>
      <c r="B186" s="20" t="s">
        <v>2754</v>
      </c>
      <c r="C186" s="30" t="s">
        <v>2756</v>
      </c>
      <c r="D186" s="157">
        <v>17154</v>
      </c>
      <c r="E186" s="209">
        <v>0</v>
      </c>
      <c r="F186" s="194">
        <v>60000</v>
      </c>
      <c r="G186" s="185">
        <v>0.4</v>
      </c>
      <c r="H186" s="183" t="s">
        <v>2755</v>
      </c>
      <c r="I186" s="183" t="s">
        <v>2757</v>
      </c>
      <c r="J186" s="157"/>
    </row>
    <row r="187" spans="1:10" s="182" customFormat="1" ht="21.75" customHeight="1" x14ac:dyDescent="0.15">
      <c r="A187" s="156" t="s">
        <v>2758</v>
      </c>
      <c r="B187" s="20" t="s">
        <v>2759</v>
      </c>
      <c r="C187" s="30" t="s">
        <v>2760</v>
      </c>
      <c r="D187" s="157">
        <v>18035</v>
      </c>
      <c r="E187" s="209">
        <v>0</v>
      </c>
      <c r="F187" s="194">
        <v>70000</v>
      </c>
      <c r="G187" s="185">
        <v>0.7</v>
      </c>
      <c r="H187" s="183" t="s">
        <v>2761</v>
      </c>
      <c r="I187" s="183" t="s">
        <v>2762</v>
      </c>
      <c r="J187" s="157"/>
    </row>
    <row r="188" spans="1:10" s="182" customFormat="1" ht="21.75" customHeight="1" x14ac:dyDescent="0.15">
      <c r="A188" s="156" t="s">
        <v>2763</v>
      </c>
      <c r="B188" s="20" t="s">
        <v>2764</v>
      </c>
      <c r="C188" s="30" t="s">
        <v>2546</v>
      </c>
      <c r="D188" s="157">
        <v>18108</v>
      </c>
      <c r="E188" s="209">
        <v>0</v>
      </c>
      <c r="F188" s="194">
        <v>40000</v>
      </c>
      <c r="G188" s="185">
        <v>0.5</v>
      </c>
      <c r="H188" s="183" t="s">
        <v>2765</v>
      </c>
      <c r="I188" s="183" t="s">
        <v>2766</v>
      </c>
      <c r="J188" s="157"/>
    </row>
    <row r="189" spans="1:10" s="182" customFormat="1" ht="21.75" customHeight="1" x14ac:dyDescent="0.15">
      <c r="A189" s="156" t="s">
        <v>2763</v>
      </c>
      <c r="B189" s="20" t="s">
        <v>2767</v>
      </c>
      <c r="C189" s="30" t="s">
        <v>2558</v>
      </c>
      <c r="D189" s="157">
        <v>18107</v>
      </c>
      <c r="E189" s="209">
        <v>0</v>
      </c>
      <c r="F189" s="194">
        <v>40000</v>
      </c>
      <c r="G189" s="185">
        <v>0.5</v>
      </c>
      <c r="H189" s="183" t="s">
        <v>2765</v>
      </c>
      <c r="I189" s="183" t="s">
        <v>2766</v>
      </c>
      <c r="J189" s="157"/>
    </row>
    <row r="190" spans="1:10" s="182" customFormat="1" ht="21.75" customHeight="1" x14ac:dyDescent="0.15">
      <c r="A190" s="156" t="s">
        <v>2771</v>
      </c>
      <c r="B190" s="20" t="s">
        <v>24</v>
      </c>
      <c r="C190" s="30" t="s">
        <v>25</v>
      </c>
      <c r="D190" s="157">
        <v>18114</v>
      </c>
      <c r="E190" s="209">
        <v>0</v>
      </c>
      <c r="F190" s="194">
        <v>21000</v>
      </c>
      <c r="G190" s="185">
        <v>1</v>
      </c>
      <c r="H190" s="183" t="s">
        <v>2772</v>
      </c>
      <c r="I190" s="183" t="s">
        <v>2773</v>
      </c>
      <c r="J190" s="157"/>
    </row>
    <row r="191" spans="1:10" s="182" customFormat="1" ht="21.75" customHeight="1" x14ac:dyDescent="0.15">
      <c r="A191" s="156" t="s">
        <v>2783</v>
      </c>
      <c r="B191" s="20" t="s">
        <v>1441</v>
      </c>
      <c r="C191" s="45" t="s">
        <v>2784</v>
      </c>
      <c r="D191" s="157">
        <v>18101</v>
      </c>
      <c r="E191" s="209">
        <v>0</v>
      </c>
      <c r="F191" s="194">
        <v>40000</v>
      </c>
      <c r="G191" s="185">
        <v>0.5</v>
      </c>
      <c r="H191" s="183" t="s">
        <v>2785</v>
      </c>
      <c r="I191" s="183" t="s">
        <v>2786</v>
      </c>
      <c r="J191" s="157"/>
    </row>
    <row r="192" spans="1:10" s="182" customFormat="1" ht="21.75" customHeight="1" x14ac:dyDescent="0.15">
      <c r="A192" s="156" t="s">
        <v>2783</v>
      </c>
      <c r="B192" s="20" t="s">
        <v>1428</v>
      </c>
      <c r="C192" s="180" t="s">
        <v>2787</v>
      </c>
      <c r="D192" s="157">
        <v>18103</v>
      </c>
      <c r="E192" s="209">
        <v>0</v>
      </c>
      <c r="F192" s="194">
        <v>40000</v>
      </c>
      <c r="G192" s="185">
        <v>0.5</v>
      </c>
      <c r="H192" s="183" t="s">
        <v>2785</v>
      </c>
      <c r="I192" s="183" t="s">
        <v>2786</v>
      </c>
      <c r="J192" s="157"/>
    </row>
    <row r="193" spans="1:10" s="182" customFormat="1" ht="21.75" customHeight="1" x14ac:dyDescent="0.15">
      <c r="A193" s="156" t="s">
        <v>2783</v>
      </c>
      <c r="B193" s="20" t="s">
        <v>1428</v>
      </c>
      <c r="C193" s="180" t="s">
        <v>2788</v>
      </c>
      <c r="D193" s="157">
        <v>18105</v>
      </c>
      <c r="E193" s="209">
        <v>0</v>
      </c>
      <c r="F193" s="194">
        <v>40000</v>
      </c>
      <c r="G193" s="185">
        <v>0.5</v>
      </c>
      <c r="H193" s="183" t="s">
        <v>2785</v>
      </c>
      <c r="I193" s="183" t="s">
        <v>2786</v>
      </c>
      <c r="J193" s="157"/>
    </row>
    <row r="194" spans="1:10" s="182" customFormat="1" ht="21.75" customHeight="1" x14ac:dyDescent="0.15">
      <c r="A194" s="156" t="s">
        <v>2783</v>
      </c>
      <c r="B194" s="20" t="s">
        <v>1428</v>
      </c>
      <c r="C194" s="180" t="s">
        <v>2789</v>
      </c>
      <c r="D194" s="157">
        <v>18106</v>
      </c>
      <c r="E194" s="209">
        <v>0</v>
      </c>
      <c r="F194" s="194">
        <v>40000</v>
      </c>
      <c r="G194" s="185">
        <v>0.5</v>
      </c>
      <c r="H194" s="183" t="s">
        <v>2785</v>
      </c>
      <c r="I194" s="183" t="s">
        <v>2786</v>
      </c>
      <c r="J194" s="157"/>
    </row>
    <row r="195" spans="1:10" s="182" customFormat="1" ht="21.75" customHeight="1" x14ac:dyDescent="0.15">
      <c r="A195" s="156" t="s">
        <v>2775</v>
      </c>
      <c r="B195" s="20" t="s">
        <v>2776</v>
      </c>
      <c r="C195" s="30" t="s">
        <v>2780</v>
      </c>
      <c r="D195" s="157">
        <v>12050</v>
      </c>
      <c r="E195" s="209">
        <v>0</v>
      </c>
      <c r="F195" s="194">
        <v>60000</v>
      </c>
      <c r="G195" s="185" t="s">
        <v>2781</v>
      </c>
      <c r="H195" s="183" t="s">
        <v>2782</v>
      </c>
      <c r="I195" s="187" t="s">
        <v>2779</v>
      </c>
      <c r="J195" s="157"/>
    </row>
    <row r="196" spans="1:10" s="182" customFormat="1" ht="21.75" customHeight="1" x14ac:dyDescent="0.15">
      <c r="A196" s="156" t="s">
        <v>2775</v>
      </c>
      <c r="B196" s="20" t="s">
        <v>2776</v>
      </c>
      <c r="C196" s="224" t="s">
        <v>2777</v>
      </c>
      <c r="D196" s="157">
        <v>18140</v>
      </c>
      <c r="E196" s="209">
        <v>0</v>
      </c>
      <c r="F196" s="194">
        <v>73800</v>
      </c>
      <c r="G196" s="185">
        <v>0.9</v>
      </c>
      <c r="H196" s="183" t="s">
        <v>2778</v>
      </c>
      <c r="I196" s="183" t="s">
        <v>2779</v>
      </c>
      <c r="J196" s="157"/>
    </row>
    <row r="197" spans="1:10" s="182" customFormat="1" ht="21.75" customHeight="1" x14ac:dyDescent="0.15">
      <c r="A197" s="156" t="s">
        <v>2790</v>
      </c>
      <c r="B197" s="20" t="s">
        <v>2791</v>
      </c>
      <c r="C197" s="180" t="s">
        <v>2794</v>
      </c>
      <c r="D197" s="157">
        <v>18102</v>
      </c>
      <c r="E197" s="209">
        <v>0</v>
      </c>
      <c r="F197" s="194">
        <v>40000</v>
      </c>
      <c r="G197" s="185">
        <v>0.5</v>
      </c>
      <c r="H197" s="183" t="s">
        <v>285</v>
      </c>
      <c r="I197" s="183" t="s">
        <v>158</v>
      </c>
      <c r="J197" s="157"/>
    </row>
    <row r="198" spans="1:10" s="182" customFormat="1" ht="21.75" customHeight="1" x14ac:dyDescent="0.15">
      <c r="A198" s="156" t="s">
        <v>2790</v>
      </c>
      <c r="B198" s="20" t="s">
        <v>2792</v>
      </c>
      <c r="C198" s="184" t="s">
        <v>2795</v>
      </c>
      <c r="D198" s="157">
        <v>18100</v>
      </c>
      <c r="E198" s="209">
        <v>0</v>
      </c>
      <c r="F198" s="194">
        <v>40000</v>
      </c>
      <c r="G198" s="185">
        <v>0.5</v>
      </c>
      <c r="H198" s="183" t="s">
        <v>285</v>
      </c>
      <c r="I198" s="183" t="s">
        <v>158</v>
      </c>
      <c r="J198" s="157"/>
    </row>
    <row r="199" spans="1:10" s="182" customFormat="1" ht="21.75" customHeight="1" x14ac:dyDescent="0.15">
      <c r="A199" s="156" t="s">
        <v>2790</v>
      </c>
      <c r="B199" s="20" t="s">
        <v>2793</v>
      </c>
      <c r="C199" s="45" t="s">
        <v>2796</v>
      </c>
      <c r="D199" s="157">
        <v>18104</v>
      </c>
      <c r="E199" s="209">
        <v>0</v>
      </c>
      <c r="F199" s="194">
        <v>40000</v>
      </c>
      <c r="G199" s="185">
        <v>0.5</v>
      </c>
      <c r="H199" s="183" t="s">
        <v>285</v>
      </c>
      <c r="I199" s="183" t="s">
        <v>158</v>
      </c>
      <c r="J199" s="157"/>
    </row>
    <row r="200" spans="1:10" s="182" customFormat="1" ht="21.75" customHeight="1" x14ac:dyDescent="0.15">
      <c r="A200" s="156" t="s">
        <v>2797</v>
      </c>
      <c r="B200" s="20" t="s">
        <v>2798</v>
      </c>
      <c r="C200" s="30" t="s">
        <v>2799</v>
      </c>
      <c r="D200" s="157">
        <v>18135</v>
      </c>
      <c r="E200" s="209">
        <v>0</v>
      </c>
      <c r="F200" s="194">
        <v>60000</v>
      </c>
      <c r="G200" s="185">
        <v>1</v>
      </c>
      <c r="H200" s="183" t="s">
        <v>2800</v>
      </c>
      <c r="I200" s="183" t="s">
        <v>2801</v>
      </c>
      <c r="J200" s="157"/>
    </row>
    <row r="201" spans="1:10" s="182" customFormat="1" ht="21.75" customHeight="1" x14ac:dyDescent="0.15">
      <c r="A201" s="156" t="s">
        <v>2802</v>
      </c>
      <c r="B201" s="20" t="s">
        <v>2803</v>
      </c>
      <c r="C201" s="30" t="s">
        <v>2804</v>
      </c>
      <c r="D201" s="157">
        <v>17157</v>
      </c>
      <c r="E201" s="209">
        <v>0</v>
      </c>
      <c r="F201" s="194">
        <v>90000</v>
      </c>
      <c r="G201" s="185">
        <v>1</v>
      </c>
      <c r="H201" s="183" t="s">
        <v>2805</v>
      </c>
      <c r="I201" s="183" t="s">
        <v>2806</v>
      </c>
      <c r="J201" s="157"/>
    </row>
    <row r="202" spans="1:10" s="182" customFormat="1" ht="21.75" customHeight="1" x14ac:dyDescent="0.15">
      <c r="A202" s="156" t="s">
        <v>2802</v>
      </c>
      <c r="B202" s="20" t="s">
        <v>2807</v>
      </c>
      <c r="C202" s="30" t="s">
        <v>2808</v>
      </c>
      <c r="D202" s="157">
        <v>17071</v>
      </c>
      <c r="E202" s="209">
        <v>0</v>
      </c>
      <c r="F202" s="194">
        <v>60000</v>
      </c>
      <c r="G202" s="185">
        <v>0.5</v>
      </c>
      <c r="H202" s="183" t="s">
        <v>2809</v>
      </c>
      <c r="I202" s="183" t="s">
        <v>2806</v>
      </c>
      <c r="J202" s="157"/>
    </row>
    <row r="203" spans="1:10" s="182" customFormat="1" ht="21.75" customHeight="1" x14ac:dyDescent="0.15">
      <c r="A203" s="156" t="s">
        <v>2810</v>
      </c>
      <c r="B203" s="20" t="s">
        <v>2811</v>
      </c>
      <c r="C203" s="30" t="s">
        <v>2812</v>
      </c>
      <c r="D203" s="157">
        <v>18117</v>
      </c>
      <c r="E203" s="209">
        <v>0</v>
      </c>
      <c r="F203" s="194">
        <v>248360</v>
      </c>
      <c r="G203" s="185">
        <v>0.7</v>
      </c>
      <c r="H203" s="183" t="s">
        <v>2813</v>
      </c>
      <c r="I203" s="183" t="s">
        <v>2814</v>
      </c>
      <c r="J203" s="157"/>
    </row>
    <row r="204" spans="1:10" s="182" customFormat="1" ht="21.75" customHeight="1" x14ac:dyDescent="0.15">
      <c r="A204" s="156" t="s">
        <v>2815</v>
      </c>
      <c r="B204" s="20" t="s">
        <v>2816</v>
      </c>
      <c r="C204" s="30" t="s">
        <v>2819</v>
      </c>
      <c r="D204" s="157">
        <v>13007</v>
      </c>
      <c r="E204" s="209">
        <v>0</v>
      </c>
      <c r="F204" s="194">
        <v>42000</v>
      </c>
      <c r="G204" s="185">
        <v>0.1</v>
      </c>
      <c r="H204" s="183" t="s">
        <v>2817</v>
      </c>
      <c r="I204" s="183" t="s">
        <v>2818</v>
      </c>
      <c r="J204" s="157"/>
    </row>
    <row r="205" spans="1:10" s="182" customFormat="1" ht="21.75" customHeight="1" x14ac:dyDescent="0.15">
      <c r="A205" s="156" t="s">
        <v>2820</v>
      </c>
      <c r="B205" s="20" t="s">
        <v>2821</v>
      </c>
      <c r="C205" s="30" t="s">
        <v>2824</v>
      </c>
      <c r="D205" s="157">
        <v>17155</v>
      </c>
      <c r="E205" s="209">
        <v>0</v>
      </c>
      <c r="F205" s="194">
        <v>60000</v>
      </c>
      <c r="G205" s="185">
        <v>0.4</v>
      </c>
      <c r="H205" s="183" t="s">
        <v>2822</v>
      </c>
      <c r="I205" s="183" t="s">
        <v>2823</v>
      </c>
      <c r="J205" s="157"/>
    </row>
    <row r="206" spans="1:10" s="182" customFormat="1" ht="21.75" customHeight="1" x14ac:dyDescent="0.15">
      <c r="A206" s="156" t="s">
        <v>2825</v>
      </c>
      <c r="B206" s="20" t="s">
        <v>2826</v>
      </c>
      <c r="C206" s="30" t="s">
        <v>2828</v>
      </c>
      <c r="D206" s="157" t="s">
        <v>2827</v>
      </c>
      <c r="E206" s="209">
        <v>0</v>
      </c>
      <c r="F206" s="194">
        <v>30000</v>
      </c>
      <c r="G206" s="185">
        <v>1</v>
      </c>
      <c r="H206" s="183" t="s">
        <v>2829</v>
      </c>
      <c r="I206" s="183" t="s">
        <v>2830</v>
      </c>
      <c r="J206" s="157"/>
    </row>
    <row r="207" spans="1:10" s="182" customFormat="1" ht="21.75" customHeight="1" x14ac:dyDescent="0.15">
      <c r="A207" s="156" t="s">
        <v>2825</v>
      </c>
      <c r="B207" s="20" t="s">
        <v>2831</v>
      </c>
      <c r="C207" s="30" t="s">
        <v>2832</v>
      </c>
      <c r="D207" s="157">
        <v>16047</v>
      </c>
      <c r="E207" s="209">
        <v>0</v>
      </c>
      <c r="F207" s="194">
        <v>230000</v>
      </c>
      <c r="G207" s="185">
        <v>1</v>
      </c>
      <c r="H207" s="183" t="s">
        <v>2833</v>
      </c>
      <c r="I207" s="183" t="s">
        <v>2834</v>
      </c>
      <c r="J207" s="157"/>
    </row>
    <row r="208" spans="1:10" s="182" customFormat="1" ht="21.75" customHeight="1" x14ac:dyDescent="0.15">
      <c r="A208" s="156" t="s">
        <v>2835</v>
      </c>
      <c r="B208" s="20" t="s">
        <v>2836</v>
      </c>
      <c r="C208" s="30" t="s">
        <v>2839</v>
      </c>
      <c r="D208" s="157">
        <v>18093</v>
      </c>
      <c r="E208" s="209">
        <v>0</v>
      </c>
      <c r="F208" s="194">
        <v>120000</v>
      </c>
      <c r="G208" s="185">
        <v>1</v>
      </c>
      <c r="H208" s="183" t="s">
        <v>2837</v>
      </c>
      <c r="I208" s="183" t="s">
        <v>2838</v>
      </c>
      <c r="J208" s="157"/>
    </row>
    <row r="209" spans="1:10" s="182" customFormat="1" ht="21.75" customHeight="1" x14ac:dyDescent="0.15">
      <c r="A209" s="156" t="s">
        <v>2835</v>
      </c>
      <c r="B209" s="20" t="s">
        <v>2840</v>
      </c>
      <c r="C209" s="30" t="s">
        <v>2841</v>
      </c>
      <c r="D209" s="157">
        <v>17072</v>
      </c>
      <c r="E209" s="209">
        <v>0</v>
      </c>
      <c r="F209" s="194">
        <v>60000</v>
      </c>
      <c r="G209" s="185">
        <v>0.5</v>
      </c>
      <c r="H209" s="183" t="s">
        <v>2837</v>
      </c>
      <c r="I209" s="187" t="s">
        <v>2838</v>
      </c>
      <c r="J209" s="157"/>
    </row>
    <row r="210" spans="1:10" s="182" customFormat="1" ht="21.75" customHeight="1" x14ac:dyDescent="0.15">
      <c r="A210" s="156" t="s">
        <v>2835</v>
      </c>
      <c r="B210" s="20" t="s">
        <v>6</v>
      </c>
      <c r="C210" s="30" t="s">
        <v>2841</v>
      </c>
      <c r="D210" s="157">
        <v>18113</v>
      </c>
      <c r="E210" s="209">
        <v>0</v>
      </c>
      <c r="F210" s="194">
        <v>120000</v>
      </c>
      <c r="G210" s="185">
        <v>1</v>
      </c>
      <c r="H210" s="183" t="s">
        <v>2837</v>
      </c>
      <c r="I210" s="183" t="s">
        <v>2838</v>
      </c>
      <c r="J210" s="157"/>
    </row>
    <row r="211" spans="1:10" s="182" customFormat="1" ht="21.75" customHeight="1" x14ac:dyDescent="0.15">
      <c r="A211" s="156" t="s">
        <v>2842</v>
      </c>
      <c r="B211" s="20" t="s">
        <v>2843</v>
      </c>
      <c r="C211" s="30" t="s">
        <v>2844</v>
      </c>
      <c r="D211" s="157">
        <v>18156</v>
      </c>
      <c r="E211" s="209">
        <v>0</v>
      </c>
      <c r="F211" s="194">
        <v>187392</v>
      </c>
      <c r="G211" s="185">
        <v>0.4</v>
      </c>
      <c r="H211" s="183" t="s">
        <v>2845</v>
      </c>
      <c r="I211" s="183" t="s">
        <v>2846</v>
      </c>
      <c r="J211" s="157"/>
    </row>
    <row r="212" spans="1:10" s="182" customFormat="1" ht="21.75" customHeight="1" x14ac:dyDescent="0.15">
      <c r="A212" s="156" t="s">
        <v>2847</v>
      </c>
      <c r="B212" s="20" t="s">
        <v>2848</v>
      </c>
      <c r="C212" s="30" t="s">
        <v>2849</v>
      </c>
      <c r="D212" s="157">
        <v>17073</v>
      </c>
      <c r="E212" s="209">
        <v>0</v>
      </c>
      <c r="F212" s="194">
        <v>60000</v>
      </c>
      <c r="G212" s="185">
        <v>0.5</v>
      </c>
      <c r="H212" s="183" t="s">
        <v>2850</v>
      </c>
      <c r="I212" s="183" t="s">
        <v>2851</v>
      </c>
      <c r="J212" s="157"/>
    </row>
    <row r="213" spans="1:10" s="182" customFormat="1" ht="21.75" customHeight="1" x14ac:dyDescent="0.15">
      <c r="A213" s="156" t="s">
        <v>2852</v>
      </c>
      <c r="B213" s="20" t="s">
        <v>2853</v>
      </c>
      <c r="C213" s="30" t="s">
        <v>222</v>
      </c>
      <c r="D213" s="157">
        <v>18092</v>
      </c>
      <c r="E213" s="209">
        <v>0</v>
      </c>
      <c r="F213" s="194">
        <v>120000</v>
      </c>
      <c r="G213" s="185">
        <v>1</v>
      </c>
      <c r="H213" s="183" t="s">
        <v>285</v>
      </c>
      <c r="I213" s="183" t="s">
        <v>1880</v>
      </c>
      <c r="J213" s="157"/>
    </row>
    <row r="214" spans="1:10" s="182" customFormat="1" ht="21.75" customHeight="1" x14ac:dyDescent="0.15">
      <c r="A214" s="156" t="s">
        <v>2852</v>
      </c>
      <c r="B214" s="20" t="s">
        <v>2854</v>
      </c>
      <c r="C214" s="30" t="s">
        <v>2548</v>
      </c>
      <c r="D214" s="157">
        <v>17095</v>
      </c>
      <c r="E214" s="209">
        <v>0</v>
      </c>
      <c r="F214" s="194">
        <v>99666</v>
      </c>
      <c r="G214" s="185">
        <v>0.2</v>
      </c>
      <c r="H214" s="183" t="s">
        <v>2855</v>
      </c>
      <c r="I214" s="183" t="s">
        <v>2856</v>
      </c>
      <c r="J214" s="157"/>
    </row>
    <row r="215" spans="1:10" s="182" customFormat="1" ht="21.75" customHeight="1" x14ac:dyDescent="0.15">
      <c r="A215" s="156" t="s">
        <v>2857</v>
      </c>
      <c r="B215" s="20" t="s">
        <v>2858</v>
      </c>
      <c r="C215" s="30" t="s">
        <v>2859</v>
      </c>
      <c r="D215" s="157">
        <v>17130</v>
      </c>
      <c r="E215" s="209">
        <v>0</v>
      </c>
      <c r="F215" s="194">
        <v>65000</v>
      </c>
      <c r="G215" s="185">
        <v>1</v>
      </c>
      <c r="H215" s="183" t="s">
        <v>2861</v>
      </c>
      <c r="I215" s="183" t="s">
        <v>2860</v>
      </c>
      <c r="J215" s="157"/>
    </row>
    <row r="216" spans="1:10" s="182" customFormat="1" ht="21.75" customHeight="1" x14ac:dyDescent="0.15">
      <c r="A216" s="156" t="s">
        <v>2862</v>
      </c>
      <c r="B216" s="20" t="s">
        <v>2863</v>
      </c>
      <c r="C216" s="180" t="s">
        <v>2866</v>
      </c>
      <c r="D216" s="157" t="s">
        <v>2864</v>
      </c>
      <c r="E216" s="209">
        <v>0</v>
      </c>
      <c r="F216" s="194">
        <v>50000</v>
      </c>
      <c r="G216" s="185">
        <v>0.5</v>
      </c>
      <c r="H216" s="183" t="s">
        <v>2868</v>
      </c>
      <c r="I216" s="183" t="s">
        <v>158</v>
      </c>
      <c r="J216" s="157"/>
    </row>
    <row r="217" spans="1:10" s="182" customFormat="1" ht="21.75" customHeight="1" x14ac:dyDescent="0.15">
      <c r="A217" s="156" t="s">
        <v>2862</v>
      </c>
      <c r="B217" s="20" t="s">
        <v>2863</v>
      </c>
      <c r="C217" s="180" t="s">
        <v>2867</v>
      </c>
      <c r="D217" s="157" t="s">
        <v>2865</v>
      </c>
      <c r="E217" s="209">
        <v>0</v>
      </c>
      <c r="F217" s="194">
        <v>50000</v>
      </c>
      <c r="G217" s="185">
        <v>0.5</v>
      </c>
      <c r="H217" s="183" t="s">
        <v>2868</v>
      </c>
      <c r="I217" s="183" t="s">
        <v>158</v>
      </c>
      <c r="J217" s="157"/>
    </row>
    <row r="218" spans="1:10" s="182" customFormat="1" ht="21.75" customHeight="1" x14ac:dyDescent="0.15">
      <c r="A218" s="156" t="s">
        <v>2862</v>
      </c>
      <c r="B218" s="20" t="s">
        <v>2863</v>
      </c>
      <c r="C218" s="180" t="s">
        <v>2870</v>
      </c>
      <c r="D218" s="157" t="s">
        <v>2869</v>
      </c>
      <c r="E218" s="209">
        <v>0</v>
      </c>
      <c r="F218" s="194">
        <v>50000</v>
      </c>
      <c r="G218" s="185">
        <v>0.5</v>
      </c>
      <c r="H218" s="183" t="s">
        <v>2868</v>
      </c>
      <c r="I218" s="183" t="s">
        <v>158</v>
      </c>
      <c r="J218" s="157"/>
    </row>
    <row r="219" spans="1:10" s="182" customFormat="1" ht="21.75" customHeight="1" x14ac:dyDescent="0.15">
      <c r="A219" s="156" t="s">
        <v>2871</v>
      </c>
      <c r="B219" s="20" t="s">
        <v>2872</v>
      </c>
      <c r="C219" s="30" t="s">
        <v>2875</v>
      </c>
      <c r="D219" s="157">
        <v>13011</v>
      </c>
      <c r="E219" s="209">
        <v>0</v>
      </c>
      <c r="F219" s="194">
        <v>75555</v>
      </c>
      <c r="G219" s="185">
        <v>0.1</v>
      </c>
      <c r="H219" s="183" t="s">
        <v>2873</v>
      </c>
      <c r="I219" s="187" t="s">
        <v>2874</v>
      </c>
      <c r="J219" s="157" t="s">
        <v>2876</v>
      </c>
    </row>
    <row r="220" spans="1:10" s="182" customFormat="1" ht="21.75" customHeight="1" x14ac:dyDescent="0.15">
      <c r="A220" s="156" t="s">
        <v>2877</v>
      </c>
      <c r="B220" s="20" t="s">
        <v>2878</v>
      </c>
      <c r="C220" s="30" t="s">
        <v>2881</v>
      </c>
      <c r="D220" s="157">
        <v>18147</v>
      </c>
      <c r="E220" s="209">
        <v>0</v>
      </c>
      <c r="F220" s="194">
        <v>50000</v>
      </c>
      <c r="G220" s="185">
        <v>1</v>
      </c>
      <c r="H220" s="183" t="s">
        <v>2879</v>
      </c>
      <c r="I220" s="183" t="s">
        <v>2880</v>
      </c>
      <c r="J220" s="157"/>
    </row>
    <row r="221" spans="1:10" s="182" customFormat="1" ht="21.75" customHeight="1" x14ac:dyDescent="0.15">
      <c r="A221" s="156" t="s">
        <v>2882</v>
      </c>
      <c r="B221" s="20" t="s">
        <v>2883</v>
      </c>
      <c r="C221" s="30" t="s">
        <v>2884</v>
      </c>
      <c r="D221" s="157">
        <v>18116</v>
      </c>
      <c r="E221" s="209">
        <v>0</v>
      </c>
      <c r="F221" s="194">
        <v>19240</v>
      </c>
      <c r="G221" s="185">
        <v>1</v>
      </c>
      <c r="H221" s="183" t="s">
        <v>2885</v>
      </c>
      <c r="I221" s="183" t="s">
        <v>2886</v>
      </c>
      <c r="J221" s="157"/>
    </row>
    <row r="222" spans="1:10" s="182" customFormat="1" ht="21.75" customHeight="1" x14ac:dyDescent="0.15">
      <c r="A222" s="156" t="s">
        <v>2887</v>
      </c>
      <c r="B222" s="20" t="s">
        <v>2888</v>
      </c>
      <c r="C222" s="30" t="s">
        <v>2889</v>
      </c>
      <c r="D222" s="157">
        <v>18005</v>
      </c>
      <c r="E222" s="209">
        <v>0</v>
      </c>
      <c r="F222" s="194">
        <v>43920</v>
      </c>
      <c r="G222" s="185">
        <v>0.1</v>
      </c>
      <c r="H222" s="183" t="s">
        <v>2890</v>
      </c>
      <c r="I222" s="183" t="s">
        <v>2891</v>
      </c>
      <c r="J222" s="157"/>
    </row>
    <row r="223" spans="1:10" s="182" customFormat="1" ht="21.75" customHeight="1" x14ac:dyDescent="0.15">
      <c r="A223" s="156" t="s">
        <v>2887</v>
      </c>
      <c r="B223" s="20" t="s">
        <v>2892</v>
      </c>
      <c r="C223" s="30" t="s">
        <v>597</v>
      </c>
      <c r="D223" s="157">
        <v>18138</v>
      </c>
      <c r="E223" s="209">
        <v>0</v>
      </c>
      <c r="F223" s="194">
        <v>40000</v>
      </c>
      <c r="G223" s="185">
        <v>0.5</v>
      </c>
      <c r="H223" s="183" t="s">
        <v>2893</v>
      </c>
      <c r="I223" s="183" t="s">
        <v>2894</v>
      </c>
      <c r="J223" s="157"/>
    </row>
    <row r="224" spans="1:10" s="182" customFormat="1" ht="21.75" customHeight="1" x14ac:dyDescent="0.15">
      <c r="A224" s="156" t="s">
        <v>2895</v>
      </c>
      <c r="B224" s="20" t="s">
        <v>2604</v>
      </c>
      <c r="C224" s="30" t="s">
        <v>2898</v>
      </c>
      <c r="D224" s="157">
        <v>16083</v>
      </c>
      <c r="E224" s="209">
        <v>26457</v>
      </c>
      <c r="F224" s="194">
        <v>0</v>
      </c>
      <c r="G224" s="185" t="s">
        <v>3449</v>
      </c>
      <c r="H224" s="183" t="s">
        <v>2899</v>
      </c>
      <c r="I224" s="183" t="s">
        <v>2896</v>
      </c>
      <c r="J224" s="157" t="s">
        <v>2897</v>
      </c>
    </row>
    <row r="225" spans="1:10" s="182" customFormat="1" ht="21.75" customHeight="1" x14ac:dyDescent="0.15">
      <c r="A225" s="156" t="s">
        <v>2900</v>
      </c>
      <c r="B225" s="20" t="s">
        <v>2901</v>
      </c>
      <c r="C225" s="30" t="s">
        <v>2902</v>
      </c>
      <c r="D225" s="157">
        <v>12050</v>
      </c>
      <c r="E225" s="209">
        <v>0</v>
      </c>
      <c r="F225" s="194">
        <v>60000</v>
      </c>
      <c r="G225" s="185" t="s">
        <v>2781</v>
      </c>
      <c r="H225" s="183" t="s">
        <v>2904</v>
      </c>
      <c r="I225" s="183" t="s">
        <v>2903</v>
      </c>
      <c r="J225" s="157"/>
    </row>
    <row r="226" spans="1:10" s="182" customFormat="1" ht="21.75" customHeight="1" x14ac:dyDescent="0.15">
      <c r="A226" s="156" t="s">
        <v>2900</v>
      </c>
      <c r="B226" s="20" t="s">
        <v>36</v>
      </c>
      <c r="C226" s="30" t="s">
        <v>597</v>
      </c>
      <c r="D226" s="157">
        <v>18138</v>
      </c>
      <c r="E226" s="209">
        <v>0</v>
      </c>
      <c r="F226" s="194">
        <v>40000</v>
      </c>
      <c r="G226" s="185">
        <v>0.5</v>
      </c>
      <c r="H226" s="183" t="s">
        <v>285</v>
      </c>
      <c r="I226" s="183" t="s">
        <v>1880</v>
      </c>
      <c r="J226" s="157"/>
    </row>
    <row r="227" spans="1:10" s="182" customFormat="1" ht="21.75" customHeight="1" x14ac:dyDescent="0.15">
      <c r="A227" s="156" t="s">
        <v>2905</v>
      </c>
      <c r="B227" s="20" t="s">
        <v>2907</v>
      </c>
      <c r="C227" s="207" t="s">
        <v>2908</v>
      </c>
      <c r="D227" s="157">
        <v>18022</v>
      </c>
      <c r="E227" s="209">
        <v>0</v>
      </c>
      <c r="F227" s="194">
        <v>118800</v>
      </c>
      <c r="G227" s="185">
        <v>0.9</v>
      </c>
      <c r="H227" s="183" t="s">
        <v>2910</v>
      </c>
      <c r="I227" s="183" t="s">
        <v>1880</v>
      </c>
      <c r="J227" s="157"/>
    </row>
    <row r="228" spans="1:10" s="182" customFormat="1" ht="21.75" customHeight="1" x14ac:dyDescent="0.15">
      <c r="A228" s="156" t="s">
        <v>2905</v>
      </c>
      <c r="B228" s="20" t="s">
        <v>2906</v>
      </c>
      <c r="C228" s="207" t="s">
        <v>2909</v>
      </c>
      <c r="D228" s="157">
        <v>18023</v>
      </c>
      <c r="E228" s="209">
        <v>0</v>
      </c>
      <c r="F228" s="194">
        <v>118800</v>
      </c>
      <c r="G228" s="185">
        <v>0.9</v>
      </c>
      <c r="H228" s="183" t="s">
        <v>2910</v>
      </c>
      <c r="I228" s="183" t="s">
        <v>1880</v>
      </c>
      <c r="J228" s="157"/>
    </row>
    <row r="229" spans="1:10" s="182" customFormat="1" ht="21.75" customHeight="1" x14ac:dyDescent="0.15">
      <c r="A229" s="156" t="s">
        <v>2911</v>
      </c>
      <c r="B229" s="20" t="s">
        <v>2912</v>
      </c>
      <c r="C229" s="30" t="s">
        <v>2913</v>
      </c>
      <c r="D229" s="157">
        <v>18056</v>
      </c>
      <c r="E229" s="209">
        <v>0</v>
      </c>
      <c r="F229" s="194">
        <v>118800</v>
      </c>
      <c r="G229" s="185">
        <v>0.9</v>
      </c>
      <c r="H229" s="183" t="s">
        <v>2910</v>
      </c>
      <c r="I229" s="183" t="s">
        <v>1880</v>
      </c>
      <c r="J229" s="157"/>
    </row>
    <row r="230" spans="1:10" s="182" customFormat="1" ht="21.75" customHeight="1" x14ac:dyDescent="0.15">
      <c r="A230" s="156" t="s">
        <v>2914</v>
      </c>
      <c r="B230" s="20" t="s">
        <v>2915</v>
      </c>
      <c r="C230" s="30" t="s">
        <v>2916</v>
      </c>
      <c r="D230" s="157">
        <v>18055</v>
      </c>
      <c r="E230" s="209">
        <v>0</v>
      </c>
      <c r="F230" s="194">
        <v>118800</v>
      </c>
      <c r="G230" s="185">
        <v>0.9</v>
      </c>
      <c r="H230" s="183" t="s">
        <v>2910</v>
      </c>
      <c r="I230" s="183" t="s">
        <v>1880</v>
      </c>
      <c r="J230" s="157"/>
    </row>
    <row r="231" spans="1:10" s="182" customFormat="1" ht="21.75" customHeight="1" x14ac:dyDescent="0.15">
      <c r="A231" s="156" t="s">
        <v>2917</v>
      </c>
      <c r="B231" s="20" t="s">
        <v>2918</v>
      </c>
      <c r="C231" s="30" t="s">
        <v>2919</v>
      </c>
      <c r="D231" s="157">
        <v>18142</v>
      </c>
      <c r="E231" s="209">
        <v>0</v>
      </c>
      <c r="F231" s="194">
        <v>230000</v>
      </c>
      <c r="G231" s="185">
        <v>1</v>
      </c>
      <c r="H231" s="183" t="s">
        <v>2921</v>
      </c>
      <c r="I231" s="183" t="s">
        <v>2920</v>
      </c>
      <c r="J231" s="157"/>
    </row>
    <row r="232" spans="1:10" s="182" customFormat="1" ht="21.75" customHeight="1" x14ac:dyDescent="0.15">
      <c r="A232" s="156" t="s">
        <v>2922</v>
      </c>
      <c r="B232" s="20" t="s">
        <v>2924</v>
      </c>
      <c r="C232" s="30" t="s">
        <v>2925</v>
      </c>
      <c r="D232" s="157">
        <v>18054</v>
      </c>
      <c r="E232" s="209">
        <v>0</v>
      </c>
      <c r="F232" s="194">
        <v>118800</v>
      </c>
      <c r="G232" s="185">
        <v>0.9</v>
      </c>
      <c r="H232" s="183" t="s">
        <v>2910</v>
      </c>
      <c r="I232" s="183" t="s">
        <v>2923</v>
      </c>
      <c r="J232" s="157"/>
    </row>
    <row r="233" spans="1:10" s="182" customFormat="1" ht="21.75" customHeight="1" x14ac:dyDescent="0.15">
      <c r="A233" s="156" t="s">
        <v>2926</v>
      </c>
      <c r="B233" s="20" t="s">
        <v>2927</v>
      </c>
      <c r="C233" s="30" t="s">
        <v>2928</v>
      </c>
      <c r="D233" s="157">
        <v>14002</v>
      </c>
      <c r="E233" s="209">
        <v>0</v>
      </c>
      <c r="F233" s="194">
        <v>37720</v>
      </c>
      <c r="G233" s="185">
        <v>0.1</v>
      </c>
      <c r="H233" s="183" t="s">
        <v>2929</v>
      </c>
      <c r="I233" s="183" t="s">
        <v>2930</v>
      </c>
      <c r="J233" s="157"/>
    </row>
    <row r="234" spans="1:10" s="182" customFormat="1" ht="21.75" customHeight="1" x14ac:dyDescent="0.15">
      <c r="A234" s="156" t="s">
        <v>2931</v>
      </c>
      <c r="B234" s="20" t="s">
        <v>2932</v>
      </c>
      <c r="C234" s="30" t="s">
        <v>2933</v>
      </c>
      <c r="D234" s="157">
        <v>18075</v>
      </c>
      <c r="E234" s="209">
        <v>0</v>
      </c>
      <c r="F234" s="194">
        <v>126000</v>
      </c>
      <c r="G234" s="185">
        <v>1</v>
      </c>
      <c r="H234" s="183" t="s">
        <v>2934</v>
      </c>
      <c r="I234" s="187" t="s">
        <v>1880</v>
      </c>
      <c r="J234" s="157"/>
    </row>
    <row r="235" spans="1:10" s="182" customFormat="1" ht="21.75" customHeight="1" x14ac:dyDescent="0.15">
      <c r="A235" s="156" t="s">
        <v>2935</v>
      </c>
      <c r="B235" s="20" t="s">
        <v>2937</v>
      </c>
      <c r="C235" s="30" t="s">
        <v>2605</v>
      </c>
      <c r="D235" s="157">
        <v>16083</v>
      </c>
      <c r="E235" s="209">
        <v>0</v>
      </c>
      <c r="F235" s="194">
        <v>20000</v>
      </c>
      <c r="G235" s="185" t="s">
        <v>2939</v>
      </c>
      <c r="H235" s="183" t="s">
        <v>2938</v>
      </c>
      <c r="I235" s="183" t="s">
        <v>190</v>
      </c>
      <c r="J235" s="157"/>
    </row>
    <row r="236" spans="1:10" s="182" customFormat="1" ht="21.75" customHeight="1" x14ac:dyDescent="0.15">
      <c r="A236" s="156" t="s">
        <v>2935</v>
      </c>
      <c r="B236" s="20" t="s">
        <v>2936</v>
      </c>
      <c r="C236" s="30" t="s">
        <v>2942</v>
      </c>
      <c r="D236" s="157">
        <v>16115</v>
      </c>
      <c r="E236" s="209">
        <v>0</v>
      </c>
      <c r="F236" s="194">
        <v>100000</v>
      </c>
      <c r="G236" s="185">
        <v>1</v>
      </c>
      <c r="H236" s="183" t="s">
        <v>2940</v>
      </c>
      <c r="I236" s="183" t="s">
        <v>2941</v>
      </c>
      <c r="J236" s="157"/>
    </row>
    <row r="237" spans="1:10" s="182" customFormat="1" ht="21.75" customHeight="1" x14ac:dyDescent="0.15">
      <c r="A237" s="156" t="s">
        <v>2975</v>
      </c>
      <c r="B237" s="20" t="s">
        <v>2976</v>
      </c>
      <c r="C237" s="30" t="s">
        <v>2977</v>
      </c>
      <c r="D237" s="157">
        <v>18159</v>
      </c>
      <c r="E237" s="209">
        <v>0</v>
      </c>
      <c r="F237" s="194">
        <v>78120</v>
      </c>
      <c r="G237" s="185">
        <v>0.9</v>
      </c>
      <c r="H237" s="183" t="s">
        <v>2979</v>
      </c>
      <c r="I237" s="183" t="s">
        <v>2978</v>
      </c>
      <c r="J237" s="157"/>
    </row>
    <row r="238" spans="1:10" s="182" customFormat="1" ht="21.75" customHeight="1" x14ac:dyDescent="0.15">
      <c r="A238" s="156" t="s">
        <v>2943</v>
      </c>
      <c r="B238" s="20" t="s">
        <v>2944</v>
      </c>
      <c r="C238" s="30" t="s">
        <v>2945</v>
      </c>
      <c r="D238" s="157">
        <v>18079</v>
      </c>
      <c r="E238" s="209">
        <v>0</v>
      </c>
      <c r="F238" s="194">
        <v>126000</v>
      </c>
      <c r="G238" s="185">
        <v>1</v>
      </c>
      <c r="H238" s="183" t="s">
        <v>285</v>
      </c>
      <c r="I238" s="187" t="s">
        <v>1880</v>
      </c>
      <c r="J238" s="157"/>
    </row>
    <row r="239" spans="1:10" s="182" customFormat="1" ht="21.75" customHeight="1" x14ac:dyDescent="0.15">
      <c r="A239" s="156" t="s">
        <v>2943</v>
      </c>
      <c r="B239" s="20" t="s">
        <v>2946</v>
      </c>
      <c r="C239" s="30" t="s">
        <v>2947</v>
      </c>
      <c r="D239" s="157">
        <v>18073</v>
      </c>
      <c r="E239" s="209">
        <v>0</v>
      </c>
      <c r="F239" s="194">
        <v>126000</v>
      </c>
      <c r="G239" s="185">
        <v>1</v>
      </c>
      <c r="H239" s="183" t="s">
        <v>285</v>
      </c>
      <c r="I239" s="187" t="s">
        <v>1880</v>
      </c>
      <c r="J239" s="157"/>
    </row>
    <row r="240" spans="1:10" s="182" customFormat="1" ht="21.75" customHeight="1" x14ac:dyDescent="0.15">
      <c r="A240" s="156" t="s">
        <v>2943</v>
      </c>
      <c r="B240" s="20" t="s">
        <v>2948</v>
      </c>
      <c r="C240" s="30" t="s">
        <v>2949</v>
      </c>
      <c r="D240" s="157">
        <v>18083</v>
      </c>
      <c r="E240" s="209">
        <v>0</v>
      </c>
      <c r="F240" s="194">
        <v>126000</v>
      </c>
      <c r="G240" s="185">
        <v>1</v>
      </c>
      <c r="H240" s="183" t="s">
        <v>285</v>
      </c>
      <c r="I240" s="187" t="s">
        <v>1880</v>
      </c>
      <c r="J240" s="157"/>
    </row>
    <row r="241" spans="1:10" s="182" customFormat="1" ht="21.75" customHeight="1" x14ac:dyDescent="0.15">
      <c r="A241" s="156" t="s">
        <v>2943</v>
      </c>
      <c r="B241" s="20" t="s">
        <v>2950</v>
      </c>
      <c r="C241" s="30" t="s">
        <v>2951</v>
      </c>
      <c r="D241" s="157">
        <v>18085</v>
      </c>
      <c r="E241" s="209">
        <v>0</v>
      </c>
      <c r="F241" s="194">
        <v>126000</v>
      </c>
      <c r="G241" s="185">
        <v>1</v>
      </c>
      <c r="H241" s="183" t="s">
        <v>285</v>
      </c>
      <c r="I241" s="187" t="s">
        <v>1880</v>
      </c>
      <c r="J241" s="157"/>
    </row>
    <row r="242" spans="1:10" s="182" customFormat="1" ht="21.75" customHeight="1" x14ac:dyDescent="0.15">
      <c r="A242" s="156" t="s">
        <v>2943</v>
      </c>
      <c r="B242" s="20" t="s">
        <v>2952</v>
      </c>
      <c r="C242" s="225" t="s">
        <v>2953</v>
      </c>
      <c r="D242" s="178" t="s">
        <v>2957</v>
      </c>
      <c r="E242" s="209">
        <v>0</v>
      </c>
      <c r="F242" s="194">
        <v>126000</v>
      </c>
      <c r="G242" s="185">
        <v>1</v>
      </c>
      <c r="H242" s="183" t="s">
        <v>285</v>
      </c>
      <c r="I242" s="187" t="s">
        <v>1880</v>
      </c>
      <c r="J242" s="1171" t="s">
        <v>2961</v>
      </c>
    </row>
    <row r="243" spans="1:10" s="182" customFormat="1" ht="21.75" customHeight="1" x14ac:dyDescent="0.15">
      <c r="A243" s="156" t="s">
        <v>2943</v>
      </c>
      <c r="B243" s="20" t="s">
        <v>2952</v>
      </c>
      <c r="C243" s="225" t="s">
        <v>2954</v>
      </c>
      <c r="D243" s="178" t="s">
        <v>2958</v>
      </c>
      <c r="E243" s="209">
        <v>0</v>
      </c>
      <c r="F243" s="194">
        <v>126000</v>
      </c>
      <c r="G243" s="185">
        <v>1</v>
      </c>
      <c r="H243" s="183" t="s">
        <v>285</v>
      </c>
      <c r="I243" s="187" t="s">
        <v>1880</v>
      </c>
      <c r="J243" s="1172"/>
    </row>
    <row r="244" spans="1:10" s="182" customFormat="1" ht="21.75" customHeight="1" x14ac:dyDescent="0.15">
      <c r="A244" s="156" t="s">
        <v>2943</v>
      </c>
      <c r="B244" s="20" t="s">
        <v>2952</v>
      </c>
      <c r="C244" s="225" t="s">
        <v>2955</v>
      </c>
      <c r="D244" s="178" t="s">
        <v>2959</v>
      </c>
      <c r="E244" s="209">
        <v>0</v>
      </c>
      <c r="F244" s="194">
        <v>126000</v>
      </c>
      <c r="G244" s="185">
        <v>1</v>
      </c>
      <c r="H244" s="183" t="s">
        <v>285</v>
      </c>
      <c r="I244" s="187" t="s">
        <v>1880</v>
      </c>
      <c r="J244" s="1172"/>
    </row>
    <row r="245" spans="1:10" s="182" customFormat="1" ht="21.75" customHeight="1" x14ac:dyDescent="0.15">
      <c r="A245" s="156" t="s">
        <v>2943</v>
      </c>
      <c r="B245" s="20" t="s">
        <v>2952</v>
      </c>
      <c r="C245" s="225" t="s">
        <v>2956</v>
      </c>
      <c r="D245" s="178" t="s">
        <v>2960</v>
      </c>
      <c r="E245" s="209">
        <v>0</v>
      </c>
      <c r="F245" s="194">
        <v>126000</v>
      </c>
      <c r="G245" s="185">
        <v>1</v>
      </c>
      <c r="H245" s="183" t="s">
        <v>285</v>
      </c>
      <c r="I245" s="187" t="s">
        <v>1880</v>
      </c>
      <c r="J245" s="1173"/>
    </row>
    <row r="246" spans="1:10" s="182" customFormat="1" ht="47.25" customHeight="1" x14ac:dyDescent="0.15">
      <c r="A246" s="156" t="s">
        <v>2962</v>
      </c>
      <c r="B246" s="20" t="s">
        <v>282</v>
      </c>
      <c r="C246" s="30" t="s">
        <v>2965</v>
      </c>
      <c r="D246" s="157">
        <v>15002</v>
      </c>
      <c r="E246" s="209">
        <v>257348</v>
      </c>
      <c r="F246" s="194">
        <v>0</v>
      </c>
      <c r="G246" s="185" t="s">
        <v>2966</v>
      </c>
      <c r="H246" s="183" t="s">
        <v>2963</v>
      </c>
      <c r="I246" s="183" t="s">
        <v>2964</v>
      </c>
      <c r="J246" s="157" t="s">
        <v>2970</v>
      </c>
    </row>
    <row r="247" spans="1:10" s="182" customFormat="1" ht="42" customHeight="1" x14ac:dyDescent="0.15">
      <c r="A247" s="156" t="s">
        <v>2943</v>
      </c>
      <c r="B247" s="20" t="s">
        <v>282</v>
      </c>
      <c r="C247" s="30" t="s">
        <v>2967</v>
      </c>
      <c r="D247" s="157">
        <v>15002</v>
      </c>
      <c r="E247" s="209">
        <v>92652</v>
      </c>
      <c r="F247" s="194">
        <v>0</v>
      </c>
      <c r="G247" s="185" t="s">
        <v>2968</v>
      </c>
      <c r="H247" s="183" t="s">
        <v>2969</v>
      </c>
      <c r="I247" s="183" t="s">
        <v>2964</v>
      </c>
      <c r="J247" s="157" t="s">
        <v>2970</v>
      </c>
    </row>
    <row r="248" spans="1:10" s="182" customFormat="1" ht="21.75" customHeight="1" x14ac:dyDescent="0.15">
      <c r="A248" s="156" t="s">
        <v>2971</v>
      </c>
      <c r="B248" s="20" t="s">
        <v>490</v>
      </c>
      <c r="C248" s="30" t="s">
        <v>2972</v>
      </c>
      <c r="D248" s="157">
        <v>18082</v>
      </c>
      <c r="E248" s="209">
        <v>0</v>
      </c>
      <c r="F248" s="194">
        <v>126000</v>
      </c>
      <c r="G248" s="185">
        <v>1</v>
      </c>
      <c r="H248" s="183" t="s">
        <v>285</v>
      </c>
      <c r="I248" s="187" t="s">
        <v>1880</v>
      </c>
      <c r="J248" s="157"/>
    </row>
    <row r="249" spans="1:10" s="182" customFormat="1" ht="21.75" customHeight="1" x14ac:dyDescent="0.15">
      <c r="A249" s="156" t="s">
        <v>2971</v>
      </c>
      <c r="B249" s="20" t="s">
        <v>2973</v>
      </c>
      <c r="C249" s="30" t="s">
        <v>2974</v>
      </c>
      <c r="D249" s="157">
        <v>18071</v>
      </c>
      <c r="E249" s="209">
        <v>0</v>
      </c>
      <c r="F249" s="194">
        <v>126000</v>
      </c>
      <c r="G249" s="185">
        <v>1</v>
      </c>
      <c r="H249" s="183" t="s">
        <v>285</v>
      </c>
      <c r="I249" s="187" t="s">
        <v>1880</v>
      </c>
      <c r="J249" s="157"/>
    </row>
    <row r="250" spans="1:10" s="182" customFormat="1" ht="21.75" customHeight="1" x14ac:dyDescent="0.15">
      <c r="A250" s="156" t="s">
        <v>2980</v>
      </c>
      <c r="B250" s="20" t="s">
        <v>2981</v>
      </c>
      <c r="C250" s="30" t="s">
        <v>2982</v>
      </c>
      <c r="D250" s="157">
        <v>18076</v>
      </c>
      <c r="E250" s="209">
        <v>0</v>
      </c>
      <c r="F250" s="194">
        <v>126000</v>
      </c>
      <c r="G250" s="185">
        <v>1</v>
      </c>
      <c r="H250" s="183" t="s">
        <v>285</v>
      </c>
      <c r="I250" s="187" t="s">
        <v>1880</v>
      </c>
      <c r="J250" s="157"/>
    </row>
    <row r="251" spans="1:10" s="182" customFormat="1" ht="21.75" customHeight="1" x14ac:dyDescent="0.15">
      <c r="A251" s="156" t="s">
        <v>2980</v>
      </c>
      <c r="B251" s="20" t="s">
        <v>2983</v>
      </c>
      <c r="C251" s="30" t="s">
        <v>2984</v>
      </c>
      <c r="D251" s="157">
        <v>18074</v>
      </c>
      <c r="E251" s="209">
        <v>0</v>
      </c>
      <c r="F251" s="194">
        <v>126000</v>
      </c>
      <c r="G251" s="185">
        <v>1</v>
      </c>
      <c r="H251" s="183" t="s">
        <v>285</v>
      </c>
      <c r="I251" s="187" t="s">
        <v>1880</v>
      </c>
      <c r="J251" s="157"/>
    </row>
    <row r="252" spans="1:10" s="182" customFormat="1" ht="21.75" customHeight="1" x14ac:dyDescent="0.15">
      <c r="A252" s="156" t="s">
        <v>2980</v>
      </c>
      <c r="B252" s="20" t="s">
        <v>2985</v>
      </c>
      <c r="C252" s="30" t="s">
        <v>2986</v>
      </c>
      <c r="D252" s="157">
        <v>18080</v>
      </c>
      <c r="E252" s="209">
        <v>0</v>
      </c>
      <c r="F252" s="194">
        <v>126000</v>
      </c>
      <c r="G252" s="185">
        <v>1</v>
      </c>
      <c r="H252" s="183" t="s">
        <v>285</v>
      </c>
      <c r="I252" s="187" t="s">
        <v>1880</v>
      </c>
      <c r="J252" s="157"/>
    </row>
    <row r="253" spans="1:10" s="182" customFormat="1" ht="21.75" customHeight="1" x14ac:dyDescent="0.15">
      <c r="A253" s="156" t="s">
        <v>2980</v>
      </c>
      <c r="B253" s="20" t="s">
        <v>2987</v>
      </c>
      <c r="C253" s="30" t="s">
        <v>2988</v>
      </c>
      <c r="D253" s="157">
        <v>18078</v>
      </c>
      <c r="E253" s="209">
        <v>0</v>
      </c>
      <c r="F253" s="194">
        <v>126000</v>
      </c>
      <c r="G253" s="185">
        <v>1</v>
      </c>
      <c r="H253" s="183" t="s">
        <v>285</v>
      </c>
      <c r="I253" s="187" t="s">
        <v>1880</v>
      </c>
      <c r="J253" s="157"/>
    </row>
    <row r="254" spans="1:10" s="182" customFormat="1" ht="21.75" customHeight="1" x14ac:dyDescent="0.15">
      <c r="A254" s="156" t="s">
        <v>2980</v>
      </c>
      <c r="B254" s="20" t="s">
        <v>2989</v>
      </c>
      <c r="C254" s="30" t="s">
        <v>2990</v>
      </c>
      <c r="D254" s="157">
        <v>18084</v>
      </c>
      <c r="E254" s="209">
        <v>0</v>
      </c>
      <c r="F254" s="194">
        <v>126000</v>
      </c>
      <c r="G254" s="185">
        <v>1</v>
      </c>
      <c r="H254" s="183" t="s">
        <v>285</v>
      </c>
      <c r="I254" s="187" t="s">
        <v>1880</v>
      </c>
      <c r="J254" s="157"/>
    </row>
    <row r="255" spans="1:10" s="182" customFormat="1" ht="21.75" customHeight="1" x14ac:dyDescent="0.15">
      <c r="A255" s="156" t="s">
        <v>2991</v>
      </c>
      <c r="B255" s="20" t="s">
        <v>2992</v>
      </c>
      <c r="C255" s="30" t="s">
        <v>2993</v>
      </c>
      <c r="D255" s="157">
        <v>18021</v>
      </c>
      <c r="E255" s="209">
        <v>0</v>
      </c>
      <c r="F255" s="194">
        <v>118800</v>
      </c>
      <c r="G255" s="185">
        <v>0.9</v>
      </c>
      <c r="H255" s="183" t="s">
        <v>2910</v>
      </c>
      <c r="I255" s="183" t="s">
        <v>1880</v>
      </c>
      <c r="J255" s="157"/>
    </row>
    <row r="256" spans="1:10" s="182" customFormat="1" ht="21.75" customHeight="1" x14ac:dyDescent="0.15">
      <c r="A256" s="156" t="s">
        <v>2994</v>
      </c>
      <c r="B256" s="20" t="s">
        <v>2996</v>
      </c>
      <c r="C256" s="30" t="s">
        <v>2997</v>
      </c>
      <c r="D256" s="157">
        <v>18081</v>
      </c>
      <c r="E256" s="209">
        <v>0</v>
      </c>
      <c r="F256" s="194">
        <v>126000</v>
      </c>
      <c r="G256" s="185">
        <v>1</v>
      </c>
      <c r="H256" s="183" t="s">
        <v>285</v>
      </c>
      <c r="I256" s="187" t="s">
        <v>1880</v>
      </c>
      <c r="J256" s="157"/>
    </row>
    <row r="257" spans="1:10" s="182" customFormat="1" ht="21.75" customHeight="1" x14ac:dyDescent="0.15">
      <c r="A257" s="156" t="s">
        <v>2994</v>
      </c>
      <c r="B257" s="20" t="s">
        <v>2998</v>
      </c>
      <c r="C257" s="30" t="s">
        <v>2999</v>
      </c>
      <c r="D257" s="157">
        <v>18077</v>
      </c>
      <c r="E257" s="209">
        <v>0</v>
      </c>
      <c r="F257" s="194">
        <v>126000</v>
      </c>
      <c r="G257" s="185">
        <v>1</v>
      </c>
      <c r="H257" s="183" t="s">
        <v>285</v>
      </c>
      <c r="I257" s="187" t="s">
        <v>1880</v>
      </c>
      <c r="J257" s="157"/>
    </row>
    <row r="258" spans="1:10" s="182" customFormat="1" ht="21.75" customHeight="1" x14ac:dyDescent="0.15">
      <c r="A258" s="156" t="s">
        <v>2994</v>
      </c>
      <c r="B258" s="20" t="s">
        <v>2995</v>
      </c>
      <c r="C258" s="30" t="s">
        <v>81</v>
      </c>
      <c r="D258" s="157">
        <v>12030</v>
      </c>
      <c r="E258" s="209">
        <v>0</v>
      </c>
      <c r="F258" s="194">
        <v>75050</v>
      </c>
      <c r="G258" s="185">
        <v>0.1</v>
      </c>
      <c r="H258" s="183" t="s">
        <v>3000</v>
      </c>
      <c r="I258" s="187" t="s">
        <v>3001</v>
      </c>
      <c r="J258" s="157"/>
    </row>
    <row r="259" spans="1:10" s="182" customFormat="1" ht="21.75" customHeight="1" x14ac:dyDescent="0.15">
      <c r="A259" s="156" t="s">
        <v>3003</v>
      </c>
      <c r="B259" s="20" t="s">
        <v>3002</v>
      </c>
      <c r="C259" s="30" t="s">
        <v>3004</v>
      </c>
      <c r="D259" s="157">
        <v>18163</v>
      </c>
      <c r="E259" s="209">
        <v>0</v>
      </c>
      <c r="F259" s="194">
        <v>40000</v>
      </c>
      <c r="G259" s="185">
        <v>0.25</v>
      </c>
      <c r="H259" s="183" t="s">
        <v>3006</v>
      </c>
      <c r="I259" s="183" t="s">
        <v>3005</v>
      </c>
      <c r="J259" s="157"/>
    </row>
    <row r="260" spans="1:10" s="182" customFormat="1" ht="21.75" customHeight="1" x14ac:dyDescent="0.15">
      <c r="A260" s="156" t="s">
        <v>3007</v>
      </c>
      <c r="B260" s="20" t="s">
        <v>3008</v>
      </c>
      <c r="C260" s="30" t="s">
        <v>3011</v>
      </c>
      <c r="D260" s="157">
        <v>16116</v>
      </c>
      <c r="E260" s="209">
        <v>0</v>
      </c>
      <c r="F260" s="194">
        <v>239200</v>
      </c>
      <c r="G260" s="185">
        <v>0.4</v>
      </c>
      <c r="H260" s="183" t="s">
        <v>3009</v>
      </c>
      <c r="I260" s="183" t="s">
        <v>3010</v>
      </c>
      <c r="J260" s="157"/>
    </row>
    <row r="261" spans="1:10" s="182" customFormat="1" ht="21.75" customHeight="1" x14ac:dyDescent="0.15">
      <c r="A261" s="156" t="s">
        <v>3007</v>
      </c>
      <c r="B261" s="20" t="s">
        <v>3012</v>
      </c>
      <c r="C261" s="207" t="s">
        <v>3015</v>
      </c>
      <c r="D261" s="157">
        <v>18053</v>
      </c>
      <c r="E261" s="209">
        <v>74500</v>
      </c>
      <c r="F261" s="194">
        <v>0</v>
      </c>
      <c r="G261" s="222">
        <v>0.29799999999999999</v>
      </c>
      <c r="H261" s="183" t="s">
        <v>3014</v>
      </c>
      <c r="I261" s="183" t="s">
        <v>3013</v>
      </c>
      <c r="J261" s="157" t="s">
        <v>3016</v>
      </c>
    </row>
    <row r="262" spans="1:10" s="182" customFormat="1" ht="21.75" customHeight="1" x14ac:dyDescent="0.15">
      <c r="A262" s="156" t="s">
        <v>3007</v>
      </c>
      <c r="B262" s="20" t="s">
        <v>3012</v>
      </c>
      <c r="C262" s="207" t="s">
        <v>3015</v>
      </c>
      <c r="D262" s="157">
        <v>18053</v>
      </c>
      <c r="E262" s="209">
        <v>50000</v>
      </c>
      <c r="F262" s="194">
        <v>0</v>
      </c>
      <c r="G262" s="185">
        <v>0.2</v>
      </c>
      <c r="H262" s="183" t="s">
        <v>3014</v>
      </c>
      <c r="I262" s="183" t="s">
        <v>3013</v>
      </c>
      <c r="J262" s="157" t="s">
        <v>3017</v>
      </c>
    </row>
    <row r="263" spans="1:10" s="182" customFormat="1" ht="21.75" customHeight="1" x14ac:dyDescent="0.15">
      <c r="A263" s="156" t="s">
        <v>3022</v>
      </c>
      <c r="B263" s="20" t="s">
        <v>3018</v>
      </c>
      <c r="C263" s="30" t="s">
        <v>3021</v>
      </c>
      <c r="D263" s="157">
        <v>18038</v>
      </c>
      <c r="E263" s="209">
        <v>0</v>
      </c>
      <c r="F263" s="194">
        <v>183666.33</v>
      </c>
      <c r="G263" s="185" t="s">
        <v>3494</v>
      </c>
      <c r="H263" s="183" t="s">
        <v>3019</v>
      </c>
      <c r="I263" s="183" t="s">
        <v>3020</v>
      </c>
      <c r="J263" s="157"/>
    </row>
    <row r="264" spans="1:10" s="182" customFormat="1" ht="21.75" customHeight="1" x14ac:dyDescent="0.15">
      <c r="A264" s="156" t="s">
        <v>3023</v>
      </c>
      <c r="B264" s="20" t="s">
        <v>3024</v>
      </c>
      <c r="C264" s="30" t="s">
        <v>3027</v>
      </c>
      <c r="D264" s="157">
        <v>18034</v>
      </c>
      <c r="E264" s="209">
        <v>0</v>
      </c>
      <c r="F264" s="194">
        <v>160000</v>
      </c>
      <c r="G264" s="185">
        <v>1</v>
      </c>
      <c r="H264" s="183" t="s">
        <v>3025</v>
      </c>
      <c r="I264" s="183" t="s">
        <v>3026</v>
      </c>
      <c r="J264" s="157"/>
    </row>
    <row r="265" spans="1:10" s="182" customFormat="1" ht="21.75" customHeight="1" x14ac:dyDescent="0.15">
      <c r="A265" s="156" t="s">
        <v>3028</v>
      </c>
      <c r="B265" s="20" t="s">
        <v>3029</v>
      </c>
      <c r="C265" s="30" t="s">
        <v>3030</v>
      </c>
      <c r="D265" s="157">
        <v>18111</v>
      </c>
      <c r="E265" s="209">
        <v>0</v>
      </c>
      <c r="F265" s="194">
        <v>160000</v>
      </c>
      <c r="G265" s="185">
        <v>1</v>
      </c>
      <c r="H265" s="183" t="s">
        <v>3031</v>
      </c>
      <c r="I265" s="183" t="s">
        <v>3032</v>
      </c>
      <c r="J265" s="157"/>
    </row>
    <row r="266" spans="1:10" s="182" customFormat="1" ht="21.75" customHeight="1" x14ac:dyDescent="0.15">
      <c r="A266" s="156" t="s">
        <v>3033</v>
      </c>
      <c r="B266" s="20" t="s">
        <v>3034</v>
      </c>
      <c r="C266" s="30" t="s">
        <v>3036</v>
      </c>
      <c r="D266" s="157">
        <v>17125</v>
      </c>
      <c r="E266" s="209">
        <v>0</v>
      </c>
      <c r="F266" s="194">
        <v>100000</v>
      </c>
      <c r="G266" s="185">
        <v>1</v>
      </c>
      <c r="H266" s="183" t="s">
        <v>285</v>
      </c>
      <c r="I266" s="183" t="s">
        <v>3037</v>
      </c>
      <c r="J266" s="157"/>
    </row>
    <row r="267" spans="1:10" s="182" customFormat="1" ht="21.75" customHeight="1" x14ac:dyDescent="0.15">
      <c r="A267" s="156" t="s">
        <v>3033</v>
      </c>
      <c r="B267" s="20" t="s">
        <v>3035</v>
      </c>
      <c r="C267" s="30" t="s">
        <v>3038</v>
      </c>
      <c r="D267" s="157">
        <v>17124</v>
      </c>
      <c r="E267" s="209">
        <v>0</v>
      </c>
      <c r="F267" s="194">
        <v>100000</v>
      </c>
      <c r="G267" s="185">
        <v>1</v>
      </c>
      <c r="H267" s="183" t="s">
        <v>285</v>
      </c>
      <c r="I267" s="183" t="s">
        <v>3037</v>
      </c>
      <c r="J267" s="157"/>
    </row>
    <row r="268" spans="1:10" s="182" customFormat="1" ht="21.75" customHeight="1" x14ac:dyDescent="0.15">
      <c r="A268" s="156" t="s">
        <v>3092</v>
      </c>
      <c r="B268" s="20" t="s">
        <v>3039</v>
      </c>
      <c r="C268" s="30" t="s">
        <v>3040</v>
      </c>
      <c r="D268" s="157">
        <v>17065</v>
      </c>
      <c r="E268" s="209">
        <v>0</v>
      </c>
      <c r="F268" s="194">
        <v>322717.5</v>
      </c>
      <c r="G268" s="185">
        <v>0.7</v>
      </c>
      <c r="H268" s="183" t="s">
        <v>3042</v>
      </c>
      <c r="I268" s="183" t="s">
        <v>3041</v>
      </c>
      <c r="J268" s="157"/>
    </row>
    <row r="269" spans="1:10" s="182" customFormat="1" ht="21.75" customHeight="1" x14ac:dyDescent="0.15">
      <c r="A269" s="156" t="s">
        <v>3043</v>
      </c>
      <c r="B269" s="20" t="s">
        <v>3045</v>
      </c>
      <c r="C269" s="207" t="s">
        <v>2468</v>
      </c>
      <c r="D269" s="178" t="s">
        <v>3046</v>
      </c>
      <c r="E269" s="209">
        <v>0</v>
      </c>
      <c r="F269" s="194">
        <v>182925</v>
      </c>
      <c r="G269" s="185">
        <v>0.9</v>
      </c>
      <c r="H269" s="183" t="s">
        <v>3048</v>
      </c>
      <c r="I269" s="187" t="s">
        <v>3049</v>
      </c>
      <c r="J269" s="157"/>
    </row>
    <row r="270" spans="1:10" s="182" customFormat="1" ht="21.75" customHeight="1" x14ac:dyDescent="0.15">
      <c r="A270" s="156" t="s">
        <v>3043</v>
      </c>
      <c r="B270" s="20" t="s">
        <v>3045</v>
      </c>
      <c r="C270" s="207" t="s">
        <v>2467</v>
      </c>
      <c r="D270" s="178" t="s">
        <v>3047</v>
      </c>
      <c r="E270" s="209">
        <v>0</v>
      </c>
      <c r="F270" s="194">
        <v>182925</v>
      </c>
      <c r="G270" s="185">
        <v>0.9</v>
      </c>
      <c r="H270" s="183" t="s">
        <v>3048</v>
      </c>
      <c r="I270" s="187" t="s">
        <v>3049</v>
      </c>
      <c r="J270" s="157"/>
    </row>
    <row r="271" spans="1:10" s="182" customFormat="1" ht="21.75" customHeight="1" x14ac:dyDescent="0.15">
      <c r="A271" s="156" t="s">
        <v>3044</v>
      </c>
      <c r="B271" s="20" t="s">
        <v>2312</v>
      </c>
      <c r="C271" s="30" t="s">
        <v>2913</v>
      </c>
      <c r="D271" s="157">
        <v>17050</v>
      </c>
      <c r="E271" s="209">
        <v>0</v>
      </c>
      <c r="F271" s="194">
        <v>49000</v>
      </c>
      <c r="G271" s="185">
        <v>0.2</v>
      </c>
      <c r="H271" s="183" t="s">
        <v>3050</v>
      </c>
      <c r="I271" s="183" t="s">
        <v>3051</v>
      </c>
      <c r="J271" s="157"/>
    </row>
    <row r="272" spans="1:10" s="182" customFormat="1" ht="21.75" customHeight="1" x14ac:dyDescent="0.15">
      <c r="A272" s="156" t="s">
        <v>3052</v>
      </c>
      <c r="B272" s="20" t="s">
        <v>3053</v>
      </c>
      <c r="C272" s="30" t="s">
        <v>2313</v>
      </c>
      <c r="D272" s="157">
        <v>17049</v>
      </c>
      <c r="E272" s="209">
        <v>0</v>
      </c>
      <c r="F272" s="194">
        <v>90000</v>
      </c>
      <c r="G272" s="185">
        <v>0.2</v>
      </c>
      <c r="H272" s="183" t="s">
        <v>3054</v>
      </c>
      <c r="I272" s="183" t="s">
        <v>1880</v>
      </c>
      <c r="J272" s="157"/>
    </row>
    <row r="273" spans="1:10" s="182" customFormat="1" ht="21.75" customHeight="1" x14ac:dyDescent="0.15">
      <c r="A273" s="156" t="s">
        <v>3052</v>
      </c>
      <c r="B273" s="20" t="s">
        <v>3053</v>
      </c>
      <c r="C273" s="30" t="s">
        <v>2313</v>
      </c>
      <c r="D273" s="157">
        <v>17048</v>
      </c>
      <c r="E273" s="209">
        <v>0</v>
      </c>
      <c r="F273" s="194">
        <v>70000</v>
      </c>
      <c r="G273" s="185">
        <v>0.2</v>
      </c>
      <c r="H273" s="183" t="s">
        <v>3054</v>
      </c>
      <c r="I273" s="183" t="s">
        <v>1880</v>
      </c>
      <c r="J273" s="157"/>
    </row>
    <row r="274" spans="1:10" s="182" customFormat="1" ht="21.75" customHeight="1" x14ac:dyDescent="0.15">
      <c r="A274" s="156" t="s">
        <v>3052</v>
      </c>
      <c r="B274" s="20" t="s">
        <v>3057</v>
      </c>
      <c r="C274" s="30" t="s">
        <v>3058</v>
      </c>
      <c r="D274" s="157">
        <v>12050</v>
      </c>
      <c r="E274" s="209">
        <v>0</v>
      </c>
      <c r="F274" s="194">
        <v>50000</v>
      </c>
      <c r="G274" s="185" t="s">
        <v>3059</v>
      </c>
      <c r="H274" s="183" t="s">
        <v>3061</v>
      </c>
      <c r="I274" s="183" t="s">
        <v>3060</v>
      </c>
      <c r="J274" s="157"/>
    </row>
    <row r="275" spans="1:10" s="182" customFormat="1" ht="21.75" customHeight="1" x14ac:dyDescent="0.15">
      <c r="A275" s="156" t="s">
        <v>3055</v>
      </c>
      <c r="B275" s="20" t="s">
        <v>3056</v>
      </c>
      <c r="C275" s="30" t="s">
        <v>3062</v>
      </c>
      <c r="D275" s="157">
        <v>18115</v>
      </c>
      <c r="E275" s="209">
        <v>0</v>
      </c>
      <c r="F275" s="194">
        <v>37206</v>
      </c>
      <c r="G275" s="185" t="s">
        <v>3063</v>
      </c>
      <c r="H275" s="183" t="s">
        <v>3064</v>
      </c>
      <c r="I275" s="183" t="s">
        <v>3066</v>
      </c>
      <c r="J275" s="226" t="s">
        <v>3065</v>
      </c>
    </row>
    <row r="276" spans="1:10" s="182" customFormat="1" ht="21.75" customHeight="1" x14ac:dyDescent="0.15">
      <c r="A276" s="156" t="s">
        <v>3067</v>
      </c>
      <c r="B276" s="20" t="s">
        <v>3068</v>
      </c>
      <c r="C276" s="30" t="s">
        <v>3069</v>
      </c>
      <c r="D276" s="157">
        <v>18160</v>
      </c>
      <c r="E276" s="209">
        <v>0</v>
      </c>
      <c r="F276" s="194">
        <v>94500</v>
      </c>
      <c r="G276" s="185">
        <v>0.9</v>
      </c>
      <c r="H276" s="183" t="s">
        <v>3070</v>
      </c>
      <c r="I276" s="183" t="s">
        <v>3071</v>
      </c>
      <c r="J276" s="157"/>
    </row>
    <row r="277" spans="1:10" s="182" customFormat="1" ht="21.75" customHeight="1" x14ac:dyDescent="0.15">
      <c r="A277" s="156" t="s">
        <v>3072</v>
      </c>
      <c r="B277" s="20" t="s">
        <v>3073</v>
      </c>
      <c r="C277" s="30" t="s">
        <v>3076</v>
      </c>
      <c r="D277" s="157">
        <v>16045</v>
      </c>
      <c r="E277" s="209">
        <v>0</v>
      </c>
      <c r="F277" s="194">
        <v>5900</v>
      </c>
      <c r="G277" s="185">
        <v>0.1</v>
      </c>
      <c r="H277" s="183" t="s">
        <v>3074</v>
      </c>
      <c r="I277" s="183" t="s">
        <v>3075</v>
      </c>
      <c r="J277" s="157"/>
    </row>
    <row r="278" spans="1:10" s="182" customFormat="1" ht="22.5" x14ac:dyDescent="0.15">
      <c r="A278" s="156" t="s">
        <v>3077</v>
      </c>
      <c r="B278" s="20" t="s">
        <v>3078</v>
      </c>
      <c r="C278" s="180" t="s">
        <v>2866</v>
      </c>
      <c r="D278" s="157" t="s">
        <v>3079</v>
      </c>
      <c r="E278" s="209">
        <v>0</v>
      </c>
      <c r="F278" s="194">
        <v>50000</v>
      </c>
      <c r="G278" s="185">
        <v>0.5</v>
      </c>
      <c r="H278" s="183" t="s">
        <v>3081</v>
      </c>
      <c r="I278" s="183" t="s">
        <v>3082</v>
      </c>
      <c r="J278" s="157"/>
    </row>
    <row r="279" spans="1:10" s="182" customFormat="1" ht="21.75" customHeight="1" x14ac:dyDescent="0.15">
      <c r="A279" s="156" t="s">
        <v>3077</v>
      </c>
      <c r="B279" s="20" t="s">
        <v>3078</v>
      </c>
      <c r="C279" s="180" t="s">
        <v>2867</v>
      </c>
      <c r="D279" s="157" t="s">
        <v>3080</v>
      </c>
      <c r="E279" s="209">
        <v>0</v>
      </c>
      <c r="F279" s="194">
        <v>50000</v>
      </c>
      <c r="G279" s="185">
        <v>0.5</v>
      </c>
      <c r="H279" s="183" t="s">
        <v>3081</v>
      </c>
      <c r="I279" s="183" t="s">
        <v>3082</v>
      </c>
      <c r="J279" s="157"/>
    </row>
    <row r="280" spans="1:10" s="182" customFormat="1" ht="21.75" customHeight="1" x14ac:dyDescent="0.15">
      <c r="A280" s="156" t="s">
        <v>3077</v>
      </c>
      <c r="B280" s="20" t="s">
        <v>3078</v>
      </c>
      <c r="C280" s="180" t="s">
        <v>2870</v>
      </c>
      <c r="D280" s="157" t="s">
        <v>2869</v>
      </c>
      <c r="E280" s="209">
        <v>0</v>
      </c>
      <c r="F280" s="194">
        <v>50000</v>
      </c>
      <c r="G280" s="185">
        <v>0.5</v>
      </c>
      <c r="H280" s="183" t="s">
        <v>3081</v>
      </c>
      <c r="I280" s="183" t="s">
        <v>3082</v>
      </c>
      <c r="J280" s="157"/>
    </row>
    <row r="281" spans="1:10" s="182" customFormat="1" ht="21.75" customHeight="1" x14ac:dyDescent="0.15">
      <c r="A281" s="156" t="s">
        <v>3077</v>
      </c>
      <c r="B281" s="20" t="s">
        <v>3083</v>
      </c>
      <c r="C281" s="227" t="s">
        <v>3084</v>
      </c>
      <c r="D281" s="157">
        <v>18026</v>
      </c>
      <c r="E281" s="209">
        <v>0</v>
      </c>
      <c r="F281" s="194">
        <v>100000</v>
      </c>
      <c r="G281" s="185">
        <v>1</v>
      </c>
      <c r="H281" s="183" t="s">
        <v>3085</v>
      </c>
      <c r="I281" s="183" t="s">
        <v>3086</v>
      </c>
      <c r="J281" s="157"/>
    </row>
    <row r="282" spans="1:10" s="182" customFormat="1" ht="21.75" customHeight="1" x14ac:dyDescent="0.15">
      <c r="A282" s="156" t="s">
        <v>3087</v>
      </c>
      <c r="B282" s="20" t="s">
        <v>3088</v>
      </c>
      <c r="C282" s="30" t="s">
        <v>3090</v>
      </c>
      <c r="D282" s="157">
        <v>18046</v>
      </c>
      <c r="E282" s="209">
        <v>0</v>
      </c>
      <c r="F282" s="194">
        <v>159250</v>
      </c>
      <c r="G282" s="185">
        <v>0.65</v>
      </c>
      <c r="H282" s="183" t="s">
        <v>3089</v>
      </c>
      <c r="I282" s="183" t="s">
        <v>3091</v>
      </c>
      <c r="J282" s="157"/>
    </row>
    <row r="283" spans="1:10" s="182" customFormat="1" ht="21.75" customHeight="1" x14ac:dyDescent="0.15">
      <c r="A283" s="156" t="s">
        <v>3093</v>
      </c>
      <c r="B283" s="20" t="s">
        <v>3094</v>
      </c>
      <c r="C283" s="30" t="s">
        <v>3095</v>
      </c>
      <c r="D283" s="157">
        <v>18164</v>
      </c>
      <c r="E283" s="209">
        <v>0</v>
      </c>
      <c r="F283" s="194">
        <v>65000</v>
      </c>
      <c r="G283" s="185">
        <v>1</v>
      </c>
      <c r="H283" s="183" t="s">
        <v>285</v>
      </c>
      <c r="I283" s="183" t="s">
        <v>3096</v>
      </c>
      <c r="J283" s="157"/>
    </row>
    <row r="284" spans="1:10" s="182" customFormat="1" ht="21.75" customHeight="1" x14ac:dyDescent="0.15">
      <c r="A284" s="156" t="s">
        <v>3097</v>
      </c>
      <c r="B284" s="20" t="s">
        <v>3098</v>
      </c>
      <c r="C284" s="30" t="s">
        <v>3099</v>
      </c>
      <c r="D284" s="157">
        <v>18013</v>
      </c>
      <c r="E284" s="209">
        <v>0</v>
      </c>
      <c r="F284" s="194">
        <v>58750</v>
      </c>
      <c r="G284" s="185">
        <v>0.5</v>
      </c>
      <c r="H284" s="183" t="s">
        <v>3100</v>
      </c>
      <c r="I284" s="183" t="s">
        <v>3101</v>
      </c>
      <c r="J284" s="157"/>
    </row>
    <row r="285" spans="1:10" s="182" customFormat="1" ht="21.75" customHeight="1" x14ac:dyDescent="0.15">
      <c r="A285" s="156" t="s">
        <v>3102</v>
      </c>
      <c r="B285" s="20" t="s">
        <v>3018</v>
      </c>
      <c r="C285" s="30" t="s">
        <v>3103</v>
      </c>
      <c r="D285" s="157">
        <v>18037</v>
      </c>
      <c r="E285" s="209">
        <v>0</v>
      </c>
      <c r="F285" s="194">
        <v>126000</v>
      </c>
      <c r="G285" s="185" t="s">
        <v>3105</v>
      </c>
      <c r="H285" s="183" t="s">
        <v>285</v>
      </c>
      <c r="I285" s="183" t="s">
        <v>3104</v>
      </c>
      <c r="J285" s="226" t="s">
        <v>3106</v>
      </c>
    </row>
    <row r="286" spans="1:10" s="182" customFormat="1" ht="21.75" customHeight="1" x14ac:dyDescent="0.15">
      <c r="A286" s="156" t="s">
        <v>3102</v>
      </c>
      <c r="B286" s="20" t="s">
        <v>3107</v>
      </c>
      <c r="C286" s="30" t="s">
        <v>3110</v>
      </c>
      <c r="D286" s="157">
        <v>18184</v>
      </c>
      <c r="E286" s="209">
        <v>0</v>
      </c>
      <c r="F286" s="194">
        <v>4900</v>
      </c>
      <c r="G286" s="185">
        <v>1</v>
      </c>
      <c r="H286" s="183" t="s">
        <v>3108</v>
      </c>
      <c r="I286" s="183" t="s">
        <v>3109</v>
      </c>
      <c r="J286" s="157"/>
    </row>
    <row r="287" spans="1:10" s="182" customFormat="1" ht="21.75" customHeight="1" x14ac:dyDescent="0.15">
      <c r="A287" s="156" t="s">
        <v>3102</v>
      </c>
      <c r="B287" s="20" t="s">
        <v>3111</v>
      </c>
      <c r="C287" s="30" t="s">
        <v>3112</v>
      </c>
      <c r="D287" s="157">
        <v>18183</v>
      </c>
      <c r="E287" s="209">
        <v>0</v>
      </c>
      <c r="F287" s="194">
        <v>4900</v>
      </c>
      <c r="G287" s="185">
        <v>1</v>
      </c>
      <c r="H287" s="183" t="s">
        <v>3108</v>
      </c>
      <c r="I287" s="183" t="s">
        <v>3109</v>
      </c>
      <c r="J287" s="157"/>
    </row>
    <row r="288" spans="1:10" s="182" customFormat="1" ht="21.75" customHeight="1" x14ac:dyDescent="0.15">
      <c r="A288" s="156" t="s">
        <v>3102</v>
      </c>
      <c r="B288" s="20" t="s">
        <v>3113</v>
      </c>
      <c r="C288" s="180" t="s">
        <v>3117</v>
      </c>
      <c r="D288" s="157" t="s">
        <v>3115</v>
      </c>
      <c r="E288" s="209">
        <v>0</v>
      </c>
      <c r="F288" s="194">
        <v>70000</v>
      </c>
      <c r="G288" s="185">
        <v>1</v>
      </c>
      <c r="H288" s="183" t="s">
        <v>3119</v>
      </c>
      <c r="I288" s="183" t="s">
        <v>3120</v>
      </c>
      <c r="J288" s="157"/>
    </row>
    <row r="289" spans="1:10" s="182" customFormat="1" ht="21.75" customHeight="1" x14ac:dyDescent="0.15">
      <c r="A289" s="156" t="s">
        <v>3114</v>
      </c>
      <c r="B289" s="20" t="s">
        <v>3113</v>
      </c>
      <c r="C289" s="180" t="s">
        <v>3118</v>
      </c>
      <c r="D289" s="157" t="s">
        <v>3116</v>
      </c>
      <c r="E289" s="209">
        <v>0</v>
      </c>
      <c r="F289" s="194">
        <v>70000</v>
      </c>
      <c r="G289" s="185">
        <v>1</v>
      </c>
      <c r="H289" s="183" t="s">
        <v>3119</v>
      </c>
      <c r="I289" s="183" t="s">
        <v>3120</v>
      </c>
      <c r="J289" s="157"/>
    </row>
    <row r="290" spans="1:10" s="182" customFormat="1" ht="21.75" customHeight="1" x14ac:dyDescent="0.15">
      <c r="A290" s="156" t="s">
        <v>3121</v>
      </c>
      <c r="B290" s="20" t="s">
        <v>174</v>
      </c>
      <c r="C290" s="30" t="s">
        <v>1656</v>
      </c>
      <c r="D290" s="157">
        <v>18182</v>
      </c>
      <c r="E290" s="209">
        <v>0</v>
      </c>
      <c r="F290" s="194">
        <v>4900</v>
      </c>
      <c r="G290" s="185">
        <v>1</v>
      </c>
      <c r="H290" s="183" t="s">
        <v>1948</v>
      </c>
      <c r="I290" s="183" t="s">
        <v>1880</v>
      </c>
      <c r="J290" s="157"/>
    </row>
    <row r="291" spans="1:10" s="182" customFormat="1" ht="21.75" customHeight="1" x14ac:dyDescent="0.15">
      <c r="A291" s="156" t="s">
        <v>3122</v>
      </c>
      <c r="B291" s="20" t="s">
        <v>3123</v>
      </c>
      <c r="C291" s="30" t="s">
        <v>3124</v>
      </c>
      <c r="D291" s="157">
        <v>18143</v>
      </c>
      <c r="E291" s="209">
        <v>0</v>
      </c>
      <c r="F291" s="194">
        <v>501300</v>
      </c>
      <c r="G291" s="185">
        <v>0.9</v>
      </c>
      <c r="H291" s="183" t="s">
        <v>3126</v>
      </c>
      <c r="I291" s="183" t="s">
        <v>3125</v>
      </c>
      <c r="J291" s="157"/>
    </row>
    <row r="292" spans="1:10" s="182" customFormat="1" ht="21.75" customHeight="1" x14ac:dyDescent="0.15">
      <c r="A292" s="156" t="s">
        <v>3122</v>
      </c>
      <c r="B292" s="20" t="s">
        <v>3127</v>
      </c>
      <c r="C292" s="30" t="s">
        <v>3128</v>
      </c>
      <c r="D292" s="157">
        <v>18146</v>
      </c>
      <c r="E292" s="209">
        <v>0</v>
      </c>
      <c r="F292" s="194">
        <v>25000</v>
      </c>
      <c r="G292" s="185">
        <v>1</v>
      </c>
      <c r="H292" s="183" t="s">
        <v>3129</v>
      </c>
      <c r="I292" s="183" t="s">
        <v>3130</v>
      </c>
      <c r="J292" s="157"/>
    </row>
    <row r="293" spans="1:10" s="182" customFormat="1" ht="21.75" customHeight="1" x14ac:dyDescent="0.15">
      <c r="A293" s="156" t="s">
        <v>3122</v>
      </c>
      <c r="B293" s="20" t="s">
        <v>3131</v>
      </c>
      <c r="C293" s="30" t="s">
        <v>3132</v>
      </c>
      <c r="D293" s="157">
        <v>18186</v>
      </c>
      <c r="E293" s="209">
        <v>0</v>
      </c>
      <c r="F293" s="194">
        <v>4900</v>
      </c>
      <c r="G293" s="185">
        <v>1</v>
      </c>
      <c r="H293" s="183" t="s">
        <v>1948</v>
      </c>
      <c r="I293" s="183" t="s">
        <v>1880</v>
      </c>
      <c r="J293" s="157"/>
    </row>
    <row r="294" spans="1:10" s="182" customFormat="1" ht="21.75" customHeight="1" x14ac:dyDescent="0.15">
      <c r="A294" s="156" t="s">
        <v>3134</v>
      </c>
      <c r="B294" s="20" t="s">
        <v>3133</v>
      </c>
      <c r="C294" s="30" t="s">
        <v>3135</v>
      </c>
      <c r="D294" s="157">
        <v>18189</v>
      </c>
      <c r="E294" s="209">
        <v>0</v>
      </c>
      <c r="F294" s="194">
        <v>4900</v>
      </c>
      <c r="G294" s="185">
        <v>1</v>
      </c>
      <c r="H294" s="183" t="s">
        <v>1948</v>
      </c>
      <c r="I294" s="183" t="s">
        <v>1880</v>
      </c>
      <c r="J294" s="157"/>
    </row>
    <row r="295" spans="1:10" s="182" customFormat="1" ht="21.75" customHeight="1" x14ac:dyDescent="0.15">
      <c r="A295" s="156" t="s">
        <v>3134</v>
      </c>
      <c r="B295" s="20" t="s">
        <v>3136</v>
      </c>
      <c r="C295" s="30" t="s">
        <v>3137</v>
      </c>
      <c r="D295" s="157">
        <v>18185</v>
      </c>
      <c r="E295" s="209">
        <v>0</v>
      </c>
      <c r="F295" s="194">
        <v>4900</v>
      </c>
      <c r="G295" s="185">
        <v>1</v>
      </c>
      <c r="H295" s="183" t="s">
        <v>1948</v>
      </c>
      <c r="I295" s="183" t="s">
        <v>1880</v>
      </c>
      <c r="J295" s="157"/>
    </row>
    <row r="296" spans="1:10" s="182" customFormat="1" ht="21.75" customHeight="1" x14ac:dyDescent="0.15">
      <c r="A296" s="156" t="s">
        <v>3134</v>
      </c>
      <c r="B296" s="20" t="s">
        <v>3138</v>
      </c>
      <c r="C296" s="30" t="s">
        <v>3139</v>
      </c>
      <c r="D296" s="157">
        <v>18191</v>
      </c>
      <c r="E296" s="209">
        <v>0</v>
      </c>
      <c r="F296" s="194">
        <v>4900</v>
      </c>
      <c r="G296" s="185">
        <v>1</v>
      </c>
      <c r="H296" s="183" t="s">
        <v>1948</v>
      </c>
      <c r="I296" s="183" t="s">
        <v>1880</v>
      </c>
      <c r="J296" s="157"/>
    </row>
    <row r="297" spans="1:10" s="182" customFormat="1" ht="21.75" customHeight="1" x14ac:dyDescent="0.15">
      <c r="A297" s="156" t="s">
        <v>3122</v>
      </c>
      <c r="B297" s="20" t="s">
        <v>3140</v>
      </c>
      <c r="C297" s="30" t="s">
        <v>3141</v>
      </c>
      <c r="D297" s="157">
        <v>18187</v>
      </c>
      <c r="E297" s="209">
        <v>0</v>
      </c>
      <c r="F297" s="194">
        <v>4900</v>
      </c>
      <c r="G297" s="185">
        <v>1</v>
      </c>
      <c r="H297" s="183" t="s">
        <v>1948</v>
      </c>
      <c r="I297" s="183" t="s">
        <v>1880</v>
      </c>
      <c r="J297" s="157"/>
    </row>
    <row r="298" spans="1:10" s="182" customFormat="1" ht="21.75" customHeight="1" x14ac:dyDescent="0.15">
      <c r="A298" s="156" t="s">
        <v>3122</v>
      </c>
      <c r="B298" s="20" t="s">
        <v>3142</v>
      </c>
      <c r="C298" s="30" t="s">
        <v>3143</v>
      </c>
      <c r="D298" s="157">
        <v>18188</v>
      </c>
      <c r="E298" s="209">
        <v>0</v>
      </c>
      <c r="F298" s="194">
        <v>4900</v>
      </c>
      <c r="G298" s="185">
        <v>1</v>
      </c>
      <c r="H298" s="183" t="s">
        <v>1948</v>
      </c>
      <c r="I298" s="183" t="s">
        <v>1880</v>
      </c>
      <c r="J298" s="157"/>
    </row>
    <row r="299" spans="1:10" s="182" customFormat="1" ht="21.75" customHeight="1" x14ac:dyDescent="0.15">
      <c r="A299" s="156" t="s">
        <v>3122</v>
      </c>
      <c r="B299" s="20" t="s">
        <v>3144</v>
      </c>
      <c r="C299" s="30" t="s">
        <v>3145</v>
      </c>
      <c r="D299" s="157">
        <v>18181</v>
      </c>
      <c r="E299" s="209">
        <v>0</v>
      </c>
      <c r="F299" s="194">
        <v>4900</v>
      </c>
      <c r="G299" s="185">
        <v>1</v>
      </c>
      <c r="H299" s="183" t="s">
        <v>1948</v>
      </c>
      <c r="I299" s="183" t="s">
        <v>1880</v>
      </c>
      <c r="J299" s="157"/>
    </row>
    <row r="300" spans="1:10" s="182" customFormat="1" ht="21.75" customHeight="1" x14ac:dyDescent="0.15">
      <c r="A300" s="156" t="s">
        <v>3122</v>
      </c>
      <c r="B300" s="20" t="s">
        <v>3146</v>
      </c>
      <c r="C300" s="30" t="s">
        <v>3147</v>
      </c>
      <c r="D300" s="157">
        <v>18179</v>
      </c>
      <c r="E300" s="209">
        <v>0</v>
      </c>
      <c r="F300" s="194">
        <v>4900</v>
      </c>
      <c r="G300" s="185">
        <v>1</v>
      </c>
      <c r="H300" s="183" t="s">
        <v>1948</v>
      </c>
      <c r="I300" s="183" t="s">
        <v>1880</v>
      </c>
      <c r="J300" s="157"/>
    </row>
    <row r="301" spans="1:10" s="182" customFormat="1" ht="21.75" customHeight="1" x14ac:dyDescent="0.15">
      <c r="A301" s="156" t="s">
        <v>3122</v>
      </c>
      <c r="B301" s="20" t="s">
        <v>3148</v>
      </c>
      <c r="C301" s="30" t="s">
        <v>3149</v>
      </c>
      <c r="D301" s="157">
        <v>18190</v>
      </c>
      <c r="E301" s="209">
        <v>0</v>
      </c>
      <c r="F301" s="194">
        <v>4900</v>
      </c>
      <c r="G301" s="185">
        <v>1</v>
      </c>
      <c r="H301" s="183" t="s">
        <v>1948</v>
      </c>
      <c r="I301" s="183" t="s">
        <v>1880</v>
      </c>
      <c r="J301" s="157"/>
    </row>
    <row r="302" spans="1:10" s="182" customFormat="1" ht="21.75" customHeight="1" x14ac:dyDescent="0.15">
      <c r="A302" s="156" t="s">
        <v>3122</v>
      </c>
      <c r="B302" s="20" t="s">
        <v>3150</v>
      </c>
      <c r="C302" s="30" t="s">
        <v>3151</v>
      </c>
      <c r="D302" s="157">
        <v>18180</v>
      </c>
      <c r="E302" s="209">
        <v>0</v>
      </c>
      <c r="F302" s="194">
        <v>4900</v>
      </c>
      <c r="G302" s="185">
        <v>1</v>
      </c>
      <c r="H302" s="183" t="s">
        <v>1948</v>
      </c>
      <c r="I302" s="183" t="s">
        <v>1880</v>
      </c>
      <c r="J302" s="157"/>
    </row>
    <row r="303" spans="1:10" s="182" customFormat="1" ht="21.75" customHeight="1" x14ac:dyDescent="0.15">
      <c r="A303" s="156" t="s">
        <v>3122</v>
      </c>
      <c r="B303" s="20" t="s">
        <v>3152</v>
      </c>
      <c r="C303" s="30" t="s">
        <v>3153</v>
      </c>
      <c r="D303" s="157">
        <v>18192</v>
      </c>
      <c r="E303" s="209">
        <v>0</v>
      </c>
      <c r="F303" s="194">
        <v>4900</v>
      </c>
      <c r="G303" s="185">
        <v>1</v>
      </c>
      <c r="H303" s="183" t="s">
        <v>1948</v>
      </c>
      <c r="I303" s="183" t="s">
        <v>1880</v>
      </c>
      <c r="J303" s="157"/>
    </row>
    <row r="304" spans="1:10" s="182" customFormat="1" ht="21.75" customHeight="1" x14ac:dyDescent="0.15">
      <c r="A304" s="156" t="s">
        <v>3154</v>
      </c>
      <c r="B304" s="20" t="s">
        <v>3155</v>
      </c>
      <c r="C304" s="30" t="s">
        <v>2595</v>
      </c>
      <c r="D304" s="157">
        <v>17028</v>
      </c>
      <c r="E304" s="209">
        <v>0</v>
      </c>
      <c r="F304" s="194">
        <v>182400</v>
      </c>
      <c r="G304" s="185">
        <v>0.56999999999999995</v>
      </c>
      <c r="H304" s="183" t="s">
        <v>3157</v>
      </c>
      <c r="I304" s="183" t="s">
        <v>3156</v>
      </c>
      <c r="J304" s="157"/>
    </row>
    <row r="305" spans="1:10" s="182" customFormat="1" ht="21.75" customHeight="1" x14ac:dyDescent="0.15">
      <c r="A305" s="156" t="s">
        <v>3158</v>
      </c>
      <c r="B305" s="20" t="s">
        <v>3159</v>
      </c>
      <c r="C305" s="30" t="s">
        <v>3160</v>
      </c>
      <c r="D305" s="157">
        <v>15019</v>
      </c>
      <c r="E305" s="209">
        <v>0</v>
      </c>
      <c r="F305" s="194">
        <v>39500</v>
      </c>
      <c r="G305" s="185">
        <v>0.1</v>
      </c>
      <c r="H305" s="183" t="s">
        <v>3161</v>
      </c>
      <c r="I305" s="183" t="s">
        <v>3162</v>
      </c>
      <c r="J305" s="157"/>
    </row>
    <row r="306" spans="1:10" s="182" customFormat="1" ht="21.75" customHeight="1" x14ac:dyDescent="0.15">
      <c r="A306" s="156" t="s">
        <v>3163</v>
      </c>
      <c r="B306" s="20" t="s">
        <v>3164</v>
      </c>
      <c r="C306" s="30" t="s">
        <v>3174</v>
      </c>
      <c r="D306" s="157">
        <v>17047</v>
      </c>
      <c r="E306" s="209">
        <v>0</v>
      </c>
      <c r="F306" s="194">
        <v>64100</v>
      </c>
      <c r="G306" s="185" t="s">
        <v>3175</v>
      </c>
      <c r="H306" s="183" t="s">
        <v>3176</v>
      </c>
      <c r="I306" s="183" t="s">
        <v>3177</v>
      </c>
      <c r="J306" s="157"/>
    </row>
    <row r="307" spans="1:10" s="182" customFormat="1" ht="21.75" customHeight="1" x14ac:dyDescent="0.15">
      <c r="A307" s="156" t="s">
        <v>3165</v>
      </c>
      <c r="B307" s="20" t="s">
        <v>3166</v>
      </c>
      <c r="C307" s="30" t="s">
        <v>3167</v>
      </c>
      <c r="D307" s="157">
        <v>18110</v>
      </c>
      <c r="E307" s="209">
        <v>0</v>
      </c>
      <c r="F307" s="194">
        <v>194750</v>
      </c>
      <c r="G307" s="185">
        <v>0.95</v>
      </c>
      <c r="H307" s="183" t="s">
        <v>3168</v>
      </c>
      <c r="I307" s="183" t="s">
        <v>3169</v>
      </c>
      <c r="J307" s="157"/>
    </row>
    <row r="308" spans="1:10" s="182" customFormat="1" ht="21.75" customHeight="1" x14ac:dyDescent="0.15">
      <c r="A308" s="156" t="s">
        <v>3165</v>
      </c>
      <c r="B308" s="20" t="s">
        <v>3170</v>
      </c>
      <c r="C308" s="30" t="s">
        <v>3171</v>
      </c>
      <c r="D308" s="157">
        <v>18118</v>
      </c>
      <c r="E308" s="209">
        <v>0</v>
      </c>
      <c r="F308" s="194">
        <v>80000</v>
      </c>
      <c r="G308" s="185">
        <v>1</v>
      </c>
      <c r="H308" s="183" t="s">
        <v>3172</v>
      </c>
      <c r="I308" s="183" t="s">
        <v>3173</v>
      </c>
      <c r="J308" s="157"/>
    </row>
    <row r="309" spans="1:10" s="182" customFormat="1" ht="21.75" customHeight="1" x14ac:dyDescent="0.15">
      <c r="A309" s="156" t="s">
        <v>3178</v>
      </c>
      <c r="B309" s="20" t="s">
        <v>3179</v>
      </c>
      <c r="C309" s="30" t="s">
        <v>3180</v>
      </c>
      <c r="D309" s="157">
        <v>18193</v>
      </c>
      <c r="E309" s="209">
        <v>0</v>
      </c>
      <c r="F309" s="194">
        <v>322810</v>
      </c>
      <c r="G309" s="185">
        <v>0.95</v>
      </c>
      <c r="H309" s="183" t="s">
        <v>3182</v>
      </c>
      <c r="I309" s="183" t="s">
        <v>3181</v>
      </c>
      <c r="J309" s="157"/>
    </row>
    <row r="310" spans="1:10" s="182" customFormat="1" ht="21.75" customHeight="1" x14ac:dyDescent="0.15">
      <c r="A310" s="156" t="s">
        <v>3183</v>
      </c>
      <c r="B310" s="20" t="s">
        <v>3184</v>
      </c>
      <c r="C310" s="30" t="s">
        <v>3185</v>
      </c>
      <c r="D310" s="157">
        <v>18098</v>
      </c>
      <c r="E310" s="209">
        <v>0</v>
      </c>
      <c r="F310" s="194">
        <v>29500</v>
      </c>
      <c r="G310" s="185">
        <v>1</v>
      </c>
      <c r="H310" s="183" t="s">
        <v>3186</v>
      </c>
      <c r="I310" s="183" t="s">
        <v>3187</v>
      </c>
      <c r="J310" s="157"/>
    </row>
    <row r="311" spans="1:10" s="182" customFormat="1" ht="21.75" customHeight="1" x14ac:dyDescent="0.15">
      <c r="A311" s="156" t="s">
        <v>3183</v>
      </c>
      <c r="B311" s="20" t="s">
        <v>3188</v>
      </c>
      <c r="C311" s="30" t="s">
        <v>3189</v>
      </c>
      <c r="D311" s="157">
        <v>18095</v>
      </c>
      <c r="E311" s="209">
        <v>0</v>
      </c>
      <c r="F311" s="194">
        <v>81000</v>
      </c>
      <c r="G311" s="185">
        <v>0.9</v>
      </c>
      <c r="H311" s="183" t="s">
        <v>3190</v>
      </c>
      <c r="I311" s="183" t="s">
        <v>3191</v>
      </c>
      <c r="J311" s="157"/>
    </row>
    <row r="312" spans="1:10" s="182" customFormat="1" ht="36" customHeight="1" x14ac:dyDescent="0.15">
      <c r="A312" s="156" t="s">
        <v>3192</v>
      </c>
      <c r="B312" s="20" t="s">
        <v>282</v>
      </c>
      <c r="C312" s="45" t="s">
        <v>3196</v>
      </c>
      <c r="D312" s="157">
        <v>15002</v>
      </c>
      <c r="E312" s="209">
        <v>100000</v>
      </c>
      <c r="F312" s="194">
        <v>0</v>
      </c>
      <c r="G312" s="185" t="s">
        <v>3195</v>
      </c>
      <c r="H312" s="183" t="s">
        <v>3194</v>
      </c>
      <c r="I312" s="183" t="s">
        <v>3193</v>
      </c>
      <c r="J312" s="157" t="s">
        <v>3197</v>
      </c>
    </row>
    <row r="313" spans="1:10" s="182" customFormat="1" ht="21.75" customHeight="1" x14ac:dyDescent="0.15">
      <c r="A313" s="156"/>
      <c r="B313" s="20"/>
      <c r="C313" s="30"/>
      <c r="D313" s="157"/>
      <c r="E313" s="209"/>
      <c r="F313" s="194"/>
      <c r="G313" s="185"/>
      <c r="H313" s="183"/>
      <c r="I313" s="183"/>
      <c r="J313" s="157"/>
    </row>
    <row r="314" spans="1:10" ht="27.95" customHeight="1" x14ac:dyDescent="0.15">
      <c r="A314" s="1168" t="s">
        <v>2310</v>
      </c>
      <c r="B314" s="1169"/>
      <c r="C314" s="1169"/>
      <c r="D314" s="1170"/>
      <c r="E314" s="196">
        <f>SUM(E3:E127)</f>
        <v>2039097.5</v>
      </c>
      <c r="F314" s="197">
        <f>SUM(F3:F313)</f>
        <v>28323964.809999999</v>
      </c>
      <c r="G314" s="152"/>
      <c r="H314" s="152"/>
      <c r="I314" s="152"/>
      <c r="J314" s="152"/>
    </row>
    <row r="315" spans="1:10" ht="27.95" customHeight="1" x14ac:dyDescent="0.15">
      <c r="G315" s="176" t="s">
        <v>2528</v>
      </c>
    </row>
  </sheetData>
  <autoFilter ref="A2:J305" xr:uid="{00000000-0009-0000-0000-000001000000}"/>
  <mergeCells count="3">
    <mergeCell ref="A314:D314"/>
    <mergeCell ref="A1:J1"/>
    <mergeCell ref="J242:J245"/>
  </mergeCells>
  <phoneticPr fontId="1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8"/>
  <sheetViews>
    <sheetView topLeftCell="A16" workbookViewId="0">
      <selection sqref="A1:I1"/>
    </sheetView>
  </sheetViews>
  <sheetFormatPr defaultColWidth="13.625" defaultRowHeight="21.75" customHeight="1" x14ac:dyDescent="0.15"/>
  <cols>
    <col min="1" max="1" width="11.375" style="176" customWidth="1"/>
    <col min="2" max="2" width="23.5" style="176" customWidth="1"/>
    <col min="3" max="3" width="18.125" style="176" customWidth="1"/>
    <col min="4" max="5" width="11.875" style="176" customWidth="1"/>
    <col min="6" max="6" width="17.125" style="191" bestFit="1" customWidth="1"/>
    <col min="7" max="8" width="18.25" style="176" customWidth="1"/>
    <col min="9" max="9" width="8.875" style="176" customWidth="1"/>
    <col min="10" max="10" width="21.125" style="176" customWidth="1"/>
    <col min="11" max="16384" width="13.625" style="176"/>
  </cols>
  <sheetData>
    <row r="1" spans="1:10" ht="40.5" customHeight="1" x14ac:dyDescent="0.15">
      <c r="A1" s="1176" t="s">
        <v>1698</v>
      </c>
      <c r="B1" s="1176"/>
      <c r="C1" s="1176"/>
      <c r="D1" s="1176"/>
      <c r="E1" s="1176"/>
      <c r="F1" s="1176"/>
      <c r="G1" s="1176"/>
      <c r="H1" s="1176"/>
      <c r="I1" s="1176"/>
    </row>
    <row r="2" spans="1:10" ht="21.75" customHeight="1" x14ac:dyDescent="0.15">
      <c r="A2" s="16" t="s">
        <v>1755</v>
      </c>
      <c r="B2" s="16" t="s">
        <v>128</v>
      </c>
      <c r="C2" s="16" t="s">
        <v>1756</v>
      </c>
      <c r="D2" s="16" t="s">
        <v>130</v>
      </c>
      <c r="E2" s="16" t="s">
        <v>1757</v>
      </c>
      <c r="F2" s="17" t="s">
        <v>1758</v>
      </c>
      <c r="G2" s="16" t="s">
        <v>1759</v>
      </c>
      <c r="H2" s="16" t="s">
        <v>1760</v>
      </c>
      <c r="I2" s="16" t="s">
        <v>1761</v>
      </c>
      <c r="J2" s="16" t="s">
        <v>1762</v>
      </c>
    </row>
    <row r="3" spans="1:10" ht="21.75" customHeight="1" x14ac:dyDescent="0.15">
      <c r="A3" s="151" t="s">
        <v>1763</v>
      </c>
      <c r="B3" s="11" t="s">
        <v>192</v>
      </c>
      <c r="C3" s="21" t="s">
        <v>1691</v>
      </c>
      <c r="D3" s="157">
        <v>16090</v>
      </c>
      <c r="E3" s="157">
        <v>0</v>
      </c>
      <c r="F3" s="172">
        <v>70900</v>
      </c>
      <c r="G3" s="159">
        <v>1</v>
      </c>
      <c r="H3" s="159"/>
      <c r="I3" s="157" t="s">
        <v>1692</v>
      </c>
      <c r="J3" s="157"/>
    </row>
    <row r="4" spans="1:10" ht="21.75" customHeight="1" x14ac:dyDescent="0.15">
      <c r="A4" s="151" t="s">
        <v>1764</v>
      </c>
      <c r="B4" s="20" t="s">
        <v>1765</v>
      </c>
      <c r="C4" s="21" t="s">
        <v>1766</v>
      </c>
      <c r="D4" s="157">
        <v>13045</v>
      </c>
      <c r="E4" s="157">
        <v>0</v>
      </c>
      <c r="F4" s="172">
        <v>38424</v>
      </c>
      <c r="G4" s="159">
        <v>0.1</v>
      </c>
      <c r="H4" s="159"/>
      <c r="I4" s="157" t="s">
        <v>1693</v>
      </c>
      <c r="J4" s="157"/>
    </row>
    <row r="5" spans="1:10" ht="21.75" customHeight="1" x14ac:dyDescent="0.15">
      <c r="A5" s="151" t="s">
        <v>1767</v>
      </c>
      <c r="B5" s="11" t="s">
        <v>1768</v>
      </c>
      <c r="C5" s="21" t="s">
        <v>1769</v>
      </c>
      <c r="D5" s="152">
        <v>14022</v>
      </c>
      <c r="E5" s="157">
        <v>0</v>
      </c>
      <c r="F5" s="171">
        <v>100000</v>
      </c>
      <c r="G5" s="154">
        <v>0.5</v>
      </c>
      <c r="H5" s="154"/>
      <c r="I5" s="152" t="s">
        <v>1770</v>
      </c>
      <c r="J5" s="152"/>
    </row>
    <row r="6" spans="1:10" ht="21.75" customHeight="1" x14ac:dyDescent="0.15">
      <c r="A6" s="151" t="s">
        <v>1771</v>
      </c>
      <c r="B6" s="20" t="s">
        <v>1772</v>
      </c>
      <c r="C6" s="21" t="s">
        <v>1773</v>
      </c>
      <c r="D6" s="152">
        <v>14053</v>
      </c>
      <c r="E6" s="157">
        <v>0</v>
      </c>
      <c r="F6" s="171">
        <v>324000</v>
      </c>
      <c r="G6" s="154">
        <v>0.9</v>
      </c>
      <c r="H6" s="154"/>
      <c r="I6" s="152" t="s">
        <v>65</v>
      </c>
      <c r="J6" s="152"/>
    </row>
    <row r="7" spans="1:10" ht="21.75" customHeight="1" x14ac:dyDescent="0.15">
      <c r="A7" s="151" t="s">
        <v>1774</v>
      </c>
      <c r="B7" s="11" t="s">
        <v>1775</v>
      </c>
      <c r="C7" s="21" t="s">
        <v>1776</v>
      </c>
      <c r="D7" s="167">
        <v>16039</v>
      </c>
      <c r="E7" s="157">
        <v>0</v>
      </c>
      <c r="F7" s="171">
        <v>112000</v>
      </c>
      <c r="G7" s="154">
        <v>0.4</v>
      </c>
      <c r="H7" s="154"/>
      <c r="I7" s="152" t="s">
        <v>1777</v>
      </c>
      <c r="J7" s="152"/>
    </row>
    <row r="8" spans="1:10" ht="21.75" customHeight="1" x14ac:dyDescent="0.15">
      <c r="A8" s="151" t="s">
        <v>1778</v>
      </c>
      <c r="B8" s="20" t="s">
        <v>1779</v>
      </c>
      <c r="C8" s="21" t="s">
        <v>1780</v>
      </c>
      <c r="D8" s="152">
        <v>15063</v>
      </c>
      <c r="E8" s="157">
        <v>0</v>
      </c>
      <c r="F8" s="171">
        <v>50000</v>
      </c>
      <c r="G8" s="154">
        <v>0.1</v>
      </c>
      <c r="H8" s="154"/>
      <c r="I8" s="152" t="s">
        <v>1781</v>
      </c>
      <c r="J8" s="152"/>
    </row>
    <row r="9" spans="1:10" ht="21.75" customHeight="1" x14ac:dyDescent="0.15">
      <c r="A9" s="151" t="s">
        <v>1778</v>
      </c>
      <c r="B9" s="11" t="s">
        <v>1782</v>
      </c>
      <c r="C9" s="21" t="s">
        <v>1783</v>
      </c>
      <c r="D9" s="152">
        <v>17002</v>
      </c>
      <c r="E9" s="157">
        <v>0</v>
      </c>
      <c r="F9" s="171">
        <v>36000</v>
      </c>
      <c r="G9" s="154">
        <v>0.2</v>
      </c>
      <c r="H9" s="154"/>
      <c r="I9" s="152" t="s">
        <v>1784</v>
      </c>
      <c r="J9" s="152"/>
    </row>
    <row r="10" spans="1:10" ht="21.75" customHeight="1" x14ac:dyDescent="0.15">
      <c r="A10" s="151" t="s">
        <v>1785</v>
      </c>
      <c r="B10" s="11" t="s">
        <v>1786</v>
      </c>
      <c r="C10" s="21" t="s">
        <v>1787</v>
      </c>
      <c r="D10" s="152">
        <v>17003</v>
      </c>
      <c r="E10" s="157">
        <v>0</v>
      </c>
      <c r="F10" s="171">
        <v>36000</v>
      </c>
      <c r="G10" s="154">
        <v>0.2</v>
      </c>
      <c r="H10" s="154"/>
      <c r="I10" s="152" t="s">
        <v>1784</v>
      </c>
      <c r="J10" s="152"/>
    </row>
    <row r="11" spans="1:10" ht="21.75" customHeight="1" x14ac:dyDescent="0.15">
      <c r="A11" s="151" t="s">
        <v>1785</v>
      </c>
      <c r="B11" s="20" t="s">
        <v>1788</v>
      </c>
      <c r="C11" s="21" t="s">
        <v>1694</v>
      </c>
      <c r="D11" s="152">
        <v>16082</v>
      </c>
      <c r="E11" s="157">
        <v>0</v>
      </c>
      <c r="F11" s="171">
        <v>359820</v>
      </c>
      <c r="G11" s="154">
        <v>0.6</v>
      </c>
      <c r="H11" s="154"/>
      <c r="I11" s="152" t="s">
        <v>1777</v>
      </c>
      <c r="J11" s="152"/>
    </row>
    <row r="12" spans="1:10" ht="21.75" customHeight="1" x14ac:dyDescent="0.15">
      <c r="A12" s="151" t="s">
        <v>1789</v>
      </c>
      <c r="B12" s="11" t="s">
        <v>1790</v>
      </c>
      <c r="C12" s="58" t="s">
        <v>1791</v>
      </c>
      <c r="D12" s="152">
        <v>16075</v>
      </c>
      <c r="E12" s="157">
        <v>0</v>
      </c>
      <c r="F12" s="171">
        <v>40000</v>
      </c>
      <c r="G12" s="154">
        <v>0.25</v>
      </c>
      <c r="H12" s="154"/>
      <c r="I12" s="152" t="s">
        <v>1784</v>
      </c>
      <c r="J12" s="152"/>
    </row>
    <row r="13" spans="1:10" ht="21.75" customHeight="1" x14ac:dyDescent="0.15">
      <c r="A13" s="151" t="s">
        <v>1792</v>
      </c>
      <c r="B13" s="20" t="s">
        <v>1793</v>
      </c>
      <c r="C13" s="21" t="s">
        <v>1794</v>
      </c>
      <c r="D13" s="152">
        <v>13025</v>
      </c>
      <c r="E13" s="157">
        <v>0</v>
      </c>
      <c r="F13" s="171">
        <v>50000</v>
      </c>
      <c r="G13" s="154" t="s">
        <v>1795</v>
      </c>
      <c r="H13" s="154"/>
      <c r="I13" s="152" t="s">
        <v>1781</v>
      </c>
      <c r="J13" s="152"/>
    </row>
    <row r="14" spans="1:10" ht="21.75" customHeight="1" x14ac:dyDescent="0.15">
      <c r="A14" s="151" t="s">
        <v>1796</v>
      </c>
      <c r="B14" s="11" t="s">
        <v>1797</v>
      </c>
      <c r="C14" s="21" t="s">
        <v>1798</v>
      </c>
      <c r="D14" s="152">
        <v>16076</v>
      </c>
      <c r="E14" s="157">
        <v>0</v>
      </c>
      <c r="F14" s="171">
        <v>40000</v>
      </c>
      <c r="G14" s="154">
        <v>0.25</v>
      </c>
      <c r="H14" s="154"/>
      <c r="I14" s="152" t="s">
        <v>1784</v>
      </c>
      <c r="J14" s="152"/>
    </row>
    <row r="15" spans="1:10" ht="21.75" customHeight="1" x14ac:dyDescent="0.15">
      <c r="A15" s="151" t="s">
        <v>1799</v>
      </c>
      <c r="B15" s="20" t="s">
        <v>1800</v>
      </c>
      <c r="C15" s="21" t="s">
        <v>1801</v>
      </c>
      <c r="D15" s="152">
        <v>16066</v>
      </c>
      <c r="E15" s="157">
        <v>0</v>
      </c>
      <c r="F15" s="171">
        <v>107820</v>
      </c>
      <c r="G15" s="154">
        <v>0.9</v>
      </c>
      <c r="H15" s="154"/>
      <c r="I15" s="152" t="s">
        <v>1802</v>
      </c>
      <c r="J15" s="152"/>
    </row>
    <row r="16" spans="1:10" ht="21.75" customHeight="1" x14ac:dyDescent="0.15">
      <c r="A16" s="151" t="s">
        <v>1803</v>
      </c>
      <c r="B16" s="11" t="s">
        <v>1804</v>
      </c>
      <c r="C16" s="21" t="s">
        <v>1805</v>
      </c>
      <c r="D16" s="152">
        <v>16038</v>
      </c>
      <c r="E16" s="157">
        <v>0</v>
      </c>
      <c r="F16" s="171">
        <v>60000</v>
      </c>
      <c r="G16" s="154">
        <v>0.5</v>
      </c>
      <c r="H16" s="154"/>
      <c r="I16" s="152" t="s">
        <v>1777</v>
      </c>
      <c r="J16" s="152"/>
    </row>
    <row r="17" spans="1:10" ht="21.75" customHeight="1" x14ac:dyDescent="0.15">
      <c r="A17" s="151" t="s">
        <v>1806</v>
      </c>
      <c r="B17" s="20" t="s">
        <v>1807</v>
      </c>
      <c r="C17" s="177" t="s">
        <v>5</v>
      </c>
      <c r="D17" s="152">
        <v>16004</v>
      </c>
      <c r="E17" s="157">
        <v>0</v>
      </c>
      <c r="F17" s="171">
        <v>85000</v>
      </c>
      <c r="G17" s="154">
        <v>0.5</v>
      </c>
      <c r="H17" s="154"/>
      <c r="I17" s="152" t="s">
        <v>1784</v>
      </c>
      <c r="J17" s="152"/>
    </row>
    <row r="18" spans="1:10" ht="21.75" customHeight="1" x14ac:dyDescent="0.15">
      <c r="A18" s="151" t="s">
        <v>1695</v>
      </c>
      <c r="B18" s="11" t="s">
        <v>1808</v>
      </c>
      <c r="C18" s="21" t="s">
        <v>1809</v>
      </c>
      <c r="D18" s="152">
        <v>16006</v>
      </c>
      <c r="E18" s="157">
        <v>0</v>
      </c>
      <c r="F18" s="171">
        <v>85000</v>
      </c>
      <c r="G18" s="154">
        <v>0.5</v>
      </c>
      <c r="H18" s="154"/>
      <c r="I18" s="152" t="s">
        <v>1784</v>
      </c>
      <c r="J18" s="152"/>
    </row>
    <row r="19" spans="1:10" ht="21.75" customHeight="1" x14ac:dyDescent="0.15">
      <c r="A19" s="151" t="s">
        <v>1810</v>
      </c>
      <c r="B19" s="20" t="s">
        <v>1696</v>
      </c>
      <c r="C19" s="21" t="s">
        <v>1811</v>
      </c>
      <c r="D19" s="152">
        <v>16093</v>
      </c>
      <c r="E19" s="157">
        <v>0</v>
      </c>
      <c r="F19" s="171">
        <v>153000</v>
      </c>
      <c r="G19" s="154">
        <v>1</v>
      </c>
      <c r="H19" s="154"/>
      <c r="I19" s="152" t="s">
        <v>1812</v>
      </c>
      <c r="J19" s="152"/>
    </row>
    <row r="20" spans="1:10" ht="21.75" customHeight="1" x14ac:dyDescent="0.15">
      <c r="A20" s="151" t="s">
        <v>1813</v>
      </c>
      <c r="B20" s="11" t="s">
        <v>1697</v>
      </c>
      <c r="C20" s="58" t="s">
        <v>99</v>
      </c>
      <c r="D20" s="178">
        <v>13008</v>
      </c>
      <c r="E20" s="157">
        <v>0</v>
      </c>
      <c r="F20" s="171">
        <v>37938</v>
      </c>
      <c r="G20" s="154">
        <v>0.1</v>
      </c>
      <c r="H20" s="154"/>
      <c r="I20" s="179" t="s">
        <v>1814</v>
      </c>
      <c r="J20" s="152"/>
    </row>
    <row r="21" spans="1:10" ht="21.75" customHeight="1" x14ac:dyDescent="0.15">
      <c r="A21" s="151" t="s">
        <v>1813</v>
      </c>
      <c r="B21" s="20" t="s">
        <v>1815</v>
      </c>
      <c r="C21" s="58" t="s">
        <v>99</v>
      </c>
      <c r="D21" s="178">
        <v>14035</v>
      </c>
      <c r="E21" s="157">
        <v>0</v>
      </c>
      <c r="F21" s="171">
        <v>14500</v>
      </c>
      <c r="G21" s="154">
        <v>0.1</v>
      </c>
      <c r="H21" s="154"/>
      <c r="I21" s="179" t="s">
        <v>1814</v>
      </c>
      <c r="J21" s="152"/>
    </row>
    <row r="22" spans="1:10" ht="21.75" customHeight="1" x14ac:dyDescent="0.15">
      <c r="A22" s="151" t="s">
        <v>1813</v>
      </c>
      <c r="B22" s="11" t="s">
        <v>1815</v>
      </c>
      <c r="C22" s="58" t="s">
        <v>99</v>
      </c>
      <c r="D22" s="167">
        <v>16052</v>
      </c>
      <c r="E22" s="157">
        <v>0</v>
      </c>
      <c r="F22" s="171">
        <v>59850</v>
      </c>
      <c r="G22" s="154">
        <v>0.95</v>
      </c>
      <c r="H22" s="154"/>
      <c r="I22" s="179" t="s">
        <v>1814</v>
      </c>
      <c r="J22" s="152"/>
    </row>
    <row r="23" spans="1:10" ht="21.75" customHeight="1" x14ac:dyDescent="0.15">
      <c r="A23" s="151" t="s">
        <v>1816</v>
      </c>
      <c r="B23" s="20" t="s">
        <v>1817</v>
      </c>
      <c r="C23" s="21" t="s">
        <v>1818</v>
      </c>
      <c r="D23" s="152">
        <v>15018</v>
      </c>
      <c r="E23" s="157">
        <v>0</v>
      </c>
      <c r="F23" s="171">
        <v>455000</v>
      </c>
      <c r="G23" s="154">
        <v>1</v>
      </c>
      <c r="H23" s="154"/>
      <c r="I23" s="152" t="s">
        <v>1819</v>
      </c>
      <c r="J23" s="152"/>
    </row>
    <row r="24" spans="1:10" ht="21.75" customHeight="1" x14ac:dyDescent="0.15">
      <c r="A24" s="151" t="s">
        <v>1820</v>
      </c>
      <c r="B24" s="11" t="s">
        <v>1821</v>
      </c>
      <c r="C24" s="21" t="s">
        <v>1822</v>
      </c>
      <c r="D24" s="152">
        <v>16008</v>
      </c>
      <c r="E24" s="157">
        <v>0</v>
      </c>
      <c r="F24" s="171">
        <v>85000</v>
      </c>
      <c r="G24" s="154">
        <v>0.5</v>
      </c>
      <c r="H24" s="154"/>
      <c r="I24" s="152" t="s">
        <v>1784</v>
      </c>
      <c r="J24" s="152"/>
    </row>
    <row r="25" spans="1:10" ht="21.75" customHeight="1" x14ac:dyDescent="0.15">
      <c r="A25" s="151" t="s">
        <v>1820</v>
      </c>
      <c r="B25" s="20" t="s">
        <v>1823</v>
      </c>
      <c r="C25" s="21" t="s">
        <v>1824</v>
      </c>
      <c r="D25" s="152">
        <v>16007</v>
      </c>
      <c r="E25" s="157">
        <v>0</v>
      </c>
      <c r="F25" s="171">
        <v>85000</v>
      </c>
      <c r="G25" s="154">
        <v>0.5</v>
      </c>
      <c r="H25" s="154"/>
      <c r="I25" s="152" t="s">
        <v>1784</v>
      </c>
      <c r="J25" s="152"/>
    </row>
    <row r="26" spans="1:10" ht="21.75" customHeight="1" x14ac:dyDescent="0.15">
      <c r="A26" s="151" t="s">
        <v>1825</v>
      </c>
      <c r="B26" s="11" t="s">
        <v>1807</v>
      </c>
      <c r="C26" s="21" t="s">
        <v>1826</v>
      </c>
      <c r="D26" s="152">
        <v>16005</v>
      </c>
      <c r="E26" s="157">
        <v>0</v>
      </c>
      <c r="F26" s="171">
        <v>85000</v>
      </c>
      <c r="G26" s="154">
        <v>0.5</v>
      </c>
      <c r="H26" s="154"/>
      <c r="I26" s="152" t="s">
        <v>1784</v>
      </c>
      <c r="J26" s="152"/>
    </row>
    <row r="27" spans="1:10" ht="21.75" customHeight="1" x14ac:dyDescent="0.15">
      <c r="A27" s="151" t="s">
        <v>1827</v>
      </c>
      <c r="B27" s="20" t="s">
        <v>1828</v>
      </c>
      <c r="C27" s="21" t="s">
        <v>1829</v>
      </c>
      <c r="D27" s="152">
        <v>16116</v>
      </c>
      <c r="E27" s="157">
        <v>0</v>
      </c>
      <c r="F27" s="171">
        <v>59800</v>
      </c>
      <c r="G27" s="154">
        <v>0.1</v>
      </c>
      <c r="H27" s="154"/>
      <c r="I27" s="152" t="s">
        <v>1819</v>
      </c>
      <c r="J27" s="152"/>
    </row>
    <row r="28" spans="1:10" ht="21.75" customHeight="1" x14ac:dyDescent="0.15">
      <c r="A28" s="151" t="s">
        <v>1827</v>
      </c>
      <c r="B28" s="11" t="s">
        <v>1830</v>
      </c>
      <c r="C28" s="21" t="s">
        <v>1831</v>
      </c>
      <c r="D28" s="152">
        <v>16086</v>
      </c>
      <c r="E28" s="157">
        <v>0</v>
      </c>
      <c r="F28" s="171">
        <v>5500</v>
      </c>
      <c r="G28" s="154">
        <v>1</v>
      </c>
      <c r="H28" s="154"/>
      <c r="I28" s="152" t="s">
        <v>1812</v>
      </c>
      <c r="J28" s="152"/>
    </row>
    <row r="29" spans="1:10" ht="21.75" customHeight="1" x14ac:dyDescent="0.15">
      <c r="A29" s="151" t="s">
        <v>1699</v>
      </c>
      <c r="B29" s="11" t="s">
        <v>1832</v>
      </c>
      <c r="C29" s="21" t="s">
        <v>1833</v>
      </c>
      <c r="D29" s="152">
        <v>15027</v>
      </c>
      <c r="E29" s="157">
        <v>0</v>
      </c>
      <c r="F29" s="171">
        <v>14730</v>
      </c>
      <c r="G29" s="154">
        <v>0.1</v>
      </c>
      <c r="H29" s="154"/>
      <c r="I29" s="152" t="s">
        <v>1834</v>
      </c>
      <c r="J29" s="152"/>
    </row>
    <row r="30" spans="1:10" ht="21.75" customHeight="1" x14ac:dyDescent="0.15">
      <c r="A30" s="151" t="s">
        <v>1835</v>
      </c>
      <c r="B30" s="11" t="s">
        <v>1815</v>
      </c>
      <c r="C30" s="21" t="s">
        <v>1836</v>
      </c>
      <c r="D30" s="152">
        <v>17004</v>
      </c>
      <c r="E30" s="157">
        <v>0</v>
      </c>
      <c r="F30" s="171">
        <v>120000</v>
      </c>
      <c r="G30" s="154">
        <v>1</v>
      </c>
      <c r="H30" s="154"/>
      <c r="I30" s="152" t="s">
        <v>1812</v>
      </c>
      <c r="J30" s="152"/>
    </row>
    <row r="31" spans="1:10" ht="21.75" customHeight="1" x14ac:dyDescent="0.15">
      <c r="A31" s="151" t="s">
        <v>1835</v>
      </c>
      <c r="B31" s="11" t="s">
        <v>1815</v>
      </c>
      <c r="C31" s="21" t="s">
        <v>1836</v>
      </c>
      <c r="D31" s="152">
        <v>16120</v>
      </c>
      <c r="E31" s="157">
        <v>0</v>
      </c>
      <c r="F31" s="171">
        <v>55000</v>
      </c>
      <c r="G31" s="154">
        <v>1</v>
      </c>
      <c r="H31" s="154"/>
      <c r="I31" s="152" t="s">
        <v>1812</v>
      </c>
      <c r="J31" s="152"/>
    </row>
    <row r="32" spans="1:10" ht="21.75" customHeight="1" x14ac:dyDescent="0.15">
      <c r="A32" s="151" t="s">
        <v>1837</v>
      </c>
      <c r="B32" s="11" t="s">
        <v>1800</v>
      </c>
      <c r="C32" s="21" t="s">
        <v>1838</v>
      </c>
      <c r="D32" s="152">
        <v>16109</v>
      </c>
      <c r="E32" s="157">
        <v>0</v>
      </c>
      <c r="F32" s="171">
        <f>90700+6500</f>
        <v>97200</v>
      </c>
      <c r="G32" s="154">
        <v>0.9</v>
      </c>
      <c r="H32" s="154"/>
      <c r="I32" s="152" t="s">
        <v>1802</v>
      </c>
      <c r="J32" s="152"/>
    </row>
    <row r="33" spans="1:10" ht="21.75" customHeight="1" x14ac:dyDescent="0.15">
      <c r="A33" s="151" t="s">
        <v>1837</v>
      </c>
      <c r="B33" s="11" t="s">
        <v>1839</v>
      </c>
      <c r="C33" s="21" t="s">
        <v>1840</v>
      </c>
      <c r="D33" s="152">
        <v>14007</v>
      </c>
      <c r="E33" s="157">
        <v>0</v>
      </c>
      <c r="F33" s="171">
        <v>54895</v>
      </c>
      <c r="G33" s="154">
        <v>0.1</v>
      </c>
      <c r="H33" s="154"/>
      <c r="I33" s="152" t="s">
        <v>1819</v>
      </c>
      <c r="J33" s="152"/>
    </row>
    <row r="34" spans="1:10" ht="21.75" customHeight="1" x14ac:dyDescent="0.15">
      <c r="A34" s="151" t="s">
        <v>1841</v>
      </c>
      <c r="B34" s="11" t="s">
        <v>1842</v>
      </c>
      <c r="C34" s="21" t="s">
        <v>1843</v>
      </c>
      <c r="D34" s="152">
        <v>15026</v>
      </c>
      <c r="E34" s="157">
        <v>0</v>
      </c>
      <c r="F34" s="171">
        <v>136000</v>
      </c>
      <c r="G34" s="154">
        <v>0.4</v>
      </c>
      <c r="H34" s="154"/>
      <c r="I34" s="152" t="s">
        <v>1834</v>
      </c>
      <c r="J34" s="152"/>
    </row>
    <row r="35" spans="1:10" ht="21.75" customHeight="1" x14ac:dyDescent="0.15">
      <c r="A35" s="151" t="s">
        <v>1844</v>
      </c>
      <c r="B35" s="11" t="s">
        <v>1845</v>
      </c>
      <c r="C35" s="21" t="s">
        <v>1846</v>
      </c>
      <c r="D35" s="152">
        <v>17015</v>
      </c>
      <c r="E35" s="157">
        <v>0</v>
      </c>
      <c r="F35" s="171">
        <v>2000</v>
      </c>
      <c r="G35" s="154">
        <v>1</v>
      </c>
      <c r="H35" s="154"/>
      <c r="I35" s="152" t="s">
        <v>1802</v>
      </c>
      <c r="J35" s="152"/>
    </row>
    <row r="36" spans="1:10" ht="21.75" customHeight="1" x14ac:dyDescent="0.15">
      <c r="A36" s="151" t="s">
        <v>1700</v>
      </c>
      <c r="B36" s="11" t="s">
        <v>1847</v>
      </c>
      <c r="C36" s="21" t="s">
        <v>1848</v>
      </c>
      <c r="D36" s="152">
        <v>17020</v>
      </c>
      <c r="E36" s="157">
        <v>0</v>
      </c>
      <c r="F36" s="171">
        <v>145000</v>
      </c>
      <c r="G36" s="154">
        <v>1</v>
      </c>
      <c r="H36" s="154"/>
      <c r="I36" s="152" t="s">
        <v>1812</v>
      </c>
      <c r="J36" s="152"/>
    </row>
    <row r="37" spans="1:10" ht="21.75" customHeight="1" x14ac:dyDescent="0.15">
      <c r="A37" s="151" t="s">
        <v>1849</v>
      </c>
      <c r="B37" s="20" t="s">
        <v>1790</v>
      </c>
      <c r="C37" s="21" t="s">
        <v>1850</v>
      </c>
      <c r="D37" s="152">
        <v>17011</v>
      </c>
      <c r="E37" s="157">
        <v>0</v>
      </c>
      <c r="F37" s="171">
        <v>40000</v>
      </c>
      <c r="G37" s="154">
        <v>0.25</v>
      </c>
      <c r="H37" s="154"/>
      <c r="I37" s="152" t="s">
        <v>1851</v>
      </c>
      <c r="J37" s="152"/>
    </row>
    <row r="38" spans="1:10" ht="21.75" customHeight="1" x14ac:dyDescent="0.15">
      <c r="A38" s="151" t="s">
        <v>1852</v>
      </c>
      <c r="B38" s="11" t="s">
        <v>1853</v>
      </c>
      <c r="C38" s="21" t="s">
        <v>1854</v>
      </c>
      <c r="D38" s="152">
        <v>16108</v>
      </c>
      <c r="E38" s="157">
        <v>0</v>
      </c>
      <c r="F38" s="171">
        <v>37440</v>
      </c>
      <c r="G38" s="154">
        <v>1</v>
      </c>
      <c r="H38" s="154"/>
      <c r="I38" s="152" t="s">
        <v>1812</v>
      </c>
      <c r="J38" s="152"/>
    </row>
    <row r="39" spans="1:10" ht="21.75" customHeight="1" x14ac:dyDescent="0.15">
      <c r="A39" s="151" t="s">
        <v>1852</v>
      </c>
      <c r="B39" s="11" t="s">
        <v>1855</v>
      </c>
      <c r="C39" s="21" t="s">
        <v>1856</v>
      </c>
      <c r="D39" s="152">
        <v>17008</v>
      </c>
      <c r="E39" s="157">
        <v>0</v>
      </c>
      <c r="F39" s="171">
        <v>60000</v>
      </c>
      <c r="G39" s="154">
        <v>0.5</v>
      </c>
      <c r="H39" s="154"/>
      <c r="I39" s="152" t="s">
        <v>1857</v>
      </c>
      <c r="J39" s="152"/>
    </row>
    <row r="40" spans="1:10" ht="21.75" customHeight="1" x14ac:dyDescent="0.15">
      <c r="A40" s="151" t="s">
        <v>1852</v>
      </c>
      <c r="B40" s="11" t="s">
        <v>1858</v>
      </c>
      <c r="C40" s="21" t="s">
        <v>1856</v>
      </c>
      <c r="D40" s="152">
        <v>17008</v>
      </c>
      <c r="E40" s="157">
        <v>0</v>
      </c>
      <c r="F40" s="171">
        <v>60000</v>
      </c>
      <c r="G40" s="154">
        <v>0.5</v>
      </c>
      <c r="H40" s="154"/>
      <c r="I40" s="152" t="s">
        <v>1857</v>
      </c>
      <c r="J40" s="152"/>
    </row>
    <row r="41" spans="1:10" ht="21.75" customHeight="1" x14ac:dyDescent="0.15">
      <c r="A41" s="151" t="s">
        <v>1859</v>
      </c>
      <c r="B41" s="11" t="s">
        <v>1860</v>
      </c>
      <c r="C41" s="21" t="s">
        <v>1861</v>
      </c>
      <c r="D41" s="152">
        <v>16041</v>
      </c>
      <c r="E41" s="157">
        <v>0</v>
      </c>
      <c r="F41" s="171">
        <v>150000</v>
      </c>
      <c r="G41" s="154">
        <v>1</v>
      </c>
      <c r="H41" s="154"/>
      <c r="I41" s="152" t="s">
        <v>1802</v>
      </c>
      <c r="J41" s="152"/>
    </row>
    <row r="42" spans="1:10" ht="21.75" customHeight="1" x14ac:dyDescent="0.15">
      <c r="A42" s="151" t="s">
        <v>1862</v>
      </c>
      <c r="B42" s="11" t="s">
        <v>1863</v>
      </c>
      <c r="C42" s="21" t="s">
        <v>1864</v>
      </c>
      <c r="D42" s="152">
        <v>16055</v>
      </c>
      <c r="E42" s="157">
        <v>0</v>
      </c>
      <c r="F42" s="171">
        <v>93100</v>
      </c>
      <c r="G42" s="154">
        <v>0.95</v>
      </c>
      <c r="H42" s="154"/>
      <c r="I42" s="152" t="s">
        <v>1812</v>
      </c>
      <c r="J42" s="152"/>
    </row>
    <row r="43" spans="1:10" ht="21.75" customHeight="1" x14ac:dyDescent="0.15">
      <c r="A43" s="151" t="s">
        <v>1862</v>
      </c>
      <c r="B43" s="11" t="s">
        <v>1863</v>
      </c>
      <c r="C43" s="21" t="s">
        <v>1864</v>
      </c>
      <c r="D43" s="152">
        <v>15062</v>
      </c>
      <c r="E43" s="157">
        <v>0</v>
      </c>
      <c r="F43" s="171">
        <v>9950</v>
      </c>
      <c r="G43" s="152" t="s">
        <v>1795</v>
      </c>
      <c r="H43" s="152"/>
      <c r="I43" s="152" t="s">
        <v>1812</v>
      </c>
      <c r="J43" s="152"/>
    </row>
    <row r="44" spans="1:10" ht="21.75" customHeight="1" x14ac:dyDescent="0.15">
      <c r="A44" s="151" t="s">
        <v>1862</v>
      </c>
      <c r="B44" s="11" t="s">
        <v>1863</v>
      </c>
      <c r="C44" s="21" t="s">
        <v>1864</v>
      </c>
      <c r="D44" s="152">
        <v>15059</v>
      </c>
      <c r="E44" s="157">
        <v>0</v>
      </c>
      <c r="F44" s="171">
        <v>4995</v>
      </c>
      <c r="G44" s="154">
        <v>0.05</v>
      </c>
      <c r="H44" s="154"/>
      <c r="I44" s="152" t="s">
        <v>1812</v>
      </c>
      <c r="J44" s="152"/>
    </row>
    <row r="45" spans="1:10" ht="61.9" customHeight="1" x14ac:dyDescent="0.15">
      <c r="A45" s="151" t="s">
        <v>1865</v>
      </c>
      <c r="B45" s="11" t="s">
        <v>1866</v>
      </c>
      <c r="C45" s="21" t="s">
        <v>1701</v>
      </c>
      <c r="D45" s="152">
        <v>13018</v>
      </c>
      <c r="E45" s="171">
        <v>52500</v>
      </c>
      <c r="F45" s="171">
        <v>0</v>
      </c>
      <c r="G45" s="152" t="s">
        <v>1795</v>
      </c>
      <c r="H45" s="152"/>
      <c r="I45" s="152" t="s">
        <v>1802</v>
      </c>
      <c r="J45" s="152" t="s">
        <v>1867</v>
      </c>
    </row>
    <row r="46" spans="1:10" ht="63" customHeight="1" x14ac:dyDescent="0.15">
      <c r="A46" s="151" t="s">
        <v>1865</v>
      </c>
      <c r="B46" s="20" t="s">
        <v>1866</v>
      </c>
      <c r="C46" s="21" t="s">
        <v>1702</v>
      </c>
      <c r="D46" s="152">
        <v>15002</v>
      </c>
      <c r="E46" s="171">
        <v>47500</v>
      </c>
      <c r="F46" s="171">
        <v>0</v>
      </c>
      <c r="G46" s="152" t="s">
        <v>1795</v>
      </c>
      <c r="H46" s="152"/>
      <c r="I46" s="152" t="s">
        <v>1802</v>
      </c>
      <c r="J46" s="152" t="s">
        <v>1867</v>
      </c>
    </row>
    <row r="47" spans="1:10" ht="21.75" customHeight="1" x14ac:dyDescent="0.15">
      <c r="A47" s="151" t="s">
        <v>1868</v>
      </c>
      <c r="B47" s="11" t="s">
        <v>1869</v>
      </c>
      <c r="C47" s="21" t="s">
        <v>1870</v>
      </c>
      <c r="D47" s="152">
        <v>15023</v>
      </c>
      <c r="E47" s="171">
        <v>0</v>
      </c>
      <c r="F47" s="171">
        <v>116400</v>
      </c>
      <c r="G47" s="154">
        <v>0.3</v>
      </c>
      <c r="H47" s="154"/>
      <c r="I47" s="152" t="s">
        <v>1819</v>
      </c>
      <c r="J47" s="152"/>
    </row>
    <row r="48" spans="1:10" ht="21.75" customHeight="1" x14ac:dyDescent="0.15">
      <c r="A48" s="151" t="s">
        <v>1871</v>
      </c>
      <c r="B48" s="11" t="s">
        <v>1872</v>
      </c>
      <c r="C48" s="21" t="s">
        <v>1703</v>
      </c>
      <c r="D48" s="152">
        <v>15014</v>
      </c>
      <c r="E48" s="171">
        <v>0</v>
      </c>
      <c r="F48" s="171">
        <v>47000</v>
      </c>
      <c r="G48" s="154">
        <v>0.1</v>
      </c>
      <c r="H48" s="154"/>
      <c r="I48" s="152" t="s">
        <v>1857</v>
      </c>
      <c r="J48" s="152"/>
    </row>
    <row r="49" spans="1:10" ht="21.75" customHeight="1" x14ac:dyDescent="0.15">
      <c r="A49" s="151" t="s">
        <v>1705</v>
      </c>
      <c r="B49" s="11" t="s">
        <v>1873</v>
      </c>
      <c r="C49" s="21" t="s">
        <v>98</v>
      </c>
      <c r="D49" s="152">
        <v>16119</v>
      </c>
      <c r="E49" s="171">
        <v>0</v>
      </c>
      <c r="F49" s="171">
        <v>10000</v>
      </c>
      <c r="G49" s="154">
        <v>1</v>
      </c>
      <c r="H49" s="154"/>
      <c r="I49" s="152" t="s">
        <v>1874</v>
      </c>
      <c r="J49" s="152"/>
    </row>
    <row r="50" spans="1:10" ht="21.75" customHeight="1" x14ac:dyDescent="0.15">
      <c r="A50" s="151" t="s">
        <v>1705</v>
      </c>
      <c r="B50" s="11" t="s">
        <v>1704</v>
      </c>
      <c r="C50" s="21" t="s">
        <v>1706</v>
      </c>
      <c r="D50" s="152">
        <v>16117</v>
      </c>
      <c r="E50" s="171">
        <v>0</v>
      </c>
      <c r="F50" s="171">
        <v>10000</v>
      </c>
      <c r="G50" s="154">
        <v>1</v>
      </c>
      <c r="H50" s="154"/>
      <c r="I50" s="152" t="s">
        <v>1874</v>
      </c>
      <c r="J50" s="152"/>
    </row>
    <row r="51" spans="1:10" ht="21.75" customHeight="1" x14ac:dyDescent="0.15">
      <c r="A51" s="151" t="s">
        <v>1705</v>
      </c>
      <c r="B51" s="11" t="s">
        <v>79</v>
      </c>
      <c r="C51" s="180" t="s">
        <v>1875</v>
      </c>
      <c r="D51" s="152">
        <v>16118</v>
      </c>
      <c r="E51" s="171">
        <v>0</v>
      </c>
      <c r="F51" s="171">
        <v>20000</v>
      </c>
      <c r="G51" s="154">
        <v>1</v>
      </c>
      <c r="H51" s="154"/>
      <c r="I51" s="152" t="s">
        <v>1874</v>
      </c>
      <c r="J51" s="152"/>
    </row>
    <row r="52" spans="1:10" ht="21.75" customHeight="1" x14ac:dyDescent="0.15">
      <c r="A52" s="151" t="s">
        <v>1876</v>
      </c>
      <c r="B52" s="11" t="s">
        <v>1877</v>
      </c>
      <c r="C52" s="21" t="s">
        <v>1878</v>
      </c>
      <c r="D52" s="152">
        <v>17037</v>
      </c>
      <c r="E52" s="171">
        <v>0</v>
      </c>
      <c r="F52" s="171">
        <v>48000</v>
      </c>
      <c r="G52" s="154">
        <v>0.3</v>
      </c>
      <c r="H52" s="154" t="s">
        <v>1879</v>
      </c>
      <c r="I52" s="152" t="s">
        <v>1880</v>
      </c>
      <c r="J52" s="152"/>
    </row>
    <row r="53" spans="1:10" ht="21.75" customHeight="1" x14ac:dyDescent="0.15">
      <c r="A53" s="151" t="s">
        <v>1881</v>
      </c>
      <c r="B53" s="168" t="s">
        <v>1882</v>
      </c>
      <c r="C53" s="21" t="s">
        <v>1883</v>
      </c>
      <c r="D53" s="152">
        <v>16015</v>
      </c>
      <c r="E53" s="171">
        <v>0</v>
      </c>
      <c r="F53" s="171">
        <v>99300</v>
      </c>
      <c r="G53" s="154" t="s">
        <v>1884</v>
      </c>
      <c r="H53" s="154" t="s">
        <v>1885</v>
      </c>
      <c r="I53" s="152" t="s">
        <v>1874</v>
      </c>
      <c r="J53" s="152"/>
    </row>
    <row r="54" spans="1:10" ht="21.75" customHeight="1" x14ac:dyDescent="0.15">
      <c r="A54" s="151" t="s">
        <v>1881</v>
      </c>
      <c r="B54" s="168" t="s">
        <v>1886</v>
      </c>
      <c r="C54" s="21" t="s">
        <v>1887</v>
      </c>
      <c r="D54" s="152">
        <v>17012</v>
      </c>
      <c r="E54" s="171">
        <v>0</v>
      </c>
      <c r="F54" s="171">
        <v>40000</v>
      </c>
      <c r="G54" s="154">
        <v>0.25</v>
      </c>
      <c r="H54" s="154" t="s">
        <v>1888</v>
      </c>
      <c r="I54" s="152" t="s">
        <v>1889</v>
      </c>
      <c r="J54" s="152"/>
    </row>
    <row r="55" spans="1:10" ht="21.75" customHeight="1" x14ac:dyDescent="0.15">
      <c r="A55" s="151" t="s">
        <v>1890</v>
      </c>
      <c r="B55" s="169" t="s">
        <v>1891</v>
      </c>
      <c r="C55" s="42" t="s">
        <v>1892</v>
      </c>
      <c r="D55" s="178">
        <v>13032</v>
      </c>
      <c r="E55" s="171">
        <v>0</v>
      </c>
      <c r="F55" s="171">
        <v>45000</v>
      </c>
      <c r="G55" s="154">
        <v>0.1</v>
      </c>
      <c r="H55" s="154" t="s">
        <v>1707</v>
      </c>
      <c r="I55" s="152" t="s">
        <v>1893</v>
      </c>
      <c r="J55" s="152"/>
    </row>
    <row r="56" spans="1:10" ht="21.75" customHeight="1" x14ac:dyDescent="0.15">
      <c r="A56" s="151" t="s">
        <v>1894</v>
      </c>
      <c r="B56" s="169" t="s">
        <v>28</v>
      </c>
      <c r="C56" s="89" t="s">
        <v>116</v>
      </c>
      <c r="D56" s="178">
        <v>13033</v>
      </c>
      <c r="E56" s="171">
        <v>0</v>
      </c>
      <c r="F56" s="171">
        <v>45000</v>
      </c>
      <c r="G56" s="154">
        <v>0.1</v>
      </c>
      <c r="H56" s="154" t="s">
        <v>1707</v>
      </c>
      <c r="I56" s="152" t="s">
        <v>1893</v>
      </c>
      <c r="J56" s="152"/>
    </row>
    <row r="57" spans="1:10" ht="21.75" customHeight="1" x14ac:dyDescent="0.15">
      <c r="A57" s="151" t="s">
        <v>1894</v>
      </c>
      <c r="B57" s="169" t="s">
        <v>28</v>
      </c>
      <c r="C57" s="89" t="s">
        <v>1895</v>
      </c>
      <c r="D57" s="152">
        <v>14034</v>
      </c>
      <c r="E57" s="171">
        <v>0</v>
      </c>
      <c r="F57" s="171">
        <v>29000</v>
      </c>
      <c r="G57" s="154">
        <v>0.1</v>
      </c>
      <c r="H57" s="154" t="s">
        <v>1707</v>
      </c>
      <c r="I57" s="152" t="s">
        <v>1893</v>
      </c>
      <c r="J57" s="152"/>
    </row>
    <row r="58" spans="1:10" ht="21.75" customHeight="1" x14ac:dyDescent="0.15">
      <c r="A58" s="151" t="s">
        <v>1896</v>
      </c>
      <c r="B58" s="11" t="s">
        <v>1897</v>
      </c>
      <c r="C58" s="21" t="s">
        <v>1898</v>
      </c>
      <c r="D58" s="152">
        <v>17001</v>
      </c>
      <c r="E58" s="171">
        <v>0</v>
      </c>
      <c r="F58" s="171">
        <v>188400</v>
      </c>
      <c r="G58" s="154">
        <v>0.8</v>
      </c>
      <c r="H58" s="154" t="s">
        <v>1899</v>
      </c>
      <c r="I58" s="152" t="s">
        <v>1900</v>
      </c>
      <c r="J58" s="152"/>
    </row>
    <row r="59" spans="1:10" ht="21.75" customHeight="1" x14ac:dyDescent="0.15">
      <c r="A59" s="151" t="s">
        <v>1896</v>
      </c>
      <c r="B59" s="20" t="s">
        <v>1901</v>
      </c>
      <c r="C59" s="21" t="s">
        <v>1902</v>
      </c>
      <c r="D59" s="152">
        <v>16025</v>
      </c>
      <c r="E59" s="171">
        <v>0</v>
      </c>
      <c r="F59" s="171">
        <v>50000</v>
      </c>
      <c r="G59" s="154">
        <v>0.5</v>
      </c>
      <c r="H59" s="154" t="s">
        <v>1903</v>
      </c>
      <c r="I59" s="152" t="s">
        <v>1904</v>
      </c>
      <c r="J59" s="152" t="s">
        <v>1905</v>
      </c>
    </row>
    <row r="60" spans="1:10" ht="21.75" customHeight="1" x14ac:dyDescent="0.15">
      <c r="A60" s="151" t="s">
        <v>1708</v>
      </c>
      <c r="B60" s="11" t="s">
        <v>1906</v>
      </c>
      <c r="C60" s="21" t="s">
        <v>1907</v>
      </c>
      <c r="D60" s="152">
        <v>16053</v>
      </c>
      <c r="E60" s="171">
        <v>0</v>
      </c>
      <c r="F60" s="171">
        <v>119700</v>
      </c>
      <c r="G60" s="154">
        <v>0.95</v>
      </c>
      <c r="H60" s="154" t="s">
        <v>1908</v>
      </c>
      <c r="I60" s="152" t="s">
        <v>1893</v>
      </c>
      <c r="J60" s="152"/>
    </row>
    <row r="61" spans="1:10" ht="21.75" customHeight="1" x14ac:dyDescent="0.15">
      <c r="A61" s="151" t="s">
        <v>1909</v>
      </c>
      <c r="B61" s="20" t="s">
        <v>1910</v>
      </c>
      <c r="C61" s="21" t="s">
        <v>1911</v>
      </c>
      <c r="D61" s="152">
        <v>16110</v>
      </c>
      <c r="E61" s="171">
        <v>0</v>
      </c>
      <c r="F61" s="171">
        <v>250200</v>
      </c>
      <c r="G61" s="154">
        <v>0.9</v>
      </c>
      <c r="H61" s="154" t="s">
        <v>1912</v>
      </c>
      <c r="I61" s="152" t="s">
        <v>1913</v>
      </c>
      <c r="J61" s="152"/>
    </row>
    <row r="62" spans="1:10" ht="40.9" customHeight="1" x14ac:dyDescent="0.15">
      <c r="A62" s="1178" t="s">
        <v>1909</v>
      </c>
      <c r="B62" s="1171" t="s">
        <v>1914</v>
      </c>
      <c r="C62" s="21" t="s">
        <v>1915</v>
      </c>
      <c r="D62" s="152">
        <v>12001</v>
      </c>
      <c r="E62" s="171">
        <v>205000</v>
      </c>
      <c r="F62" s="171">
        <v>0</v>
      </c>
      <c r="G62" s="154">
        <v>0.1</v>
      </c>
      <c r="H62" s="154" t="s">
        <v>1916</v>
      </c>
      <c r="I62" s="1174" t="s">
        <v>1917</v>
      </c>
      <c r="J62" s="1174" t="s">
        <v>1918</v>
      </c>
    </row>
    <row r="63" spans="1:10" ht="37.15" customHeight="1" x14ac:dyDescent="0.15">
      <c r="A63" s="1179"/>
      <c r="B63" s="1177"/>
      <c r="C63" s="21" t="s">
        <v>1919</v>
      </c>
      <c r="D63" s="152">
        <v>12003</v>
      </c>
      <c r="E63" s="171">
        <v>165000</v>
      </c>
      <c r="F63" s="171">
        <v>0</v>
      </c>
      <c r="G63" s="154" t="s">
        <v>1920</v>
      </c>
      <c r="H63" s="154" t="s">
        <v>1916</v>
      </c>
      <c r="I63" s="1175"/>
      <c r="J63" s="1175"/>
    </row>
    <row r="64" spans="1:10" ht="21.75" customHeight="1" x14ac:dyDescent="0.15">
      <c r="A64" s="151" t="s">
        <v>1921</v>
      </c>
      <c r="B64" s="20" t="s">
        <v>1922</v>
      </c>
      <c r="C64" s="21" t="s">
        <v>1923</v>
      </c>
      <c r="D64" s="152">
        <v>17030</v>
      </c>
      <c r="E64" s="171">
        <v>0</v>
      </c>
      <c r="F64" s="171">
        <v>712500</v>
      </c>
      <c r="G64" s="154">
        <v>0.95</v>
      </c>
      <c r="H64" s="154" t="s">
        <v>1924</v>
      </c>
      <c r="I64" s="152" t="s">
        <v>1904</v>
      </c>
      <c r="J64" s="152"/>
    </row>
    <row r="65" spans="1:10" ht="21.75" customHeight="1" x14ac:dyDescent="0.15">
      <c r="A65" s="151" t="s">
        <v>1921</v>
      </c>
      <c r="B65" s="20" t="s">
        <v>1925</v>
      </c>
      <c r="C65" s="21" t="s">
        <v>1926</v>
      </c>
      <c r="D65" s="152">
        <v>14008</v>
      </c>
      <c r="E65" s="171">
        <v>200000</v>
      </c>
      <c r="F65" s="171">
        <v>0</v>
      </c>
      <c r="G65" s="154" t="s">
        <v>1920</v>
      </c>
      <c r="H65" s="154" t="s">
        <v>1927</v>
      </c>
      <c r="I65" s="152" t="s">
        <v>1904</v>
      </c>
      <c r="J65" s="152" t="s">
        <v>1928</v>
      </c>
    </row>
    <row r="66" spans="1:10" ht="21.75" customHeight="1" x14ac:dyDescent="0.15">
      <c r="A66" s="151" t="s">
        <v>1929</v>
      </c>
      <c r="B66" s="20" t="s">
        <v>59</v>
      </c>
      <c r="C66" s="21" t="s">
        <v>1919</v>
      </c>
      <c r="D66" s="152">
        <v>12003</v>
      </c>
      <c r="E66" s="171">
        <v>0</v>
      </c>
      <c r="F66" s="171">
        <v>12200</v>
      </c>
      <c r="G66" s="154" t="s">
        <v>1920</v>
      </c>
      <c r="H66" s="154" t="s">
        <v>1916</v>
      </c>
      <c r="I66" s="152" t="s">
        <v>1692</v>
      </c>
      <c r="J66" s="152"/>
    </row>
    <row r="67" spans="1:10" ht="21.75" customHeight="1" x14ac:dyDescent="0.15">
      <c r="A67" s="151" t="s">
        <v>1930</v>
      </c>
      <c r="B67" s="20" t="s">
        <v>1931</v>
      </c>
      <c r="C67" s="21" t="s">
        <v>1932</v>
      </c>
      <c r="D67" s="152">
        <v>14008</v>
      </c>
      <c r="E67" s="171">
        <v>0</v>
      </c>
      <c r="F67" s="171">
        <v>17850</v>
      </c>
      <c r="G67" s="154" t="s">
        <v>1933</v>
      </c>
      <c r="H67" s="154" t="s">
        <v>1934</v>
      </c>
      <c r="I67" s="152" t="s">
        <v>1935</v>
      </c>
      <c r="J67" s="152"/>
    </row>
    <row r="68" spans="1:10" ht="43.15" customHeight="1" x14ac:dyDescent="0.15">
      <c r="A68" s="151" t="s">
        <v>1930</v>
      </c>
      <c r="B68" s="20" t="s">
        <v>1936</v>
      </c>
      <c r="C68" s="21" t="s">
        <v>1937</v>
      </c>
      <c r="D68" s="152">
        <v>12001</v>
      </c>
      <c r="E68" s="171">
        <v>120000</v>
      </c>
      <c r="F68" s="171">
        <v>0</v>
      </c>
      <c r="G68" s="154" t="s">
        <v>1933</v>
      </c>
      <c r="H68" s="154" t="s">
        <v>1938</v>
      </c>
      <c r="I68" s="152" t="s">
        <v>1939</v>
      </c>
      <c r="J68" s="152" t="s">
        <v>1940</v>
      </c>
    </row>
    <row r="69" spans="1:10" ht="21.75" customHeight="1" x14ac:dyDescent="0.15">
      <c r="A69" s="151" t="s">
        <v>1930</v>
      </c>
      <c r="B69" s="20" t="s">
        <v>1941</v>
      </c>
      <c r="C69" s="21" t="s">
        <v>1942</v>
      </c>
      <c r="D69" s="152">
        <v>17041</v>
      </c>
      <c r="E69" s="171">
        <v>0</v>
      </c>
      <c r="F69" s="171">
        <v>60000</v>
      </c>
      <c r="G69" s="154">
        <v>0.3</v>
      </c>
      <c r="H69" s="154" t="s">
        <v>1943</v>
      </c>
      <c r="I69" s="152" t="s">
        <v>1944</v>
      </c>
      <c r="J69" s="152"/>
    </row>
    <row r="70" spans="1:10" ht="21.75" customHeight="1" x14ac:dyDescent="0.15">
      <c r="A70" s="151" t="s">
        <v>1945</v>
      </c>
      <c r="B70" s="20" t="s">
        <v>1946</v>
      </c>
      <c r="C70" s="26" t="s">
        <v>1947</v>
      </c>
      <c r="D70" s="152">
        <v>16059</v>
      </c>
      <c r="E70" s="171">
        <v>0</v>
      </c>
      <c r="F70" s="171">
        <v>375000</v>
      </c>
      <c r="G70" s="154">
        <v>1</v>
      </c>
      <c r="H70" s="154" t="s">
        <v>1948</v>
      </c>
      <c r="I70" s="152" t="s">
        <v>1935</v>
      </c>
      <c r="J70" s="152"/>
    </row>
    <row r="71" spans="1:10" ht="21.75" customHeight="1" x14ac:dyDescent="0.15">
      <c r="A71" s="151" t="s">
        <v>1945</v>
      </c>
      <c r="B71" s="20" t="s">
        <v>1949</v>
      </c>
      <c r="C71" s="26" t="s">
        <v>1950</v>
      </c>
      <c r="D71" s="152">
        <v>16064</v>
      </c>
      <c r="E71" s="171">
        <v>0</v>
      </c>
      <c r="F71" s="171">
        <v>275000</v>
      </c>
      <c r="G71" s="154">
        <v>1</v>
      </c>
      <c r="H71" s="154" t="s">
        <v>1948</v>
      </c>
      <c r="I71" s="152" t="s">
        <v>1935</v>
      </c>
      <c r="J71" s="152"/>
    </row>
    <row r="72" spans="1:10" ht="21.75" customHeight="1" x14ac:dyDescent="0.15">
      <c r="A72" s="151" t="s">
        <v>1951</v>
      </c>
      <c r="B72" s="20" t="s">
        <v>1952</v>
      </c>
      <c r="C72" s="21" t="s">
        <v>1953</v>
      </c>
      <c r="D72" s="152">
        <v>12050</v>
      </c>
      <c r="E72" s="171">
        <v>0</v>
      </c>
      <c r="F72" s="171">
        <v>70000</v>
      </c>
      <c r="G72" s="154" t="s">
        <v>1933</v>
      </c>
      <c r="H72" s="154" t="s">
        <v>1948</v>
      </c>
      <c r="I72" s="152" t="s">
        <v>1954</v>
      </c>
      <c r="J72" s="152"/>
    </row>
    <row r="73" spans="1:10" ht="21.75" customHeight="1" x14ac:dyDescent="0.15">
      <c r="A73" s="151" t="s">
        <v>1709</v>
      </c>
      <c r="B73" s="20" t="s">
        <v>1955</v>
      </c>
      <c r="C73" s="21" t="s">
        <v>1956</v>
      </c>
      <c r="D73" s="152">
        <v>17021</v>
      </c>
      <c r="E73" s="171">
        <v>0</v>
      </c>
      <c r="F73" s="171">
        <v>120000</v>
      </c>
      <c r="G73" s="154">
        <v>1</v>
      </c>
      <c r="H73" s="154" t="s">
        <v>1948</v>
      </c>
      <c r="I73" s="152" t="s">
        <v>1957</v>
      </c>
      <c r="J73" s="152"/>
    </row>
    <row r="74" spans="1:10" ht="21.75" customHeight="1" x14ac:dyDescent="0.15">
      <c r="A74" s="151" t="s">
        <v>1958</v>
      </c>
      <c r="B74" s="20" t="s">
        <v>1959</v>
      </c>
      <c r="C74" s="21" t="s">
        <v>1960</v>
      </c>
      <c r="D74" s="152">
        <v>15038</v>
      </c>
      <c r="E74" s="171">
        <v>0</v>
      </c>
      <c r="F74" s="171">
        <v>44500</v>
      </c>
      <c r="G74" s="154">
        <v>0.1</v>
      </c>
      <c r="H74" s="154" t="s">
        <v>1938</v>
      </c>
      <c r="I74" s="152" t="s">
        <v>1944</v>
      </c>
      <c r="J74" s="152"/>
    </row>
    <row r="75" spans="1:10" ht="21.75" customHeight="1" x14ac:dyDescent="0.15">
      <c r="A75" s="151" t="s">
        <v>1710</v>
      </c>
      <c r="B75" s="20" t="s">
        <v>1961</v>
      </c>
      <c r="C75" s="21" t="s">
        <v>1962</v>
      </c>
      <c r="D75" s="152">
        <v>16081</v>
      </c>
      <c r="E75" s="171">
        <v>0</v>
      </c>
      <c r="F75" s="171">
        <v>150000</v>
      </c>
      <c r="G75" s="154">
        <v>0.5</v>
      </c>
      <c r="H75" s="154" t="s">
        <v>1963</v>
      </c>
      <c r="I75" s="152" t="s">
        <v>1935</v>
      </c>
      <c r="J75" s="152"/>
    </row>
    <row r="76" spans="1:10" ht="21.75" customHeight="1" x14ac:dyDescent="0.15">
      <c r="A76" s="151" t="s">
        <v>1711</v>
      </c>
      <c r="B76" s="20" t="s">
        <v>1964</v>
      </c>
      <c r="C76" s="21" t="s">
        <v>1965</v>
      </c>
      <c r="D76" s="152">
        <v>17033</v>
      </c>
      <c r="E76" s="171">
        <v>0</v>
      </c>
      <c r="F76" s="171">
        <v>8000</v>
      </c>
      <c r="G76" s="154">
        <v>1</v>
      </c>
      <c r="H76" s="154" t="s">
        <v>1948</v>
      </c>
      <c r="I76" s="152" t="s">
        <v>1935</v>
      </c>
      <c r="J76" s="152"/>
    </row>
    <row r="77" spans="1:10" ht="21.75" customHeight="1" x14ac:dyDescent="0.15">
      <c r="A77" s="151" t="s">
        <v>1966</v>
      </c>
      <c r="B77" s="20" t="s">
        <v>1952</v>
      </c>
      <c r="C77" s="21" t="s">
        <v>1953</v>
      </c>
      <c r="D77" s="152">
        <v>12050</v>
      </c>
      <c r="E77" s="171">
        <v>0</v>
      </c>
      <c r="F77" s="171">
        <v>50000</v>
      </c>
      <c r="G77" s="154" t="s">
        <v>1933</v>
      </c>
      <c r="H77" s="154" t="s">
        <v>1948</v>
      </c>
      <c r="I77" s="152" t="s">
        <v>1954</v>
      </c>
      <c r="J77" s="152"/>
    </row>
    <row r="78" spans="1:10" ht="21.75" customHeight="1" x14ac:dyDescent="0.15">
      <c r="A78" s="151" t="s">
        <v>1967</v>
      </c>
      <c r="B78" s="20" t="s">
        <v>1968</v>
      </c>
      <c r="C78" s="21" t="s">
        <v>1969</v>
      </c>
      <c r="D78" s="152">
        <v>17011</v>
      </c>
      <c r="E78" s="171">
        <v>0</v>
      </c>
      <c r="F78" s="171">
        <v>40000</v>
      </c>
      <c r="G78" s="154" t="s">
        <v>1933</v>
      </c>
      <c r="H78" s="154" t="s">
        <v>1970</v>
      </c>
      <c r="I78" s="152" t="s">
        <v>1971</v>
      </c>
      <c r="J78" s="152"/>
    </row>
    <row r="79" spans="1:10" ht="21.75" customHeight="1" x14ac:dyDescent="0.15">
      <c r="A79" s="151" t="s">
        <v>1972</v>
      </c>
      <c r="B79" s="20" t="s">
        <v>1973</v>
      </c>
      <c r="C79" s="21" t="s">
        <v>1974</v>
      </c>
      <c r="D79" s="152">
        <v>16087</v>
      </c>
      <c r="E79" s="171">
        <v>0</v>
      </c>
      <c r="F79" s="171">
        <v>175500</v>
      </c>
      <c r="G79" s="154">
        <v>0.9</v>
      </c>
      <c r="H79" s="154" t="s">
        <v>1975</v>
      </c>
      <c r="I79" s="152" t="s">
        <v>1976</v>
      </c>
      <c r="J79" s="152"/>
    </row>
    <row r="80" spans="1:10" ht="21.75" customHeight="1" x14ac:dyDescent="0.15">
      <c r="A80" s="151" t="s">
        <v>1972</v>
      </c>
      <c r="B80" s="20" t="s">
        <v>1977</v>
      </c>
      <c r="C80" s="21" t="s">
        <v>1978</v>
      </c>
      <c r="D80" s="152">
        <v>17007</v>
      </c>
      <c r="E80" s="171">
        <v>0</v>
      </c>
      <c r="F80" s="171">
        <v>171500</v>
      </c>
      <c r="G80" s="154">
        <v>0.7</v>
      </c>
      <c r="H80" s="154" t="s">
        <v>1979</v>
      </c>
      <c r="I80" s="152" t="s">
        <v>1957</v>
      </c>
      <c r="J80" s="152"/>
    </row>
    <row r="81" spans="1:10" ht="21.75" customHeight="1" x14ac:dyDescent="0.15">
      <c r="A81" s="151" t="s">
        <v>1712</v>
      </c>
      <c r="B81" s="20" t="s">
        <v>1980</v>
      </c>
      <c r="C81" s="21" t="s">
        <v>1981</v>
      </c>
      <c r="D81" s="152">
        <v>16046</v>
      </c>
      <c r="E81" s="171"/>
      <c r="F81" s="171">
        <v>105000</v>
      </c>
      <c r="G81" s="154">
        <v>0.7</v>
      </c>
      <c r="H81" s="154" t="s">
        <v>1713</v>
      </c>
      <c r="I81" s="152" t="s">
        <v>1900</v>
      </c>
      <c r="J81" s="152"/>
    </row>
    <row r="82" spans="1:10" ht="21.75" customHeight="1" x14ac:dyDescent="0.15">
      <c r="A82" s="151" t="s">
        <v>1714</v>
      </c>
      <c r="B82" s="20" t="s">
        <v>1982</v>
      </c>
      <c r="C82" s="21" t="s">
        <v>1983</v>
      </c>
      <c r="D82" s="152">
        <v>17010</v>
      </c>
      <c r="E82" s="171">
        <v>0</v>
      </c>
      <c r="F82" s="171">
        <v>7000</v>
      </c>
      <c r="G82" s="154">
        <v>1</v>
      </c>
      <c r="H82" s="154" t="s">
        <v>1984</v>
      </c>
      <c r="I82" s="152" t="s">
        <v>1917</v>
      </c>
      <c r="J82" s="152"/>
    </row>
    <row r="83" spans="1:10" ht="21.75" customHeight="1" x14ac:dyDescent="0.15">
      <c r="A83" s="151" t="s">
        <v>1985</v>
      </c>
      <c r="B83" s="20" t="s">
        <v>1986</v>
      </c>
      <c r="C83" s="21" t="s">
        <v>1987</v>
      </c>
      <c r="D83" s="152">
        <v>17016</v>
      </c>
      <c r="E83" s="171">
        <v>0</v>
      </c>
      <c r="F83" s="171">
        <v>120000</v>
      </c>
      <c r="G83" s="154">
        <v>1</v>
      </c>
      <c r="H83" s="154" t="s">
        <v>1988</v>
      </c>
      <c r="I83" s="152" t="s">
        <v>1900</v>
      </c>
      <c r="J83" s="152"/>
    </row>
    <row r="84" spans="1:10" ht="21.75" customHeight="1" x14ac:dyDescent="0.15">
      <c r="A84" s="151" t="s">
        <v>1989</v>
      </c>
      <c r="B84" s="20" t="s">
        <v>1990</v>
      </c>
      <c r="C84" s="21" t="s">
        <v>1715</v>
      </c>
      <c r="D84" s="152">
        <v>14036</v>
      </c>
      <c r="E84" s="171">
        <v>0</v>
      </c>
      <c r="F84" s="173">
        <v>53958.33</v>
      </c>
      <c r="G84" s="154" t="s">
        <v>1920</v>
      </c>
      <c r="H84" s="154" t="s">
        <v>1912</v>
      </c>
      <c r="I84" s="152" t="s">
        <v>1991</v>
      </c>
      <c r="J84" s="152"/>
    </row>
    <row r="85" spans="1:10" ht="21.75" customHeight="1" x14ac:dyDescent="0.15">
      <c r="A85" s="151" t="s">
        <v>1716</v>
      </c>
      <c r="B85" s="20" t="s">
        <v>1717</v>
      </c>
      <c r="C85" s="21" t="s">
        <v>1992</v>
      </c>
      <c r="D85" s="152">
        <v>17041</v>
      </c>
      <c r="E85" s="171">
        <v>0</v>
      </c>
      <c r="F85" s="171">
        <v>100000</v>
      </c>
      <c r="G85" s="154">
        <v>0.5</v>
      </c>
      <c r="H85" s="154" t="s">
        <v>1912</v>
      </c>
      <c r="I85" s="152" t="s">
        <v>1993</v>
      </c>
      <c r="J85" s="152"/>
    </row>
    <row r="86" spans="1:10" ht="21.75" customHeight="1" x14ac:dyDescent="0.15">
      <c r="A86" s="151" t="s">
        <v>1718</v>
      </c>
      <c r="B86" s="20" t="s">
        <v>1914</v>
      </c>
      <c r="C86" s="21" t="s">
        <v>1915</v>
      </c>
      <c r="D86" s="152">
        <v>12001</v>
      </c>
      <c r="E86" s="171">
        <v>200000</v>
      </c>
      <c r="F86" s="171">
        <v>0</v>
      </c>
      <c r="G86" s="154">
        <v>0.1</v>
      </c>
      <c r="H86" s="154" t="s">
        <v>1916</v>
      </c>
      <c r="I86" s="152" t="s">
        <v>1917</v>
      </c>
      <c r="J86" s="152" t="s">
        <v>2438</v>
      </c>
    </row>
    <row r="87" spans="1:10" ht="21.75" customHeight="1" x14ac:dyDescent="0.15">
      <c r="A87" s="151" t="s">
        <v>1994</v>
      </c>
      <c r="B87" s="20" t="s">
        <v>1995</v>
      </c>
      <c r="C87" s="26" t="s">
        <v>1996</v>
      </c>
      <c r="D87" s="152">
        <v>17002</v>
      </c>
      <c r="E87" s="171">
        <v>0</v>
      </c>
      <c r="F87" s="171">
        <v>72000</v>
      </c>
      <c r="G87" s="154">
        <v>0.4</v>
      </c>
      <c r="H87" s="154" t="s">
        <v>1988</v>
      </c>
      <c r="I87" s="152" t="s">
        <v>1913</v>
      </c>
      <c r="J87" s="152"/>
    </row>
    <row r="88" spans="1:10" ht="21.75" customHeight="1" x14ac:dyDescent="0.15">
      <c r="A88" s="151" t="s">
        <v>1994</v>
      </c>
      <c r="B88" s="20" t="s">
        <v>1997</v>
      </c>
      <c r="C88" s="21" t="s">
        <v>1998</v>
      </c>
      <c r="D88" s="152">
        <v>17046</v>
      </c>
      <c r="E88" s="171">
        <v>0</v>
      </c>
      <c r="F88" s="171">
        <v>9000</v>
      </c>
      <c r="G88" s="154">
        <v>1</v>
      </c>
      <c r="H88" s="154" t="s">
        <v>1984</v>
      </c>
      <c r="I88" s="152" t="s">
        <v>1904</v>
      </c>
      <c r="J88" s="152"/>
    </row>
    <row r="89" spans="1:10" ht="21.75" customHeight="1" x14ac:dyDescent="0.15">
      <c r="A89" s="151" t="s">
        <v>1999</v>
      </c>
      <c r="B89" s="20" t="s">
        <v>2000</v>
      </c>
      <c r="C89" s="21" t="s">
        <v>2001</v>
      </c>
      <c r="D89" s="152">
        <v>17042</v>
      </c>
      <c r="E89" s="171">
        <v>0</v>
      </c>
      <c r="F89" s="171">
        <v>57000</v>
      </c>
      <c r="G89" s="154">
        <v>0.1</v>
      </c>
      <c r="H89" s="154" t="s">
        <v>2002</v>
      </c>
      <c r="I89" s="152" t="s">
        <v>2003</v>
      </c>
      <c r="J89" s="152"/>
    </row>
    <row r="90" spans="1:10" ht="21.75" customHeight="1" x14ac:dyDescent="0.15">
      <c r="A90" s="151" t="s">
        <v>1999</v>
      </c>
      <c r="B90" s="20" t="s">
        <v>2004</v>
      </c>
      <c r="C90" s="21" t="s">
        <v>2005</v>
      </c>
      <c r="D90" s="152">
        <v>17003</v>
      </c>
      <c r="E90" s="171">
        <v>0</v>
      </c>
      <c r="F90" s="171">
        <v>72000</v>
      </c>
      <c r="G90" s="154">
        <v>0.4</v>
      </c>
      <c r="H90" s="154" t="s">
        <v>1988</v>
      </c>
      <c r="I90" s="152" t="s">
        <v>1913</v>
      </c>
      <c r="J90" s="152"/>
    </row>
    <row r="91" spans="1:10" ht="21.75" customHeight="1" x14ac:dyDescent="0.15">
      <c r="A91" s="151" t="s">
        <v>2006</v>
      </c>
      <c r="B91" s="20" t="s">
        <v>2007</v>
      </c>
      <c r="C91" s="21" t="s">
        <v>1992</v>
      </c>
      <c r="D91" s="152">
        <v>17041</v>
      </c>
      <c r="E91" s="171">
        <v>0</v>
      </c>
      <c r="F91" s="171">
        <v>40000</v>
      </c>
      <c r="G91" s="154">
        <v>0.2</v>
      </c>
      <c r="H91" s="154" t="s">
        <v>1916</v>
      </c>
      <c r="I91" s="152" t="s">
        <v>1993</v>
      </c>
      <c r="J91" s="152"/>
    </row>
    <row r="92" spans="1:10" ht="21.75" customHeight="1" x14ac:dyDescent="0.15">
      <c r="A92" s="151" t="s">
        <v>2008</v>
      </c>
      <c r="B92" s="20" t="s">
        <v>1719</v>
      </c>
      <c r="C92" s="180" t="s">
        <v>2009</v>
      </c>
      <c r="D92" s="181">
        <v>17056</v>
      </c>
      <c r="E92" s="171">
        <v>0</v>
      </c>
      <c r="F92" s="171">
        <v>50000</v>
      </c>
      <c r="G92" s="154">
        <v>1</v>
      </c>
      <c r="H92" s="154" t="s">
        <v>1984</v>
      </c>
      <c r="I92" s="152" t="s">
        <v>2010</v>
      </c>
      <c r="J92" s="152"/>
    </row>
    <row r="93" spans="1:10" ht="21.75" customHeight="1" x14ac:dyDescent="0.15">
      <c r="A93" s="151" t="s">
        <v>2008</v>
      </c>
      <c r="B93" s="20" t="s">
        <v>1719</v>
      </c>
      <c r="C93" s="180" t="s">
        <v>2011</v>
      </c>
      <c r="D93" s="181">
        <v>17057</v>
      </c>
      <c r="E93" s="171">
        <v>0</v>
      </c>
      <c r="F93" s="171">
        <v>50000</v>
      </c>
      <c r="G93" s="154">
        <v>1</v>
      </c>
      <c r="H93" s="154" t="s">
        <v>1984</v>
      </c>
      <c r="I93" s="152" t="s">
        <v>2010</v>
      </c>
      <c r="J93" s="152"/>
    </row>
    <row r="94" spans="1:10" ht="21.75" customHeight="1" x14ac:dyDescent="0.15">
      <c r="A94" s="151" t="s">
        <v>2012</v>
      </c>
      <c r="B94" s="20" t="s">
        <v>1720</v>
      </c>
      <c r="C94" s="26" t="s">
        <v>2013</v>
      </c>
      <c r="D94" s="152">
        <v>17026</v>
      </c>
      <c r="E94" s="171">
        <v>0</v>
      </c>
      <c r="F94" s="171">
        <v>23166</v>
      </c>
      <c r="G94" s="154">
        <v>0.9</v>
      </c>
      <c r="H94" s="154" t="s">
        <v>1912</v>
      </c>
      <c r="I94" s="152" t="s">
        <v>1917</v>
      </c>
      <c r="J94" s="152"/>
    </row>
    <row r="95" spans="1:10" ht="21.75" customHeight="1" x14ac:dyDescent="0.15">
      <c r="A95" s="151" t="s">
        <v>2014</v>
      </c>
      <c r="B95" s="20" t="s">
        <v>1982</v>
      </c>
      <c r="C95" s="170" t="s">
        <v>2015</v>
      </c>
      <c r="D95" s="152">
        <v>17019</v>
      </c>
      <c r="E95" s="171">
        <v>0</v>
      </c>
      <c r="F95" s="171">
        <v>23166</v>
      </c>
      <c r="G95" s="154">
        <v>0.9</v>
      </c>
      <c r="H95" s="154" t="s">
        <v>1912</v>
      </c>
      <c r="I95" s="152" t="s">
        <v>1917</v>
      </c>
      <c r="J95" s="152"/>
    </row>
    <row r="96" spans="1:10" ht="21.75" customHeight="1" x14ac:dyDescent="0.15">
      <c r="A96" s="151" t="s">
        <v>2014</v>
      </c>
      <c r="B96" s="20" t="s">
        <v>1982</v>
      </c>
      <c r="C96" s="170" t="s">
        <v>2015</v>
      </c>
      <c r="D96" s="152">
        <v>12007</v>
      </c>
      <c r="E96" s="171">
        <v>0</v>
      </c>
      <c r="F96" s="171">
        <v>198000</v>
      </c>
      <c r="G96" s="154">
        <v>0.1</v>
      </c>
      <c r="H96" s="154" t="s">
        <v>1916</v>
      </c>
      <c r="I96" s="152" t="s">
        <v>1917</v>
      </c>
      <c r="J96" s="152"/>
    </row>
    <row r="97" spans="1:10" ht="21.75" customHeight="1" x14ac:dyDescent="0.15">
      <c r="A97" s="151" t="s">
        <v>1721</v>
      </c>
      <c r="B97" s="20" t="s">
        <v>2016</v>
      </c>
      <c r="C97" s="21" t="s">
        <v>2017</v>
      </c>
      <c r="D97" s="152">
        <v>17005</v>
      </c>
      <c r="E97" s="171">
        <v>0</v>
      </c>
      <c r="F97" s="171">
        <v>224000</v>
      </c>
      <c r="G97" s="154">
        <v>0.7</v>
      </c>
      <c r="H97" s="154" t="s">
        <v>1912</v>
      </c>
      <c r="I97" s="152" t="s">
        <v>1900</v>
      </c>
      <c r="J97" s="152"/>
    </row>
    <row r="98" spans="1:10" ht="21.75" customHeight="1" x14ac:dyDescent="0.15">
      <c r="A98" s="151" t="s">
        <v>2018</v>
      </c>
      <c r="B98" s="20" t="s">
        <v>2019</v>
      </c>
      <c r="C98" s="21" t="s">
        <v>2020</v>
      </c>
      <c r="D98" s="152">
        <v>17018</v>
      </c>
      <c r="E98" s="171">
        <v>0</v>
      </c>
      <c r="F98" s="171">
        <v>120000</v>
      </c>
      <c r="G98" s="154">
        <v>1</v>
      </c>
      <c r="H98" s="154" t="s">
        <v>1988</v>
      </c>
      <c r="I98" s="152" t="s">
        <v>1900</v>
      </c>
      <c r="J98" s="152"/>
    </row>
    <row r="99" spans="1:10" ht="21.75" customHeight="1" x14ac:dyDescent="0.15">
      <c r="A99" s="151" t="s">
        <v>1722</v>
      </c>
      <c r="B99" s="20" t="s">
        <v>2021</v>
      </c>
      <c r="C99" s="21" t="s">
        <v>1723</v>
      </c>
      <c r="D99" s="152">
        <v>16105</v>
      </c>
      <c r="E99" s="171">
        <v>0</v>
      </c>
      <c r="F99" s="171">
        <v>43500</v>
      </c>
      <c r="G99" s="154">
        <v>1</v>
      </c>
      <c r="H99" s="154" t="s">
        <v>1984</v>
      </c>
      <c r="I99" s="152" t="s">
        <v>1917</v>
      </c>
      <c r="J99" s="152"/>
    </row>
    <row r="100" spans="1:10" ht="21.75" customHeight="1" x14ac:dyDescent="0.15">
      <c r="A100" s="151" t="s">
        <v>2022</v>
      </c>
      <c r="B100" s="20" t="s">
        <v>2023</v>
      </c>
      <c r="C100" s="21" t="s">
        <v>2024</v>
      </c>
      <c r="D100" s="152">
        <v>16051</v>
      </c>
      <c r="E100" s="171">
        <v>0</v>
      </c>
      <c r="F100" s="171">
        <v>6300</v>
      </c>
      <c r="G100" s="154">
        <v>0.05</v>
      </c>
      <c r="H100" s="154" t="s">
        <v>1916</v>
      </c>
      <c r="I100" s="152" t="s">
        <v>2010</v>
      </c>
      <c r="J100" s="152"/>
    </row>
    <row r="101" spans="1:10" ht="21.75" customHeight="1" x14ac:dyDescent="0.15">
      <c r="A101" s="151" t="s">
        <v>1724</v>
      </c>
      <c r="B101" s="20" t="s">
        <v>2025</v>
      </c>
      <c r="C101" s="21" t="s">
        <v>2026</v>
      </c>
      <c r="D101" s="152">
        <v>16068</v>
      </c>
      <c r="E101" s="171">
        <v>0</v>
      </c>
      <c r="F101" s="171">
        <v>485600</v>
      </c>
      <c r="G101" s="154">
        <v>0.8</v>
      </c>
      <c r="H101" s="154" t="s">
        <v>1924</v>
      </c>
      <c r="I101" s="152" t="s">
        <v>1993</v>
      </c>
      <c r="J101" s="152"/>
    </row>
    <row r="102" spans="1:10" ht="21.75" customHeight="1" x14ac:dyDescent="0.15">
      <c r="A102" s="151" t="s">
        <v>1724</v>
      </c>
      <c r="B102" s="20" t="s">
        <v>2016</v>
      </c>
      <c r="C102" s="21" t="s">
        <v>2017</v>
      </c>
      <c r="D102" s="152">
        <v>17006</v>
      </c>
      <c r="E102" s="171">
        <v>0</v>
      </c>
      <c r="F102" s="171">
        <v>171500</v>
      </c>
      <c r="G102" s="154">
        <v>0.7</v>
      </c>
      <c r="H102" s="154" t="s">
        <v>1924</v>
      </c>
      <c r="I102" s="152" t="s">
        <v>1900</v>
      </c>
      <c r="J102" s="152"/>
    </row>
    <row r="103" spans="1:10" ht="21.75" customHeight="1" x14ac:dyDescent="0.15">
      <c r="A103" s="151" t="s">
        <v>2027</v>
      </c>
      <c r="B103" s="20" t="s">
        <v>2028</v>
      </c>
      <c r="C103" s="21" t="s">
        <v>2029</v>
      </c>
      <c r="D103" s="152">
        <v>15063</v>
      </c>
      <c r="E103" s="171">
        <v>0</v>
      </c>
      <c r="F103" s="171">
        <v>50000</v>
      </c>
      <c r="G103" s="154" t="s">
        <v>1920</v>
      </c>
      <c r="H103" s="154" t="s">
        <v>1912</v>
      </c>
      <c r="I103" s="152" t="s">
        <v>2030</v>
      </c>
      <c r="J103" s="152"/>
    </row>
    <row r="104" spans="1:10" ht="21.75" customHeight="1" x14ac:dyDescent="0.15">
      <c r="A104" s="151" t="s">
        <v>2031</v>
      </c>
      <c r="B104" s="20" t="s">
        <v>2032</v>
      </c>
      <c r="C104" s="21" t="s">
        <v>2033</v>
      </c>
      <c r="D104" s="152">
        <v>17032</v>
      </c>
      <c r="E104" s="171">
        <v>0</v>
      </c>
      <c r="F104" s="171">
        <v>120000</v>
      </c>
      <c r="G104" s="154">
        <v>1</v>
      </c>
      <c r="H104" s="154" t="s">
        <v>1988</v>
      </c>
      <c r="I104" s="152" t="s">
        <v>1900</v>
      </c>
      <c r="J104" s="152"/>
    </row>
    <row r="105" spans="1:10" ht="21.75" customHeight="1" x14ac:dyDescent="0.15">
      <c r="A105" s="151" t="s">
        <v>2031</v>
      </c>
      <c r="B105" s="20" t="s">
        <v>2034</v>
      </c>
      <c r="C105" s="21" t="s">
        <v>2035</v>
      </c>
      <c r="D105" s="152">
        <v>17092</v>
      </c>
      <c r="E105" s="171">
        <v>0</v>
      </c>
      <c r="F105" s="171">
        <v>20000</v>
      </c>
      <c r="G105" s="154">
        <v>1</v>
      </c>
      <c r="H105" s="154" t="s">
        <v>2036</v>
      </c>
      <c r="I105" s="152" t="s">
        <v>2010</v>
      </c>
      <c r="J105" s="152"/>
    </row>
    <row r="106" spans="1:10" ht="21.75" customHeight="1" x14ac:dyDescent="0.15">
      <c r="A106" s="151" t="s">
        <v>2031</v>
      </c>
      <c r="B106" s="20" t="s">
        <v>1990</v>
      </c>
      <c r="C106" s="21" t="s">
        <v>1715</v>
      </c>
      <c r="D106" s="152">
        <v>14036</v>
      </c>
      <c r="E106" s="171">
        <v>0</v>
      </c>
      <c r="F106" s="171">
        <v>53958</v>
      </c>
      <c r="G106" s="154" t="s">
        <v>1920</v>
      </c>
      <c r="H106" s="154" t="s">
        <v>1725</v>
      </c>
      <c r="I106" s="152" t="s">
        <v>1991</v>
      </c>
      <c r="J106" s="152"/>
    </row>
    <row r="107" spans="1:10" ht="21.75" customHeight="1" x14ac:dyDescent="0.15">
      <c r="A107" s="151" t="s">
        <v>2037</v>
      </c>
      <c r="B107" s="20" t="s">
        <v>2023</v>
      </c>
      <c r="C107" s="21" t="s">
        <v>2024</v>
      </c>
      <c r="D107" s="152">
        <v>16077</v>
      </c>
      <c r="E107" s="171">
        <v>0</v>
      </c>
      <c r="F107" s="171">
        <v>70000</v>
      </c>
      <c r="G107" s="154">
        <v>1</v>
      </c>
      <c r="H107" s="154" t="s">
        <v>1984</v>
      </c>
      <c r="I107" s="152" t="s">
        <v>2010</v>
      </c>
      <c r="J107" s="152"/>
    </row>
    <row r="108" spans="1:10" ht="21.75" customHeight="1" x14ac:dyDescent="0.15">
      <c r="A108" s="151" t="s">
        <v>2037</v>
      </c>
      <c r="B108" s="20" t="s">
        <v>2038</v>
      </c>
      <c r="C108" s="21" t="s">
        <v>2039</v>
      </c>
      <c r="D108" s="152">
        <v>17069</v>
      </c>
      <c r="E108" s="171">
        <v>0</v>
      </c>
      <c r="F108" s="171">
        <v>25000</v>
      </c>
      <c r="G108" s="154">
        <v>0.5</v>
      </c>
      <c r="H108" s="154" t="s">
        <v>1984</v>
      </c>
      <c r="I108" s="152" t="s">
        <v>1991</v>
      </c>
      <c r="J108" s="152"/>
    </row>
    <row r="109" spans="1:10" ht="21.75" customHeight="1" x14ac:dyDescent="0.15">
      <c r="A109" s="151" t="s">
        <v>2037</v>
      </c>
      <c r="B109" s="20" t="s">
        <v>2040</v>
      </c>
      <c r="C109" s="21" t="s">
        <v>2041</v>
      </c>
      <c r="D109" s="152">
        <v>16111</v>
      </c>
      <c r="E109" s="171">
        <v>0</v>
      </c>
      <c r="F109" s="171">
        <v>162300</v>
      </c>
      <c r="G109" s="154">
        <v>1</v>
      </c>
      <c r="H109" s="154" t="s">
        <v>1984</v>
      </c>
      <c r="I109" s="152" t="s">
        <v>1913</v>
      </c>
      <c r="J109" s="152"/>
    </row>
    <row r="110" spans="1:10" ht="21.75" customHeight="1" x14ac:dyDescent="0.15">
      <c r="A110" s="151" t="s">
        <v>1726</v>
      </c>
      <c r="B110" s="20" t="s">
        <v>2042</v>
      </c>
      <c r="C110" s="21" t="s">
        <v>2039</v>
      </c>
      <c r="D110" s="152">
        <v>17069</v>
      </c>
      <c r="E110" s="171">
        <v>0</v>
      </c>
      <c r="F110" s="171">
        <v>25000</v>
      </c>
      <c r="G110" s="154">
        <v>0.5</v>
      </c>
      <c r="H110" s="154" t="s">
        <v>1984</v>
      </c>
      <c r="I110" s="152" t="s">
        <v>1991</v>
      </c>
      <c r="J110" s="152"/>
    </row>
    <row r="111" spans="1:10" ht="21.75" customHeight="1" x14ac:dyDescent="0.15">
      <c r="A111" s="151" t="s">
        <v>2043</v>
      </c>
      <c r="B111" s="20" t="s">
        <v>2044</v>
      </c>
      <c r="C111" s="21" t="s">
        <v>2045</v>
      </c>
      <c r="D111" s="152">
        <v>17061</v>
      </c>
      <c r="E111" s="171">
        <v>0</v>
      </c>
      <c r="F111" s="171">
        <v>60000</v>
      </c>
      <c r="G111" s="154">
        <v>0.5</v>
      </c>
      <c r="H111" s="154" t="s">
        <v>1988</v>
      </c>
      <c r="I111" s="152" t="s">
        <v>1900</v>
      </c>
      <c r="J111" s="152"/>
    </row>
    <row r="112" spans="1:10" ht="21.75" customHeight="1" x14ac:dyDescent="0.15">
      <c r="A112" s="151" t="s">
        <v>2043</v>
      </c>
      <c r="B112" s="20" t="s">
        <v>2046</v>
      </c>
      <c r="C112" s="21" t="s">
        <v>2047</v>
      </c>
      <c r="D112" s="152">
        <v>17058</v>
      </c>
      <c r="E112" s="171">
        <v>0</v>
      </c>
      <c r="F112" s="171">
        <v>60000</v>
      </c>
      <c r="G112" s="154">
        <v>0.5</v>
      </c>
      <c r="H112" s="154" t="s">
        <v>1988</v>
      </c>
      <c r="I112" s="152" t="s">
        <v>1900</v>
      </c>
      <c r="J112" s="152"/>
    </row>
    <row r="113" spans="1:10" ht="21.75" customHeight="1" x14ac:dyDescent="0.15">
      <c r="A113" s="151" t="s">
        <v>2043</v>
      </c>
      <c r="B113" s="20" t="s">
        <v>2048</v>
      </c>
      <c r="C113" s="21" t="s">
        <v>2049</v>
      </c>
      <c r="D113" s="152">
        <v>17059</v>
      </c>
      <c r="E113" s="171">
        <v>0</v>
      </c>
      <c r="F113" s="171">
        <v>60000</v>
      </c>
      <c r="G113" s="154">
        <v>0.5</v>
      </c>
      <c r="H113" s="154" t="s">
        <v>1988</v>
      </c>
      <c r="I113" s="152" t="s">
        <v>1900</v>
      </c>
      <c r="J113" s="152"/>
    </row>
    <row r="114" spans="1:10" ht="21.75" customHeight="1" x14ac:dyDescent="0.15">
      <c r="A114" s="151" t="s">
        <v>2050</v>
      </c>
      <c r="B114" s="20" t="s">
        <v>2051</v>
      </c>
      <c r="C114" s="21" t="s">
        <v>2052</v>
      </c>
      <c r="D114" s="152">
        <v>17053</v>
      </c>
      <c r="E114" s="171">
        <v>0</v>
      </c>
      <c r="F114" s="171">
        <v>11600</v>
      </c>
      <c r="G114" s="154">
        <v>1</v>
      </c>
      <c r="H114" s="154" t="s">
        <v>1984</v>
      </c>
      <c r="I114" s="152" t="s">
        <v>1917</v>
      </c>
      <c r="J114" s="152"/>
    </row>
    <row r="115" spans="1:10" ht="21.75" customHeight="1" x14ac:dyDescent="0.15">
      <c r="A115" s="151" t="s">
        <v>2050</v>
      </c>
      <c r="B115" s="20" t="s">
        <v>2053</v>
      </c>
      <c r="C115" s="21" t="s">
        <v>2054</v>
      </c>
      <c r="D115" s="152">
        <v>17089</v>
      </c>
      <c r="E115" s="171">
        <v>0</v>
      </c>
      <c r="F115" s="171">
        <v>62010</v>
      </c>
      <c r="G115" s="154">
        <v>0.9</v>
      </c>
      <c r="H115" s="154" t="s">
        <v>1912</v>
      </c>
      <c r="I115" s="152" t="s">
        <v>2055</v>
      </c>
      <c r="J115" s="152"/>
    </row>
    <row r="116" spans="1:10" ht="21.75" customHeight="1" x14ac:dyDescent="0.15">
      <c r="A116" s="151" t="s">
        <v>2050</v>
      </c>
      <c r="B116" s="20" t="s">
        <v>2056</v>
      </c>
      <c r="C116" s="21" t="s">
        <v>2057</v>
      </c>
      <c r="D116" s="152">
        <v>17090</v>
      </c>
      <c r="E116" s="171">
        <v>0</v>
      </c>
      <c r="F116" s="171">
        <v>80055</v>
      </c>
      <c r="G116" s="154">
        <v>0.9</v>
      </c>
      <c r="H116" s="154" t="s">
        <v>1912</v>
      </c>
      <c r="I116" s="152" t="s">
        <v>2055</v>
      </c>
      <c r="J116" s="152"/>
    </row>
    <row r="117" spans="1:10" ht="21.75" customHeight="1" x14ac:dyDescent="0.15">
      <c r="A117" s="151" t="s">
        <v>2050</v>
      </c>
      <c r="B117" s="20" t="s">
        <v>2058</v>
      </c>
      <c r="C117" s="21" t="s">
        <v>2059</v>
      </c>
      <c r="D117" s="152">
        <v>17045</v>
      </c>
      <c r="E117" s="171">
        <v>0</v>
      </c>
      <c r="F117" s="171">
        <v>50000</v>
      </c>
      <c r="G117" s="154">
        <v>0.5</v>
      </c>
      <c r="H117" s="154" t="s">
        <v>2002</v>
      </c>
      <c r="I117" s="152" t="s">
        <v>1900</v>
      </c>
      <c r="J117" s="152"/>
    </row>
    <row r="118" spans="1:10" ht="21.75" customHeight="1" x14ac:dyDescent="0.15">
      <c r="A118" s="151" t="s">
        <v>1727</v>
      </c>
      <c r="B118" s="20" t="s">
        <v>2060</v>
      </c>
      <c r="C118" s="21" t="s">
        <v>1992</v>
      </c>
      <c r="D118" s="152">
        <v>17052</v>
      </c>
      <c r="E118" s="171">
        <v>0</v>
      </c>
      <c r="F118" s="171">
        <v>104750</v>
      </c>
      <c r="G118" s="154">
        <v>1</v>
      </c>
      <c r="H118" s="154" t="s">
        <v>1984</v>
      </c>
      <c r="I118" s="152" t="s">
        <v>1993</v>
      </c>
      <c r="J118" s="152"/>
    </row>
    <row r="119" spans="1:10" ht="21.75" customHeight="1" x14ac:dyDescent="0.15">
      <c r="A119" s="151" t="s">
        <v>1727</v>
      </c>
      <c r="B119" s="20" t="s">
        <v>2061</v>
      </c>
      <c r="C119" s="21" t="s">
        <v>2062</v>
      </c>
      <c r="D119" s="152">
        <v>17087</v>
      </c>
      <c r="E119" s="171">
        <v>0</v>
      </c>
      <c r="F119" s="171">
        <v>4185</v>
      </c>
      <c r="G119" s="154" t="s">
        <v>1920</v>
      </c>
      <c r="H119" s="154" t="s">
        <v>1912</v>
      </c>
      <c r="I119" s="152" t="s">
        <v>2055</v>
      </c>
      <c r="J119" s="152"/>
    </row>
    <row r="120" spans="1:10" ht="21.75" customHeight="1" x14ac:dyDescent="0.15">
      <c r="A120" s="151" t="s">
        <v>1727</v>
      </c>
      <c r="B120" s="20" t="s">
        <v>2063</v>
      </c>
      <c r="C120" s="21" t="s">
        <v>2064</v>
      </c>
      <c r="D120" s="152">
        <v>17055</v>
      </c>
      <c r="E120" s="171">
        <v>0</v>
      </c>
      <c r="F120" s="171">
        <v>70000</v>
      </c>
      <c r="G120" s="154">
        <v>1</v>
      </c>
      <c r="H120" s="154" t="s">
        <v>1984</v>
      </c>
      <c r="I120" s="152" t="s">
        <v>1991</v>
      </c>
      <c r="J120" s="152"/>
    </row>
    <row r="121" spans="1:10" ht="21.75" customHeight="1" x14ac:dyDescent="0.15">
      <c r="A121" s="151" t="s">
        <v>1727</v>
      </c>
      <c r="B121" s="20" t="s">
        <v>2065</v>
      </c>
      <c r="C121" s="21" t="s">
        <v>2066</v>
      </c>
      <c r="D121" s="152">
        <v>17084</v>
      </c>
      <c r="E121" s="171">
        <v>0</v>
      </c>
      <c r="F121" s="171">
        <v>62010</v>
      </c>
      <c r="G121" s="154">
        <v>0.9</v>
      </c>
      <c r="H121" s="154" t="s">
        <v>1912</v>
      </c>
      <c r="I121" s="152" t="s">
        <v>2055</v>
      </c>
      <c r="J121" s="152"/>
    </row>
    <row r="122" spans="1:10" ht="21.75" customHeight="1" x14ac:dyDescent="0.15">
      <c r="A122" s="151" t="s">
        <v>1728</v>
      </c>
      <c r="B122" s="20" t="s">
        <v>2067</v>
      </c>
      <c r="C122" s="21" t="s">
        <v>2068</v>
      </c>
      <c r="D122" s="152">
        <v>16054</v>
      </c>
      <c r="E122" s="171">
        <v>0</v>
      </c>
      <c r="F122" s="171">
        <v>12167</v>
      </c>
      <c r="G122" s="154" t="s">
        <v>1920</v>
      </c>
      <c r="H122" s="154" t="s">
        <v>1916</v>
      </c>
      <c r="I122" s="152" t="s">
        <v>2010</v>
      </c>
      <c r="J122" s="152"/>
    </row>
    <row r="123" spans="1:10" ht="21.75" customHeight="1" x14ac:dyDescent="0.15">
      <c r="A123" s="151" t="s">
        <v>2069</v>
      </c>
      <c r="B123" s="20" t="s">
        <v>2070</v>
      </c>
      <c r="C123" s="21" t="s">
        <v>2071</v>
      </c>
      <c r="D123" s="152">
        <v>14038</v>
      </c>
      <c r="E123" s="171">
        <v>0</v>
      </c>
      <c r="F123" s="175">
        <v>73351.67</v>
      </c>
      <c r="G123" s="154" t="s">
        <v>1920</v>
      </c>
      <c r="H123" s="154" t="s">
        <v>1912</v>
      </c>
      <c r="I123" s="152" t="s">
        <v>2030</v>
      </c>
      <c r="J123" s="152"/>
    </row>
    <row r="124" spans="1:10" ht="21.75" customHeight="1" x14ac:dyDescent="0.15">
      <c r="A124" s="151" t="s">
        <v>2069</v>
      </c>
      <c r="B124" s="20" t="s">
        <v>2072</v>
      </c>
      <c r="C124" s="21" t="s">
        <v>2073</v>
      </c>
      <c r="D124" s="152">
        <v>17060</v>
      </c>
      <c r="E124" s="171">
        <v>0</v>
      </c>
      <c r="F124" s="171">
        <v>60000</v>
      </c>
      <c r="G124" s="154">
        <v>0.5</v>
      </c>
      <c r="H124" s="154" t="s">
        <v>1988</v>
      </c>
      <c r="I124" s="152" t="s">
        <v>1900</v>
      </c>
      <c r="J124" s="152"/>
    </row>
    <row r="125" spans="1:10" ht="21.75" customHeight="1" x14ac:dyDescent="0.15">
      <c r="A125" s="151" t="s">
        <v>1729</v>
      </c>
      <c r="B125" s="20" t="s">
        <v>2074</v>
      </c>
      <c r="C125" s="21" t="s">
        <v>2075</v>
      </c>
      <c r="D125" s="152">
        <v>17086</v>
      </c>
      <c r="E125" s="171">
        <v>0</v>
      </c>
      <c r="F125" s="171">
        <v>50850</v>
      </c>
      <c r="G125" s="154">
        <v>0.9</v>
      </c>
      <c r="H125" s="154" t="s">
        <v>1912</v>
      </c>
      <c r="I125" s="152" t="s">
        <v>2055</v>
      </c>
      <c r="J125" s="152"/>
    </row>
    <row r="126" spans="1:10" ht="21.75" customHeight="1" x14ac:dyDescent="0.15">
      <c r="A126" s="151" t="s">
        <v>1730</v>
      </c>
      <c r="B126" s="20" t="s">
        <v>2076</v>
      </c>
      <c r="C126" s="41" t="s">
        <v>2077</v>
      </c>
      <c r="D126" s="152">
        <v>14021</v>
      </c>
      <c r="E126" s="171">
        <v>0</v>
      </c>
      <c r="F126" s="171">
        <v>450000</v>
      </c>
      <c r="G126" s="154" t="s">
        <v>1920</v>
      </c>
      <c r="H126" s="154" t="s">
        <v>1988</v>
      </c>
      <c r="I126" s="152" t="s">
        <v>1913</v>
      </c>
      <c r="J126" s="152"/>
    </row>
    <row r="127" spans="1:10" ht="21.75" customHeight="1" x14ac:dyDescent="0.15">
      <c r="A127" s="151" t="s">
        <v>1730</v>
      </c>
      <c r="B127" s="20" t="s">
        <v>2078</v>
      </c>
      <c r="C127" s="21" t="s">
        <v>2079</v>
      </c>
      <c r="D127" s="152">
        <v>14009</v>
      </c>
      <c r="E127" s="171">
        <v>0</v>
      </c>
      <c r="F127" s="171">
        <v>150000</v>
      </c>
      <c r="G127" s="154" t="s">
        <v>1920</v>
      </c>
      <c r="H127" s="154" t="s">
        <v>1988</v>
      </c>
      <c r="I127" s="152" t="s">
        <v>1913</v>
      </c>
      <c r="J127" s="152"/>
    </row>
    <row r="128" spans="1:10" s="182" customFormat="1" ht="21.75" customHeight="1" x14ac:dyDescent="0.15">
      <c r="A128" s="151" t="s">
        <v>2080</v>
      </c>
      <c r="B128" s="20" t="s">
        <v>2081</v>
      </c>
      <c r="C128" s="21" t="s">
        <v>2082</v>
      </c>
      <c r="D128" s="157">
        <v>16081</v>
      </c>
      <c r="E128" s="171">
        <v>0</v>
      </c>
      <c r="F128" s="171">
        <v>150000</v>
      </c>
      <c r="G128" s="154">
        <v>0.5</v>
      </c>
      <c r="H128" s="154" t="s">
        <v>1988</v>
      </c>
      <c r="I128" s="157" t="s">
        <v>1904</v>
      </c>
      <c r="J128" s="157"/>
    </row>
    <row r="129" spans="1:10" s="182" customFormat="1" ht="21.75" customHeight="1" x14ac:dyDescent="0.15">
      <c r="A129" s="151" t="s">
        <v>1731</v>
      </c>
      <c r="B129" s="20" t="s">
        <v>2083</v>
      </c>
      <c r="C129" s="21" t="s">
        <v>2084</v>
      </c>
      <c r="D129" s="157">
        <v>14018</v>
      </c>
      <c r="E129" s="171">
        <v>0</v>
      </c>
      <c r="F129" s="171">
        <v>150000</v>
      </c>
      <c r="G129" s="154" t="s">
        <v>1920</v>
      </c>
      <c r="H129" s="154" t="s">
        <v>1988</v>
      </c>
      <c r="I129" s="152" t="s">
        <v>1913</v>
      </c>
      <c r="J129" s="157"/>
    </row>
    <row r="130" spans="1:10" s="182" customFormat="1" ht="21.75" customHeight="1" x14ac:dyDescent="0.15">
      <c r="A130" s="151" t="s">
        <v>1732</v>
      </c>
      <c r="B130" s="20" t="s">
        <v>2085</v>
      </c>
      <c r="C130" s="21" t="s">
        <v>2086</v>
      </c>
      <c r="D130" s="157">
        <v>15055</v>
      </c>
      <c r="E130" s="171">
        <v>0</v>
      </c>
      <c r="F130" s="172">
        <v>29000</v>
      </c>
      <c r="G130" s="159">
        <v>0.1</v>
      </c>
      <c r="H130" s="159" t="s">
        <v>1916</v>
      </c>
      <c r="I130" s="157" t="s">
        <v>1904</v>
      </c>
      <c r="J130" s="157"/>
    </row>
    <row r="131" spans="1:10" s="182" customFormat="1" ht="21.75" customHeight="1" x14ac:dyDescent="0.15">
      <c r="A131" s="156" t="s">
        <v>2087</v>
      </c>
      <c r="B131" s="20" t="s">
        <v>2088</v>
      </c>
      <c r="C131" s="21" t="s">
        <v>2089</v>
      </c>
      <c r="D131" s="157">
        <v>14020</v>
      </c>
      <c r="E131" s="171">
        <v>0</v>
      </c>
      <c r="F131" s="172">
        <v>150000</v>
      </c>
      <c r="G131" s="154" t="s">
        <v>1920</v>
      </c>
      <c r="H131" s="154" t="s">
        <v>1988</v>
      </c>
      <c r="I131" s="152" t="s">
        <v>1913</v>
      </c>
      <c r="J131" s="157"/>
    </row>
    <row r="132" spans="1:10" s="182" customFormat="1" ht="21.95" customHeight="1" x14ac:dyDescent="0.15">
      <c r="A132" s="156" t="s">
        <v>1733</v>
      </c>
      <c r="B132" s="20" t="s">
        <v>2090</v>
      </c>
      <c r="C132" s="21" t="s">
        <v>2068</v>
      </c>
      <c r="D132" s="157">
        <v>16054</v>
      </c>
      <c r="E132" s="171">
        <v>0</v>
      </c>
      <c r="F132" s="172">
        <v>12167</v>
      </c>
      <c r="G132" s="154" t="s">
        <v>1920</v>
      </c>
      <c r="H132" s="159" t="s">
        <v>1916</v>
      </c>
      <c r="I132" s="157" t="s">
        <v>2010</v>
      </c>
      <c r="J132" s="157"/>
    </row>
    <row r="133" spans="1:10" s="182" customFormat="1" ht="21.95" customHeight="1" x14ac:dyDescent="0.15">
      <c r="A133" s="156" t="s">
        <v>1734</v>
      </c>
      <c r="B133" s="20" t="s">
        <v>1990</v>
      </c>
      <c r="C133" s="21" t="s">
        <v>1715</v>
      </c>
      <c r="D133" s="152">
        <v>14036</v>
      </c>
      <c r="E133" s="171">
        <v>0</v>
      </c>
      <c r="F133" s="171">
        <v>53958</v>
      </c>
      <c r="G133" s="154" t="s">
        <v>1920</v>
      </c>
      <c r="H133" s="154" t="s">
        <v>1725</v>
      </c>
      <c r="I133" s="152" t="s">
        <v>1991</v>
      </c>
      <c r="J133" s="157"/>
    </row>
    <row r="134" spans="1:10" s="182" customFormat="1" ht="21.95" customHeight="1" x14ac:dyDescent="0.15">
      <c r="A134" s="156" t="s">
        <v>1735</v>
      </c>
      <c r="B134" s="20" t="s">
        <v>2091</v>
      </c>
      <c r="C134" s="26" t="s">
        <v>2092</v>
      </c>
      <c r="D134" s="181">
        <v>17038</v>
      </c>
      <c r="E134" s="171">
        <v>0</v>
      </c>
      <c r="F134" s="172">
        <v>200000</v>
      </c>
      <c r="G134" s="159">
        <v>1</v>
      </c>
      <c r="H134" s="159" t="s">
        <v>2093</v>
      </c>
      <c r="I134" s="152" t="s">
        <v>1991</v>
      </c>
      <c r="J134" s="157"/>
    </row>
    <row r="135" spans="1:10" s="182" customFormat="1" ht="21.95" customHeight="1" x14ac:dyDescent="0.15">
      <c r="A135" s="156" t="s">
        <v>2094</v>
      </c>
      <c r="B135" s="20" t="s">
        <v>2095</v>
      </c>
      <c r="C135" s="26" t="s">
        <v>2096</v>
      </c>
      <c r="D135" s="181">
        <v>17067</v>
      </c>
      <c r="E135" s="171">
        <v>0</v>
      </c>
      <c r="F135" s="172">
        <v>60000</v>
      </c>
      <c r="G135" s="159">
        <v>0.5</v>
      </c>
      <c r="H135" s="154" t="s">
        <v>1988</v>
      </c>
      <c r="I135" s="157" t="s">
        <v>1900</v>
      </c>
      <c r="J135" s="157"/>
    </row>
    <row r="136" spans="1:10" s="182" customFormat="1" ht="21.95" customHeight="1" x14ac:dyDescent="0.15">
      <c r="A136" s="156" t="s">
        <v>2097</v>
      </c>
      <c r="B136" s="20" t="s">
        <v>2098</v>
      </c>
      <c r="C136" s="21" t="s">
        <v>2099</v>
      </c>
      <c r="D136" s="157">
        <v>17064</v>
      </c>
      <c r="E136" s="171">
        <v>0</v>
      </c>
      <c r="F136" s="172">
        <v>82170</v>
      </c>
      <c r="G136" s="159">
        <v>1</v>
      </c>
      <c r="H136" s="159" t="s">
        <v>1984</v>
      </c>
      <c r="I136" s="157" t="s">
        <v>1917</v>
      </c>
      <c r="J136" s="157"/>
    </row>
    <row r="137" spans="1:10" s="182" customFormat="1" ht="21.95" customHeight="1" x14ac:dyDescent="0.15">
      <c r="A137" s="156" t="s">
        <v>1736</v>
      </c>
      <c r="B137" s="20" t="s">
        <v>2016</v>
      </c>
      <c r="C137" s="21" t="s">
        <v>2017</v>
      </c>
      <c r="D137" s="157">
        <v>17070</v>
      </c>
      <c r="E137" s="171">
        <v>0</v>
      </c>
      <c r="F137" s="172">
        <v>60000</v>
      </c>
      <c r="G137" s="159">
        <v>0.5</v>
      </c>
      <c r="H137" s="154" t="s">
        <v>1988</v>
      </c>
      <c r="I137" s="157" t="s">
        <v>1900</v>
      </c>
      <c r="J137" s="157"/>
    </row>
    <row r="138" spans="1:10" ht="21.95" customHeight="1" x14ac:dyDescent="0.15">
      <c r="A138" s="156" t="s">
        <v>2189</v>
      </c>
      <c r="B138" s="20" t="s">
        <v>2100</v>
      </c>
      <c r="C138" s="21" t="s">
        <v>2101</v>
      </c>
      <c r="D138" s="152">
        <v>17068</v>
      </c>
      <c r="E138" s="171">
        <v>0</v>
      </c>
      <c r="F138" s="171">
        <v>60000</v>
      </c>
      <c r="G138" s="159">
        <v>0.5</v>
      </c>
      <c r="H138" s="154" t="s">
        <v>1988</v>
      </c>
      <c r="I138" s="157" t="s">
        <v>1900</v>
      </c>
      <c r="J138" s="152"/>
    </row>
    <row r="139" spans="1:10" ht="21.95" customHeight="1" x14ac:dyDescent="0.15">
      <c r="A139" s="156" t="s">
        <v>1736</v>
      </c>
      <c r="B139" s="20" t="s">
        <v>2102</v>
      </c>
      <c r="C139" s="21" t="s">
        <v>2103</v>
      </c>
      <c r="D139" s="152">
        <v>17066</v>
      </c>
      <c r="E139" s="171">
        <v>0</v>
      </c>
      <c r="F139" s="171">
        <v>60000</v>
      </c>
      <c r="G139" s="159">
        <v>0.5</v>
      </c>
      <c r="H139" s="154" t="s">
        <v>1988</v>
      </c>
      <c r="I139" s="157" t="s">
        <v>1900</v>
      </c>
      <c r="J139" s="152"/>
    </row>
    <row r="140" spans="1:10" ht="21.95" customHeight="1" x14ac:dyDescent="0.15">
      <c r="A140" s="151" t="s">
        <v>2104</v>
      </c>
      <c r="B140" s="20" t="s">
        <v>2061</v>
      </c>
      <c r="C140" s="21" t="s">
        <v>5</v>
      </c>
      <c r="D140" s="181">
        <v>17075</v>
      </c>
      <c r="E140" s="171">
        <v>0</v>
      </c>
      <c r="F140" s="171">
        <v>75000</v>
      </c>
      <c r="G140" s="159">
        <v>0.5</v>
      </c>
      <c r="H140" s="154" t="s">
        <v>1988</v>
      </c>
      <c r="I140" s="157" t="s">
        <v>2055</v>
      </c>
      <c r="J140" s="152"/>
    </row>
    <row r="141" spans="1:10" ht="21.95" customHeight="1" x14ac:dyDescent="0.15">
      <c r="A141" s="151" t="s">
        <v>2104</v>
      </c>
      <c r="B141" s="20" t="s">
        <v>3</v>
      </c>
      <c r="C141" s="21" t="s">
        <v>4</v>
      </c>
      <c r="D141" s="181">
        <v>17076</v>
      </c>
      <c r="E141" s="171">
        <v>0</v>
      </c>
      <c r="F141" s="171">
        <v>75000</v>
      </c>
      <c r="G141" s="159">
        <v>0.5</v>
      </c>
      <c r="H141" s="154" t="s">
        <v>1988</v>
      </c>
      <c r="I141" s="157" t="s">
        <v>2055</v>
      </c>
      <c r="J141" s="152"/>
    </row>
    <row r="142" spans="1:10" ht="21.95" customHeight="1" x14ac:dyDescent="0.15">
      <c r="A142" s="151" t="s">
        <v>2104</v>
      </c>
      <c r="B142" s="20" t="s">
        <v>10</v>
      </c>
      <c r="C142" s="21" t="s">
        <v>2054</v>
      </c>
      <c r="D142" s="152">
        <v>17078</v>
      </c>
      <c r="E142" s="171">
        <v>0</v>
      </c>
      <c r="F142" s="171">
        <v>75000</v>
      </c>
      <c r="G142" s="159">
        <v>0.5</v>
      </c>
      <c r="H142" s="154" t="s">
        <v>1988</v>
      </c>
      <c r="I142" s="157" t="s">
        <v>2055</v>
      </c>
      <c r="J142" s="152"/>
    </row>
    <row r="143" spans="1:10" ht="21.95" customHeight="1" x14ac:dyDescent="0.15">
      <c r="A143" s="151" t="s">
        <v>2105</v>
      </c>
      <c r="B143" s="20" t="s">
        <v>2106</v>
      </c>
      <c r="C143" s="21" t="s">
        <v>1737</v>
      </c>
      <c r="D143" s="152">
        <v>17062</v>
      </c>
      <c r="E143" s="171">
        <v>0</v>
      </c>
      <c r="F143" s="171">
        <v>60000</v>
      </c>
      <c r="G143" s="159">
        <v>0.5</v>
      </c>
      <c r="H143" s="154" t="s">
        <v>1988</v>
      </c>
      <c r="I143" s="157" t="s">
        <v>1900</v>
      </c>
      <c r="J143" s="152"/>
    </row>
    <row r="144" spans="1:10" ht="21.95" customHeight="1" x14ac:dyDescent="0.15">
      <c r="A144" s="151" t="s">
        <v>2105</v>
      </c>
      <c r="B144" s="20" t="s">
        <v>2107</v>
      </c>
      <c r="C144" s="21" t="s">
        <v>1738</v>
      </c>
      <c r="D144" s="152">
        <v>17063</v>
      </c>
      <c r="E144" s="171">
        <v>0</v>
      </c>
      <c r="F144" s="171">
        <v>60000</v>
      </c>
      <c r="G144" s="159">
        <v>0.5</v>
      </c>
      <c r="H144" s="154" t="s">
        <v>1988</v>
      </c>
      <c r="I144" s="157" t="s">
        <v>1900</v>
      </c>
      <c r="J144" s="152"/>
    </row>
    <row r="145" spans="1:10" ht="21.95" customHeight="1" x14ac:dyDescent="0.15">
      <c r="A145" s="151" t="s">
        <v>1739</v>
      </c>
      <c r="B145" s="20" t="s">
        <v>2040</v>
      </c>
      <c r="C145" s="21" t="s">
        <v>2108</v>
      </c>
      <c r="D145" s="152">
        <v>17080</v>
      </c>
      <c r="E145" s="171">
        <v>0</v>
      </c>
      <c r="F145" s="171">
        <v>75000</v>
      </c>
      <c r="G145" s="159">
        <v>0.5</v>
      </c>
      <c r="H145" s="154" t="s">
        <v>1988</v>
      </c>
      <c r="I145" s="157" t="s">
        <v>2055</v>
      </c>
      <c r="J145" s="152"/>
    </row>
    <row r="146" spans="1:10" ht="21.95" customHeight="1" x14ac:dyDescent="0.15">
      <c r="A146" s="151" t="s">
        <v>1739</v>
      </c>
      <c r="B146" s="20" t="s">
        <v>2109</v>
      </c>
      <c r="C146" s="21" t="s">
        <v>2110</v>
      </c>
      <c r="D146" s="152">
        <v>17072</v>
      </c>
      <c r="E146" s="171">
        <v>0</v>
      </c>
      <c r="F146" s="171">
        <v>60000</v>
      </c>
      <c r="G146" s="159">
        <v>0.5</v>
      </c>
      <c r="H146" s="154" t="s">
        <v>1988</v>
      </c>
      <c r="I146" s="157" t="s">
        <v>1900</v>
      </c>
      <c r="J146" s="152"/>
    </row>
    <row r="147" spans="1:10" ht="21.95" customHeight="1" x14ac:dyDescent="0.15">
      <c r="A147" s="151" t="s">
        <v>1740</v>
      </c>
      <c r="B147" s="20" t="s">
        <v>2111</v>
      </c>
      <c r="C147" s="21" t="s">
        <v>2112</v>
      </c>
      <c r="D147" s="152">
        <v>17071</v>
      </c>
      <c r="E147" s="171">
        <v>0</v>
      </c>
      <c r="F147" s="171">
        <v>60000</v>
      </c>
      <c r="G147" s="159">
        <v>0.5</v>
      </c>
      <c r="H147" s="154" t="s">
        <v>1988</v>
      </c>
      <c r="I147" s="157" t="s">
        <v>1900</v>
      </c>
      <c r="J147" s="152"/>
    </row>
    <row r="148" spans="1:10" ht="21.95" customHeight="1" x14ac:dyDescent="0.15">
      <c r="A148" s="151" t="s">
        <v>1740</v>
      </c>
      <c r="B148" s="20" t="s">
        <v>2113</v>
      </c>
      <c r="C148" s="21" t="s">
        <v>2114</v>
      </c>
      <c r="D148" s="152">
        <v>17079</v>
      </c>
      <c r="E148" s="171">
        <v>0</v>
      </c>
      <c r="F148" s="171">
        <v>75000</v>
      </c>
      <c r="G148" s="159">
        <v>0.5</v>
      </c>
      <c r="H148" s="154" t="s">
        <v>1988</v>
      </c>
      <c r="I148" s="157" t="s">
        <v>2055</v>
      </c>
      <c r="J148" s="152"/>
    </row>
    <row r="149" spans="1:10" ht="21.95" customHeight="1" x14ac:dyDescent="0.15">
      <c r="A149" s="151" t="s">
        <v>1739</v>
      </c>
      <c r="B149" s="20" t="s">
        <v>2056</v>
      </c>
      <c r="C149" s="21" t="s">
        <v>2057</v>
      </c>
      <c r="D149" s="152">
        <v>17077</v>
      </c>
      <c r="E149" s="171">
        <v>0</v>
      </c>
      <c r="F149" s="171">
        <v>75000</v>
      </c>
      <c r="G149" s="159">
        <v>0.5</v>
      </c>
      <c r="H149" s="154" t="s">
        <v>1988</v>
      </c>
      <c r="I149" s="157" t="s">
        <v>2055</v>
      </c>
      <c r="J149" s="152"/>
    </row>
    <row r="150" spans="1:10" ht="21.95" customHeight="1" x14ac:dyDescent="0.15">
      <c r="A150" s="151" t="s">
        <v>2115</v>
      </c>
      <c r="B150" s="20" t="s">
        <v>2116</v>
      </c>
      <c r="C150" s="21" t="s">
        <v>2117</v>
      </c>
      <c r="D150" s="152">
        <v>17073</v>
      </c>
      <c r="E150" s="171">
        <v>0</v>
      </c>
      <c r="F150" s="171">
        <v>60000</v>
      </c>
      <c r="G150" s="159">
        <v>0.5</v>
      </c>
      <c r="H150" s="154" t="s">
        <v>1988</v>
      </c>
      <c r="I150" s="157" t="s">
        <v>1900</v>
      </c>
      <c r="J150" s="152"/>
    </row>
    <row r="151" spans="1:10" ht="21.95" customHeight="1" x14ac:dyDescent="0.15">
      <c r="A151" s="151" t="s">
        <v>2118</v>
      </c>
      <c r="B151" s="20" t="s">
        <v>2119</v>
      </c>
      <c r="C151" s="21" t="s">
        <v>1926</v>
      </c>
      <c r="D151" s="152">
        <v>14008</v>
      </c>
      <c r="E151" s="171">
        <v>0</v>
      </c>
      <c r="F151" s="171">
        <v>17850</v>
      </c>
      <c r="G151" s="154" t="s">
        <v>1920</v>
      </c>
      <c r="H151" s="159" t="s">
        <v>2120</v>
      </c>
      <c r="I151" s="157" t="s">
        <v>1904</v>
      </c>
      <c r="J151" s="152"/>
    </row>
    <row r="152" spans="1:10" ht="21.95" customHeight="1" x14ac:dyDescent="0.15">
      <c r="A152" s="151" t="s">
        <v>1741</v>
      </c>
      <c r="B152" s="20" t="s">
        <v>2095</v>
      </c>
      <c r="C152" s="26" t="s">
        <v>2096</v>
      </c>
      <c r="D152" s="152">
        <v>17067</v>
      </c>
      <c r="E152" s="171">
        <v>0</v>
      </c>
      <c r="F152" s="171">
        <v>60000</v>
      </c>
      <c r="G152" s="159">
        <v>0.5</v>
      </c>
      <c r="H152" s="154" t="s">
        <v>1988</v>
      </c>
      <c r="I152" s="157" t="s">
        <v>1900</v>
      </c>
      <c r="J152" s="152"/>
    </row>
    <row r="153" spans="1:10" ht="21.95" customHeight="1" x14ac:dyDescent="0.15">
      <c r="A153" s="151" t="s">
        <v>1741</v>
      </c>
      <c r="B153" s="20" t="s">
        <v>2072</v>
      </c>
      <c r="C153" s="21" t="s">
        <v>2073</v>
      </c>
      <c r="D153" s="152">
        <v>17060</v>
      </c>
      <c r="E153" s="171">
        <v>0</v>
      </c>
      <c r="F153" s="171">
        <v>60000</v>
      </c>
      <c r="G153" s="159">
        <v>0.5</v>
      </c>
      <c r="H153" s="154" t="s">
        <v>1988</v>
      </c>
      <c r="I153" s="157" t="s">
        <v>1900</v>
      </c>
      <c r="J153" s="152"/>
    </row>
    <row r="154" spans="1:10" ht="21.95" customHeight="1" x14ac:dyDescent="0.15">
      <c r="A154" s="151" t="s">
        <v>1741</v>
      </c>
      <c r="B154" s="20" t="s">
        <v>69</v>
      </c>
      <c r="C154" s="21" t="s">
        <v>2049</v>
      </c>
      <c r="D154" s="152">
        <v>17059</v>
      </c>
      <c r="E154" s="171">
        <v>0</v>
      </c>
      <c r="F154" s="171">
        <v>60000</v>
      </c>
      <c r="G154" s="159">
        <v>0.5</v>
      </c>
      <c r="H154" s="154" t="s">
        <v>1988</v>
      </c>
      <c r="I154" s="157" t="s">
        <v>1900</v>
      </c>
      <c r="J154" s="152"/>
    </row>
    <row r="155" spans="1:10" ht="21.95" customHeight="1" x14ac:dyDescent="0.15">
      <c r="A155" s="151" t="s">
        <v>1741</v>
      </c>
      <c r="B155" s="20" t="s">
        <v>38</v>
      </c>
      <c r="C155" s="21" t="s">
        <v>2047</v>
      </c>
      <c r="D155" s="152">
        <v>17058</v>
      </c>
      <c r="E155" s="171">
        <v>0</v>
      </c>
      <c r="F155" s="171">
        <v>60000</v>
      </c>
      <c r="G155" s="159">
        <v>0.5</v>
      </c>
      <c r="H155" s="154" t="s">
        <v>1988</v>
      </c>
      <c r="I155" s="157" t="s">
        <v>1900</v>
      </c>
      <c r="J155" s="152"/>
    </row>
    <row r="156" spans="1:10" ht="21.95" customHeight="1" x14ac:dyDescent="0.15">
      <c r="A156" s="151" t="s">
        <v>2121</v>
      </c>
      <c r="B156" s="20" t="s">
        <v>2122</v>
      </c>
      <c r="C156" s="21" t="s">
        <v>2123</v>
      </c>
      <c r="D156" s="152">
        <v>15057</v>
      </c>
      <c r="E156" s="171">
        <v>0</v>
      </c>
      <c r="F156" s="171">
        <v>74500</v>
      </c>
      <c r="G156" s="159" t="s">
        <v>2124</v>
      </c>
      <c r="H156" s="159" t="s">
        <v>2124</v>
      </c>
      <c r="I156" s="157" t="s">
        <v>2030</v>
      </c>
      <c r="J156" s="152"/>
    </row>
    <row r="157" spans="1:10" ht="21.95" customHeight="1" x14ac:dyDescent="0.15">
      <c r="A157" s="151" t="s">
        <v>2121</v>
      </c>
      <c r="B157" s="20" t="s">
        <v>2125</v>
      </c>
      <c r="C157" s="21" t="s">
        <v>2059</v>
      </c>
      <c r="D157" s="152">
        <v>17045</v>
      </c>
      <c r="E157" s="171">
        <v>0</v>
      </c>
      <c r="F157" s="171">
        <v>50000</v>
      </c>
      <c r="G157" s="159">
        <v>0.5</v>
      </c>
      <c r="H157" s="183" t="s">
        <v>1912</v>
      </c>
      <c r="I157" s="157" t="s">
        <v>1900</v>
      </c>
      <c r="J157" s="152"/>
    </row>
    <row r="158" spans="1:10" ht="21.95" customHeight="1" x14ac:dyDescent="0.15">
      <c r="A158" s="151" t="s">
        <v>2126</v>
      </c>
      <c r="B158" s="20" t="s">
        <v>2127</v>
      </c>
      <c r="C158" s="21" t="s">
        <v>2128</v>
      </c>
      <c r="D158" s="152">
        <v>11018</v>
      </c>
      <c r="E158" s="171">
        <v>0</v>
      </c>
      <c r="F158" s="171">
        <v>176299</v>
      </c>
      <c r="G158" s="183" t="s">
        <v>1920</v>
      </c>
      <c r="H158" s="183" t="s">
        <v>2129</v>
      </c>
      <c r="I158" s="183" t="s">
        <v>1917</v>
      </c>
      <c r="J158" s="152"/>
    </row>
    <row r="159" spans="1:10" ht="21.95" customHeight="1" x14ac:dyDescent="0.15">
      <c r="A159" s="151" t="s">
        <v>2126</v>
      </c>
      <c r="B159" s="20" t="s">
        <v>2044</v>
      </c>
      <c r="C159" s="21" t="s">
        <v>1744</v>
      </c>
      <c r="D159" s="152">
        <v>17061</v>
      </c>
      <c r="E159" s="171">
        <v>0</v>
      </c>
      <c r="F159" s="171">
        <v>60000</v>
      </c>
      <c r="G159" s="159">
        <v>0.5</v>
      </c>
      <c r="H159" s="154" t="s">
        <v>1988</v>
      </c>
      <c r="I159" s="157" t="s">
        <v>1900</v>
      </c>
      <c r="J159" s="152"/>
    </row>
    <row r="160" spans="1:10" ht="21.95" customHeight="1" x14ac:dyDescent="0.15">
      <c r="A160" s="151" t="s">
        <v>2126</v>
      </c>
      <c r="B160" s="20" t="s">
        <v>2025</v>
      </c>
      <c r="C160" s="21" t="s">
        <v>1742</v>
      </c>
      <c r="D160" s="152">
        <v>17096</v>
      </c>
      <c r="E160" s="171">
        <v>0</v>
      </c>
      <c r="F160" s="171">
        <v>100000</v>
      </c>
      <c r="G160" s="159">
        <v>1</v>
      </c>
      <c r="H160" s="159" t="s">
        <v>2130</v>
      </c>
      <c r="I160" s="184" t="s">
        <v>2131</v>
      </c>
      <c r="J160" s="152"/>
    </row>
    <row r="161" spans="1:10" ht="21.95" customHeight="1" x14ac:dyDescent="0.15">
      <c r="A161" s="151" t="s">
        <v>2132</v>
      </c>
      <c r="B161" s="20" t="s">
        <v>2133</v>
      </c>
      <c r="C161" s="21" t="s">
        <v>1743</v>
      </c>
      <c r="D161" s="152">
        <v>17097</v>
      </c>
      <c r="E161" s="171">
        <v>0</v>
      </c>
      <c r="F161" s="171">
        <v>100000</v>
      </c>
      <c r="G161" s="159">
        <v>1</v>
      </c>
      <c r="H161" s="159" t="s">
        <v>2130</v>
      </c>
      <c r="I161" s="184" t="s">
        <v>2131</v>
      </c>
      <c r="J161" s="152"/>
    </row>
    <row r="162" spans="1:10" ht="21.95" customHeight="1" x14ac:dyDescent="0.15">
      <c r="A162" s="151" t="s">
        <v>2134</v>
      </c>
      <c r="B162" s="20" t="s">
        <v>2135</v>
      </c>
      <c r="C162" s="21" t="s">
        <v>2136</v>
      </c>
      <c r="D162" s="152">
        <v>12050</v>
      </c>
      <c r="E162" s="171">
        <v>0</v>
      </c>
      <c r="F162" s="171">
        <v>50000</v>
      </c>
      <c r="G162" s="154" t="s">
        <v>1884</v>
      </c>
      <c r="H162" s="154" t="s">
        <v>1884</v>
      </c>
      <c r="I162" s="157" t="s">
        <v>2137</v>
      </c>
      <c r="J162" s="152"/>
    </row>
    <row r="163" spans="1:10" ht="21.95" customHeight="1" x14ac:dyDescent="0.15">
      <c r="A163" s="151" t="s">
        <v>2134</v>
      </c>
      <c r="B163" s="20" t="s">
        <v>2138</v>
      </c>
      <c r="C163" s="21" t="s">
        <v>2139</v>
      </c>
      <c r="D163" s="152">
        <v>14008</v>
      </c>
      <c r="E163" s="171">
        <v>200000</v>
      </c>
      <c r="F163" s="171">
        <v>0</v>
      </c>
      <c r="G163" s="154" t="s">
        <v>1884</v>
      </c>
      <c r="H163" s="154" t="s">
        <v>1884</v>
      </c>
      <c r="I163" s="157" t="s">
        <v>2140</v>
      </c>
      <c r="J163" s="152" t="s">
        <v>2141</v>
      </c>
    </row>
    <row r="164" spans="1:10" ht="21.95" customHeight="1" x14ac:dyDescent="0.15">
      <c r="A164" s="151" t="s">
        <v>2142</v>
      </c>
      <c r="B164" s="20" t="s">
        <v>1877</v>
      </c>
      <c r="C164" s="21" t="s">
        <v>1878</v>
      </c>
      <c r="D164" s="152">
        <v>17037</v>
      </c>
      <c r="E164" s="171">
        <v>0</v>
      </c>
      <c r="F164" s="171">
        <v>96000</v>
      </c>
      <c r="G164" s="185">
        <v>0.6</v>
      </c>
      <c r="H164" s="183" t="s">
        <v>2143</v>
      </c>
      <c r="I164" s="183" t="s">
        <v>1880</v>
      </c>
      <c r="J164" s="152"/>
    </row>
    <row r="165" spans="1:10" ht="21.95" customHeight="1" x14ac:dyDescent="0.15">
      <c r="A165" s="151" t="s">
        <v>2144</v>
      </c>
      <c r="B165" s="20" t="s">
        <v>2145</v>
      </c>
      <c r="C165" s="58" t="s">
        <v>2146</v>
      </c>
      <c r="D165" s="152">
        <v>15056</v>
      </c>
      <c r="E165" s="171">
        <v>0</v>
      </c>
      <c r="F165" s="171">
        <v>85000</v>
      </c>
      <c r="G165" s="159">
        <v>0.5</v>
      </c>
      <c r="H165" s="154" t="s">
        <v>2147</v>
      </c>
      <c r="I165" s="183" t="s">
        <v>2137</v>
      </c>
      <c r="J165" s="152"/>
    </row>
    <row r="166" spans="1:10" ht="21.95" customHeight="1" x14ac:dyDescent="0.15">
      <c r="A166" s="151" t="s">
        <v>2148</v>
      </c>
      <c r="B166" s="20" t="s">
        <v>2149</v>
      </c>
      <c r="C166" s="21" t="s">
        <v>1745</v>
      </c>
      <c r="D166" s="152">
        <v>17070</v>
      </c>
      <c r="E166" s="171">
        <v>0</v>
      </c>
      <c r="F166" s="171">
        <v>60000</v>
      </c>
      <c r="G166" s="159">
        <v>0.5</v>
      </c>
      <c r="H166" s="154" t="s">
        <v>2147</v>
      </c>
      <c r="I166" s="157" t="s">
        <v>2150</v>
      </c>
      <c r="J166" s="152"/>
    </row>
    <row r="167" spans="1:10" ht="21.95" customHeight="1" x14ac:dyDescent="0.15">
      <c r="A167" s="151" t="s">
        <v>1746</v>
      </c>
      <c r="B167" s="20" t="s">
        <v>2151</v>
      </c>
      <c r="C167" s="21" t="s">
        <v>2152</v>
      </c>
      <c r="D167" s="152">
        <v>17107</v>
      </c>
      <c r="E167" s="171">
        <v>0</v>
      </c>
      <c r="F167" s="171">
        <v>26280</v>
      </c>
      <c r="G167" s="159">
        <v>0.9</v>
      </c>
      <c r="H167" s="159" t="s">
        <v>2153</v>
      </c>
      <c r="I167" s="183" t="s">
        <v>1889</v>
      </c>
      <c r="J167" s="152"/>
    </row>
    <row r="168" spans="1:10" s="182" customFormat="1" ht="21.95" customHeight="1" x14ac:dyDescent="0.15">
      <c r="A168" s="151" t="s">
        <v>1746</v>
      </c>
      <c r="B168" s="20" t="s">
        <v>2154</v>
      </c>
      <c r="C168" s="21" t="s">
        <v>1715</v>
      </c>
      <c r="D168" s="152">
        <v>14036</v>
      </c>
      <c r="E168" s="171">
        <v>0</v>
      </c>
      <c r="F168" s="172">
        <v>53958</v>
      </c>
      <c r="G168" s="154" t="s">
        <v>1884</v>
      </c>
      <c r="H168" s="154" t="s">
        <v>2153</v>
      </c>
      <c r="I168" s="152" t="s">
        <v>1880</v>
      </c>
      <c r="J168" s="157"/>
    </row>
    <row r="169" spans="1:10" s="182" customFormat="1" ht="21.95" customHeight="1" x14ac:dyDescent="0.15">
      <c r="A169" s="156" t="s">
        <v>2155</v>
      </c>
      <c r="B169" s="20" t="s">
        <v>2156</v>
      </c>
      <c r="C169" s="21" t="s">
        <v>2157</v>
      </c>
      <c r="D169" s="157">
        <v>17017</v>
      </c>
      <c r="E169" s="171">
        <v>0</v>
      </c>
      <c r="F169" s="172">
        <v>120000</v>
      </c>
      <c r="G169" s="185">
        <v>1</v>
      </c>
      <c r="H169" s="183" t="s">
        <v>2147</v>
      </c>
      <c r="I169" s="183" t="s">
        <v>2137</v>
      </c>
      <c r="J169" s="157"/>
    </row>
    <row r="170" spans="1:10" s="182" customFormat="1" ht="21.95" customHeight="1" x14ac:dyDescent="0.15">
      <c r="A170" s="156" t="s">
        <v>2158</v>
      </c>
      <c r="B170" s="20" t="s">
        <v>2159</v>
      </c>
      <c r="C170" s="21" t="s">
        <v>1747</v>
      </c>
      <c r="D170" s="157">
        <v>17100</v>
      </c>
      <c r="E170" s="171">
        <v>0</v>
      </c>
      <c r="F170" s="172">
        <v>85000</v>
      </c>
      <c r="G170" s="185">
        <v>1</v>
      </c>
      <c r="H170" s="159" t="s">
        <v>2130</v>
      </c>
      <c r="I170" s="183" t="s">
        <v>2150</v>
      </c>
      <c r="J170" s="157"/>
    </row>
    <row r="171" spans="1:10" s="182" customFormat="1" ht="21.95" customHeight="1" x14ac:dyDescent="0.15">
      <c r="A171" s="156" t="s">
        <v>2160</v>
      </c>
      <c r="B171" s="20" t="s">
        <v>2161</v>
      </c>
      <c r="C171" s="21" t="s">
        <v>2162</v>
      </c>
      <c r="D171" s="157">
        <v>17068</v>
      </c>
      <c r="E171" s="171">
        <v>0</v>
      </c>
      <c r="F171" s="172">
        <v>60000</v>
      </c>
      <c r="G171" s="159">
        <v>0.5</v>
      </c>
      <c r="H171" s="154" t="s">
        <v>2147</v>
      </c>
      <c r="I171" s="157" t="s">
        <v>2150</v>
      </c>
      <c r="J171" s="157"/>
    </row>
    <row r="172" spans="1:10" s="182" customFormat="1" ht="21.95" customHeight="1" x14ac:dyDescent="0.15">
      <c r="A172" s="156" t="s">
        <v>2163</v>
      </c>
      <c r="B172" s="20" t="s">
        <v>2164</v>
      </c>
      <c r="C172" s="21" t="s">
        <v>2165</v>
      </c>
      <c r="D172" s="157">
        <v>16071</v>
      </c>
      <c r="E172" s="171">
        <v>0</v>
      </c>
      <c r="F172" s="172">
        <v>473100</v>
      </c>
      <c r="G172" s="185">
        <v>0.95</v>
      </c>
      <c r="H172" s="185" t="s">
        <v>2153</v>
      </c>
      <c r="I172" s="183" t="s">
        <v>2140</v>
      </c>
      <c r="J172" s="157"/>
    </row>
    <row r="173" spans="1:10" s="182" customFormat="1" ht="21.95" customHeight="1" x14ac:dyDescent="0.15">
      <c r="A173" s="156" t="s">
        <v>2166</v>
      </c>
      <c r="B173" s="20" t="s">
        <v>2167</v>
      </c>
      <c r="C173" s="21" t="s">
        <v>1748</v>
      </c>
      <c r="D173" s="157">
        <v>17113</v>
      </c>
      <c r="E173" s="171">
        <v>0</v>
      </c>
      <c r="F173" s="172">
        <v>9800</v>
      </c>
      <c r="G173" s="185">
        <v>1</v>
      </c>
      <c r="H173" s="159" t="s">
        <v>2130</v>
      </c>
      <c r="I173" s="183" t="s">
        <v>2168</v>
      </c>
      <c r="J173" s="157"/>
    </row>
    <row r="174" spans="1:10" s="182" customFormat="1" ht="21.95" customHeight="1" x14ac:dyDescent="0.15">
      <c r="A174" s="156" t="s">
        <v>2169</v>
      </c>
      <c r="B174" s="20" t="s">
        <v>80</v>
      </c>
      <c r="C174" s="21" t="s">
        <v>76</v>
      </c>
      <c r="D174" s="157">
        <v>17102</v>
      </c>
      <c r="E174" s="171">
        <v>0</v>
      </c>
      <c r="F174" s="172">
        <v>85000</v>
      </c>
      <c r="G174" s="185">
        <v>1</v>
      </c>
      <c r="H174" s="159" t="s">
        <v>2130</v>
      </c>
      <c r="I174" s="183" t="s">
        <v>2150</v>
      </c>
      <c r="J174" s="157"/>
    </row>
    <row r="175" spans="1:10" s="182" customFormat="1" ht="21.95" customHeight="1" x14ac:dyDescent="0.15">
      <c r="A175" s="156" t="s">
        <v>2170</v>
      </c>
      <c r="B175" s="20" t="s">
        <v>2171</v>
      </c>
      <c r="C175" s="26" t="s">
        <v>7</v>
      </c>
      <c r="D175" s="157">
        <v>17101</v>
      </c>
      <c r="E175" s="171">
        <v>0</v>
      </c>
      <c r="F175" s="172">
        <v>85000</v>
      </c>
      <c r="G175" s="185">
        <v>1</v>
      </c>
      <c r="H175" s="159" t="s">
        <v>2130</v>
      </c>
      <c r="I175" s="183" t="s">
        <v>2150</v>
      </c>
      <c r="J175" s="157"/>
    </row>
    <row r="176" spans="1:10" s="182" customFormat="1" ht="21.95" customHeight="1" x14ac:dyDescent="0.15">
      <c r="A176" s="156" t="s">
        <v>1749</v>
      </c>
      <c r="B176" s="20" t="s">
        <v>28</v>
      </c>
      <c r="C176" s="26" t="s">
        <v>1750</v>
      </c>
      <c r="D176" s="157">
        <v>17099</v>
      </c>
      <c r="E176" s="171">
        <v>0</v>
      </c>
      <c r="F176" s="172">
        <v>20000</v>
      </c>
      <c r="G176" s="185">
        <v>1</v>
      </c>
      <c r="H176" s="159" t="s">
        <v>2130</v>
      </c>
      <c r="I176" s="183" t="s">
        <v>2137</v>
      </c>
      <c r="J176" s="157"/>
    </row>
    <row r="177" spans="1:10" s="182" customFormat="1" ht="21.95" customHeight="1" x14ac:dyDescent="0.15">
      <c r="A177" s="156" t="s">
        <v>1751</v>
      </c>
      <c r="B177" s="20" t="s">
        <v>2164</v>
      </c>
      <c r="C177" s="26" t="s">
        <v>2172</v>
      </c>
      <c r="D177" s="157">
        <v>16030</v>
      </c>
      <c r="E177" s="171">
        <v>495710</v>
      </c>
      <c r="F177" s="172">
        <v>0</v>
      </c>
      <c r="G177" s="185">
        <v>0.95</v>
      </c>
      <c r="H177" s="159" t="s">
        <v>2153</v>
      </c>
      <c r="I177" s="183" t="s">
        <v>2198</v>
      </c>
      <c r="J177" s="157" t="s">
        <v>2173</v>
      </c>
    </row>
    <row r="178" spans="1:10" s="182" customFormat="1" ht="21.95" customHeight="1" x14ac:dyDescent="0.15">
      <c r="A178" s="156" t="s">
        <v>1751</v>
      </c>
      <c r="B178" s="20" t="s">
        <v>2195</v>
      </c>
      <c r="C178" s="26" t="s">
        <v>2196</v>
      </c>
      <c r="D178" s="157">
        <v>16025</v>
      </c>
      <c r="E178" s="171">
        <v>0</v>
      </c>
      <c r="F178" s="172">
        <v>50000</v>
      </c>
      <c r="G178" s="159">
        <v>0.5</v>
      </c>
      <c r="H178" s="159" t="s">
        <v>2130</v>
      </c>
      <c r="I178" s="183" t="s">
        <v>2197</v>
      </c>
      <c r="J178" s="157"/>
    </row>
    <row r="179" spans="1:10" s="182" customFormat="1" ht="21.95" customHeight="1" x14ac:dyDescent="0.15">
      <c r="A179" s="156" t="s">
        <v>1752</v>
      </c>
      <c r="B179" s="20" t="s">
        <v>30</v>
      </c>
      <c r="C179" s="26" t="s">
        <v>1753</v>
      </c>
      <c r="D179" s="157">
        <v>13029</v>
      </c>
      <c r="E179" s="171">
        <v>0</v>
      </c>
      <c r="F179" s="172">
        <v>90000</v>
      </c>
      <c r="G179" s="185" t="s">
        <v>1754</v>
      </c>
      <c r="H179" s="159" t="s">
        <v>1754</v>
      </c>
      <c r="I179" s="183" t="s">
        <v>2174</v>
      </c>
      <c r="J179" s="157"/>
    </row>
    <row r="180" spans="1:10" s="182" customFormat="1" ht="21.95" customHeight="1" x14ac:dyDescent="0.15">
      <c r="A180" s="156" t="s">
        <v>2176</v>
      </c>
      <c r="B180" s="20" t="s">
        <v>2177</v>
      </c>
      <c r="C180" s="26" t="s">
        <v>2178</v>
      </c>
      <c r="D180" s="157">
        <v>17054</v>
      </c>
      <c r="E180" s="171">
        <v>0</v>
      </c>
      <c r="F180" s="172">
        <v>230000</v>
      </c>
      <c r="G180" s="185">
        <v>1</v>
      </c>
      <c r="H180" s="159" t="s">
        <v>2179</v>
      </c>
      <c r="I180" s="183" t="s">
        <v>2180</v>
      </c>
      <c r="J180" s="157"/>
    </row>
    <row r="181" spans="1:10" s="182" customFormat="1" ht="21.95" customHeight="1" x14ac:dyDescent="0.15">
      <c r="A181" s="156" t="s">
        <v>2176</v>
      </c>
      <c r="B181" s="20" t="s">
        <v>2181</v>
      </c>
      <c r="C181" s="26" t="s">
        <v>2182</v>
      </c>
      <c r="D181" s="157">
        <v>17062</v>
      </c>
      <c r="E181" s="171">
        <v>0</v>
      </c>
      <c r="F181" s="172">
        <v>60000</v>
      </c>
      <c r="G181" s="159">
        <v>0.5</v>
      </c>
      <c r="H181" s="154" t="s">
        <v>285</v>
      </c>
      <c r="I181" s="157" t="s">
        <v>229</v>
      </c>
      <c r="J181" s="157"/>
    </row>
    <row r="182" spans="1:10" s="182" customFormat="1" ht="21.95" customHeight="1" x14ac:dyDescent="0.15">
      <c r="A182" s="156" t="s">
        <v>2176</v>
      </c>
      <c r="B182" s="20" t="s">
        <v>2309</v>
      </c>
      <c r="C182" s="26" t="s">
        <v>2183</v>
      </c>
      <c r="D182" s="157">
        <v>17066</v>
      </c>
      <c r="E182" s="171">
        <v>0</v>
      </c>
      <c r="F182" s="172">
        <v>60000</v>
      </c>
      <c r="G182" s="159">
        <v>0.5</v>
      </c>
      <c r="H182" s="154" t="s">
        <v>285</v>
      </c>
      <c r="I182" s="157" t="s">
        <v>229</v>
      </c>
      <c r="J182" s="157"/>
    </row>
    <row r="183" spans="1:10" s="182" customFormat="1" ht="21.95" customHeight="1" x14ac:dyDescent="0.15">
      <c r="A183" s="156" t="s">
        <v>2176</v>
      </c>
      <c r="B183" s="20" t="s">
        <v>2184</v>
      </c>
      <c r="C183" s="26" t="s">
        <v>2185</v>
      </c>
      <c r="D183" s="157">
        <v>17063</v>
      </c>
      <c r="E183" s="171">
        <v>0</v>
      </c>
      <c r="F183" s="172">
        <v>60000</v>
      </c>
      <c r="G183" s="159">
        <v>0.5</v>
      </c>
      <c r="H183" s="154" t="s">
        <v>285</v>
      </c>
      <c r="I183" s="157" t="s">
        <v>229</v>
      </c>
      <c r="J183" s="157"/>
    </row>
    <row r="184" spans="1:10" s="182" customFormat="1" ht="21.95" customHeight="1" x14ac:dyDescent="0.15">
      <c r="A184" s="156" t="s">
        <v>2176</v>
      </c>
      <c r="B184" s="20" t="s">
        <v>2186</v>
      </c>
      <c r="C184" s="26" t="s">
        <v>2187</v>
      </c>
      <c r="D184" s="157">
        <v>17006</v>
      </c>
      <c r="E184" s="171">
        <v>0</v>
      </c>
      <c r="F184" s="172">
        <v>49000</v>
      </c>
      <c r="G184" s="185">
        <v>0.2</v>
      </c>
      <c r="H184" s="159" t="s">
        <v>2188</v>
      </c>
      <c r="I184" s="157" t="s">
        <v>229</v>
      </c>
      <c r="J184" s="157"/>
    </row>
    <row r="185" spans="1:10" s="182" customFormat="1" ht="21.95" customHeight="1" x14ac:dyDescent="0.15">
      <c r="A185" s="156" t="s">
        <v>2190</v>
      </c>
      <c r="B185" s="20" t="s">
        <v>2191</v>
      </c>
      <c r="C185" s="26" t="s">
        <v>2192</v>
      </c>
      <c r="D185" s="157">
        <v>17116</v>
      </c>
      <c r="E185" s="171">
        <v>0</v>
      </c>
      <c r="F185" s="172">
        <v>350000</v>
      </c>
      <c r="G185" s="185">
        <v>1</v>
      </c>
      <c r="H185" s="159" t="s">
        <v>2193</v>
      </c>
      <c r="I185" s="183" t="s">
        <v>2194</v>
      </c>
      <c r="J185" s="157"/>
    </row>
    <row r="186" spans="1:10" s="182" customFormat="1" ht="21.95" customHeight="1" x14ac:dyDescent="0.15">
      <c r="A186" s="156" t="s">
        <v>2199</v>
      </c>
      <c r="B186" s="20" t="s">
        <v>2200</v>
      </c>
      <c r="C186" s="26" t="s">
        <v>2201</v>
      </c>
      <c r="D186" s="157">
        <v>17117</v>
      </c>
      <c r="E186" s="171">
        <v>0</v>
      </c>
      <c r="F186" s="172">
        <v>67500</v>
      </c>
      <c r="G186" s="185">
        <v>0.45</v>
      </c>
      <c r="H186" s="159" t="s">
        <v>2202</v>
      </c>
      <c r="I186" s="183" t="s">
        <v>2203</v>
      </c>
      <c r="J186" s="157"/>
    </row>
    <row r="187" spans="1:10" s="182" customFormat="1" ht="21.95" customHeight="1" x14ac:dyDescent="0.15">
      <c r="A187" s="156" t="s">
        <v>2204</v>
      </c>
      <c r="B187" s="20" t="s">
        <v>36</v>
      </c>
      <c r="C187" s="26" t="s">
        <v>1272</v>
      </c>
      <c r="D187" s="157">
        <v>17117</v>
      </c>
      <c r="E187" s="171">
        <v>0</v>
      </c>
      <c r="F187" s="172">
        <v>67500</v>
      </c>
      <c r="G187" s="185">
        <v>0.45</v>
      </c>
      <c r="H187" s="159" t="s">
        <v>2202</v>
      </c>
      <c r="I187" s="183" t="s">
        <v>1880</v>
      </c>
      <c r="J187" s="157"/>
    </row>
    <row r="188" spans="1:10" s="182" customFormat="1" ht="21.95" customHeight="1" x14ac:dyDescent="0.15">
      <c r="A188" s="156" t="s">
        <v>2204</v>
      </c>
      <c r="B188" s="20" t="s">
        <v>32</v>
      </c>
      <c r="C188" s="26" t="s">
        <v>2205</v>
      </c>
      <c r="D188" s="157">
        <v>16034</v>
      </c>
      <c r="E188" s="171">
        <v>0</v>
      </c>
      <c r="F188" s="172">
        <v>170000</v>
      </c>
      <c r="G188" s="185">
        <v>1</v>
      </c>
      <c r="H188" s="159" t="s">
        <v>2206</v>
      </c>
      <c r="I188" s="183" t="s">
        <v>2207</v>
      </c>
      <c r="J188" s="157"/>
    </row>
    <row r="189" spans="1:10" s="182" customFormat="1" ht="21.95" customHeight="1" x14ac:dyDescent="0.15">
      <c r="A189" s="156" t="s">
        <v>2209</v>
      </c>
      <c r="B189" s="20" t="s">
        <v>2208</v>
      </c>
      <c r="C189" s="21" t="s">
        <v>1715</v>
      </c>
      <c r="D189" s="152">
        <v>14036</v>
      </c>
      <c r="E189" s="171">
        <v>0</v>
      </c>
      <c r="F189" s="172">
        <v>53958</v>
      </c>
      <c r="G189" s="185" t="s">
        <v>1754</v>
      </c>
      <c r="H189" s="159" t="s">
        <v>1754</v>
      </c>
      <c r="I189" s="183" t="s">
        <v>2210</v>
      </c>
      <c r="J189" s="157"/>
    </row>
    <row r="190" spans="1:10" s="182" customFormat="1" ht="21.95" customHeight="1" x14ac:dyDescent="0.15">
      <c r="A190" s="156" t="s">
        <v>2212</v>
      </c>
      <c r="B190" s="20" t="s">
        <v>2211</v>
      </c>
      <c r="C190" s="21" t="s">
        <v>2214</v>
      </c>
      <c r="D190" s="157">
        <v>15064</v>
      </c>
      <c r="E190" s="171">
        <v>0</v>
      </c>
      <c r="F190" s="172">
        <v>30920</v>
      </c>
      <c r="G190" s="185">
        <v>0.1</v>
      </c>
      <c r="H190" s="185" t="s">
        <v>2215</v>
      </c>
      <c r="I190" s="183" t="s">
        <v>2213</v>
      </c>
      <c r="J190" s="157"/>
    </row>
    <row r="191" spans="1:10" s="182" customFormat="1" ht="21.95" customHeight="1" x14ac:dyDescent="0.15">
      <c r="A191" s="156" t="s">
        <v>2212</v>
      </c>
      <c r="B191" s="20" t="s">
        <v>2211</v>
      </c>
      <c r="C191" s="21" t="s">
        <v>2214</v>
      </c>
      <c r="D191" s="157">
        <v>16044</v>
      </c>
      <c r="E191" s="171">
        <v>0</v>
      </c>
      <c r="F191" s="172">
        <v>5900</v>
      </c>
      <c r="G191" s="185">
        <v>0.1</v>
      </c>
      <c r="H191" s="185" t="s">
        <v>2215</v>
      </c>
      <c r="I191" s="183" t="s">
        <v>2213</v>
      </c>
      <c r="J191" s="157"/>
    </row>
    <row r="192" spans="1:10" s="182" customFormat="1" ht="21.95" customHeight="1" x14ac:dyDescent="0.15">
      <c r="A192" s="156" t="s">
        <v>2216</v>
      </c>
      <c r="B192" s="20" t="s">
        <v>161</v>
      </c>
      <c r="C192" s="21" t="s">
        <v>2218</v>
      </c>
      <c r="D192" s="157">
        <v>17109</v>
      </c>
      <c r="E192" s="171">
        <v>0</v>
      </c>
      <c r="F192" s="172">
        <v>89550</v>
      </c>
      <c r="G192" s="185">
        <v>0.9</v>
      </c>
      <c r="H192" s="185" t="s">
        <v>2219</v>
      </c>
      <c r="I192" s="183" t="s">
        <v>2220</v>
      </c>
      <c r="J192" s="157"/>
    </row>
    <row r="193" spans="1:10" s="182" customFormat="1" ht="21.95" customHeight="1" x14ac:dyDescent="0.15">
      <c r="A193" s="156" t="s">
        <v>2216</v>
      </c>
      <c r="B193" s="20" t="s">
        <v>2217</v>
      </c>
      <c r="C193" s="21" t="s">
        <v>2221</v>
      </c>
      <c r="D193" s="157">
        <v>17122</v>
      </c>
      <c r="E193" s="171">
        <v>0</v>
      </c>
      <c r="F193" s="172">
        <v>70000</v>
      </c>
      <c r="G193" s="185">
        <v>0.7</v>
      </c>
      <c r="H193" s="185" t="s">
        <v>1147</v>
      </c>
      <c r="I193" s="183" t="s">
        <v>2222</v>
      </c>
      <c r="J193" s="157"/>
    </row>
    <row r="194" spans="1:10" s="182" customFormat="1" ht="21.95" customHeight="1" x14ac:dyDescent="0.15">
      <c r="A194" s="156" t="s">
        <v>2223</v>
      </c>
      <c r="B194" s="20" t="s">
        <v>2224</v>
      </c>
      <c r="C194" s="21" t="s">
        <v>2229</v>
      </c>
      <c r="D194" s="192" t="s">
        <v>2230</v>
      </c>
      <c r="E194" s="171">
        <v>0</v>
      </c>
      <c r="F194" s="172">
        <v>100000</v>
      </c>
      <c r="G194" s="185">
        <v>1</v>
      </c>
      <c r="H194" s="159" t="s">
        <v>285</v>
      </c>
      <c r="I194" s="183" t="s">
        <v>2227</v>
      </c>
      <c r="J194" s="157"/>
    </row>
    <row r="195" spans="1:10" s="182" customFormat="1" ht="21.95" customHeight="1" x14ac:dyDescent="0.15">
      <c r="A195" s="156" t="s">
        <v>2223</v>
      </c>
      <c r="B195" s="20" t="s">
        <v>2225</v>
      </c>
      <c r="C195" s="21" t="s">
        <v>2226</v>
      </c>
      <c r="D195" s="192" t="s">
        <v>2228</v>
      </c>
      <c r="E195" s="171">
        <v>0</v>
      </c>
      <c r="F195" s="172">
        <v>100000</v>
      </c>
      <c r="G195" s="185">
        <v>1</v>
      </c>
      <c r="H195" s="159" t="s">
        <v>285</v>
      </c>
      <c r="I195" s="183" t="s">
        <v>2227</v>
      </c>
      <c r="J195" s="157"/>
    </row>
    <row r="196" spans="1:10" s="182" customFormat="1" ht="21.95" customHeight="1" x14ac:dyDescent="0.15">
      <c r="A196" s="156" t="s">
        <v>2232</v>
      </c>
      <c r="B196" s="20" t="s">
        <v>2231</v>
      </c>
      <c r="C196" s="21" t="s">
        <v>2233</v>
      </c>
      <c r="D196" s="157">
        <v>17036</v>
      </c>
      <c r="E196" s="171">
        <v>0</v>
      </c>
      <c r="F196" s="172">
        <v>70000</v>
      </c>
      <c r="G196" s="185">
        <v>1</v>
      </c>
      <c r="H196" s="159" t="s">
        <v>285</v>
      </c>
      <c r="I196" s="183" t="s">
        <v>170</v>
      </c>
      <c r="J196" s="157"/>
    </row>
    <row r="197" spans="1:10" s="182" customFormat="1" ht="21.95" customHeight="1" x14ac:dyDescent="0.15">
      <c r="A197" s="156" t="s">
        <v>2235</v>
      </c>
      <c r="B197" s="20" t="s">
        <v>2234</v>
      </c>
      <c r="C197" s="21" t="s">
        <v>2236</v>
      </c>
      <c r="D197" s="157">
        <v>12052</v>
      </c>
      <c r="E197" s="171">
        <v>0</v>
      </c>
      <c r="F197" s="172">
        <v>167960</v>
      </c>
      <c r="G197" s="185">
        <v>0.1</v>
      </c>
      <c r="H197" s="159" t="s">
        <v>2242</v>
      </c>
      <c r="I197" s="183" t="s">
        <v>2237</v>
      </c>
      <c r="J197" s="157"/>
    </row>
    <row r="198" spans="1:10" s="182" customFormat="1" ht="21.95" customHeight="1" x14ac:dyDescent="0.15">
      <c r="A198" s="156" t="s">
        <v>2235</v>
      </c>
      <c r="B198" s="20" t="s">
        <v>2238</v>
      </c>
      <c r="C198" s="21" t="s">
        <v>2239</v>
      </c>
      <c r="D198" s="157">
        <v>17103</v>
      </c>
      <c r="E198" s="171">
        <v>0</v>
      </c>
      <c r="F198" s="172">
        <v>85000</v>
      </c>
      <c r="G198" s="185">
        <v>1</v>
      </c>
      <c r="H198" s="159" t="s">
        <v>2240</v>
      </c>
      <c r="I198" s="183" t="s">
        <v>2241</v>
      </c>
      <c r="J198" s="157"/>
    </row>
    <row r="199" spans="1:10" s="182" customFormat="1" ht="21.95" customHeight="1" x14ac:dyDescent="0.15">
      <c r="A199" s="156" t="s">
        <v>2243</v>
      </c>
      <c r="B199" s="20" t="s">
        <v>2244</v>
      </c>
      <c r="C199" s="21" t="s">
        <v>2247</v>
      </c>
      <c r="D199" s="157">
        <v>17108</v>
      </c>
      <c r="E199" s="171">
        <v>0</v>
      </c>
      <c r="F199" s="172">
        <v>89550</v>
      </c>
      <c r="G199" s="185">
        <v>0.9</v>
      </c>
      <c r="H199" s="159" t="s">
        <v>2249</v>
      </c>
      <c r="I199" s="183" t="s">
        <v>2248</v>
      </c>
      <c r="J199" s="157"/>
    </row>
    <row r="200" spans="1:10" s="182" customFormat="1" ht="21.95" customHeight="1" x14ac:dyDescent="0.15">
      <c r="A200" s="156" t="s">
        <v>2243</v>
      </c>
      <c r="B200" s="20" t="s">
        <v>2245</v>
      </c>
      <c r="C200" s="21" t="s">
        <v>2246</v>
      </c>
      <c r="D200" s="157">
        <v>17121</v>
      </c>
      <c r="E200" s="171">
        <v>0</v>
      </c>
      <c r="F200" s="172">
        <v>54360</v>
      </c>
      <c r="G200" s="185">
        <v>1</v>
      </c>
      <c r="H200" s="159" t="s">
        <v>2240</v>
      </c>
      <c r="I200" s="183" t="s">
        <v>2237</v>
      </c>
      <c r="J200" s="157"/>
    </row>
    <row r="201" spans="1:10" s="182" customFormat="1" ht="21.95" customHeight="1" x14ac:dyDescent="0.15">
      <c r="A201" s="156" t="s">
        <v>2273</v>
      </c>
      <c r="B201" s="44" t="s">
        <v>2250</v>
      </c>
      <c r="C201" s="42" t="s">
        <v>1383</v>
      </c>
      <c r="D201" s="164">
        <v>17126</v>
      </c>
      <c r="E201" s="171">
        <v>0</v>
      </c>
      <c r="F201" s="172">
        <v>45000</v>
      </c>
      <c r="G201" s="185">
        <v>0.3</v>
      </c>
      <c r="H201" s="159" t="s">
        <v>2274</v>
      </c>
      <c r="I201" s="187" t="s">
        <v>158</v>
      </c>
      <c r="J201" s="157"/>
    </row>
    <row r="202" spans="1:10" ht="21.95" customHeight="1" x14ac:dyDescent="0.15">
      <c r="A202" s="163" t="s">
        <v>2251</v>
      </c>
      <c r="B202" s="44" t="s">
        <v>2250</v>
      </c>
      <c r="C202" s="42" t="s">
        <v>2252</v>
      </c>
      <c r="D202" s="164">
        <v>17126</v>
      </c>
      <c r="E202" s="171">
        <v>0</v>
      </c>
      <c r="F202" s="174">
        <v>90000</v>
      </c>
      <c r="G202" s="186">
        <v>0.6</v>
      </c>
      <c r="H202" s="186" t="s">
        <v>2254</v>
      </c>
      <c r="I202" s="187" t="s">
        <v>2253</v>
      </c>
      <c r="J202" s="164"/>
    </row>
    <row r="203" spans="1:10" ht="21.95" customHeight="1" x14ac:dyDescent="0.15">
      <c r="A203" s="163" t="s">
        <v>2251</v>
      </c>
      <c r="B203" s="20" t="s">
        <v>2255</v>
      </c>
      <c r="C203" s="21" t="s">
        <v>2256</v>
      </c>
      <c r="D203" s="152">
        <v>17005</v>
      </c>
      <c r="E203" s="171">
        <v>0</v>
      </c>
      <c r="F203" s="171">
        <v>64000</v>
      </c>
      <c r="G203" s="185">
        <v>0.2</v>
      </c>
      <c r="H203" s="183" t="s">
        <v>2257</v>
      </c>
      <c r="I203" s="183" t="s">
        <v>2258</v>
      </c>
      <c r="J203" s="152"/>
    </row>
    <row r="204" spans="1:10" ht="21.95" customHeight="1" x14ac:dyDescent="0.15">
      <c r="A204" s="151" t="s">
        <v>2261</v>
      </c>
      <c r="B204" s="20" t="s">
        <v>2259</v>
      </c>
      <c r="C204" s="21" t="s">
        <v>2265</v>
      </c>
      <c r="D204" s="152">
        <v>16091</v>
      </c>
      <c r="E204" s="171">
        <v>0</v>
      </c>
      <c r="F204" s="171">
        <v>126000</v>
      </c>
      <c r="G204" s="183" t="s">
        <v>2266</v>
      </c>
      <c r="H204" s="183" t="s">
        <v>2267</v>
      </c>
      <c r="I204" s="157" t="s">
        <v>2268</v>
      </c>
      <c r="J204" s="152"/>
    </row>
    <row r="205" spans="1:10" ht="21.95" customHeight="1" x14ac:dyDescent="0.15">
      <c r="A205" s="151" t="s">
        <v>2261</v>
      </c>
      <c r="B205" s="20" t="s">
        <v>2260</v>
      </c>
      <c r="C205" s="21" t="s">
        <v>2262</v>
      </c>
      <c r="D205" s="152">
        <v>17025</v>
      </c>
      <c r="E205" s="171">
        <v>0</v>
      </c>
      <c r="F205" s="171">
        <v>44000</v>
      </c>
      <c r="G205" s="185">
        <v>1</v>
      </c>
      <c r="H205" s="183" t="s">
        <v>2263</v>
      </c>
      <c r="I205" s="157" t="s">
        <v>2264</v>
      </c>
      <c r="J205" s="152"/>
    </row>
    <row r="206" spans="1:10" ht="21.95" customHeight="1" x14ac:dyDescent="0.15">
      <c r="A206" s="151" t="s">
        <v>2261</v>
      </c>
      <c r="B206" s="20" t="s">
        <v>2269</v>
      </c>
      <c r="C206" s="21" t="s">
        <v>2270</v>
      </c>
      <c r="D206" s="152">
        <v>12014</v>
      </c>
      <c r="E206" s="171">
        <v>0</v>
      </c>
      <c r="F206" s="171">
        <v>359960</v>
      </c>
      <c r="G206" s="185">
        <v>0.4</v>
      </c>
      <c r="H206" s="183" t="s">
        <v>2272</v>
      </c>
      <c r="I206" s="157" t="s">
        <v>2271</v>
      </c>
      <c r="J206" s="152"/>
    </row>
    <row r="207" spans="1:10" ht="21.95" customHeight="1" x14ac:dyDescent="0.15">
      <c r="A207" s="151" t="s">
        <v>2261</v>
      </c>
      <c r="B207" s="20" t="s">
        <v>2275</v>
      </c>
      <c r="C207" s="21" t="s">
        <v>2276</v>
      </c>
      <c r="D207" s="152">
        <v>17114</v>
      </c>
      <c r="E207" s="171">
        <v>0</v>
      </c>
      <c r="F207" s="171">
        <v>106750</v>
      </c>
      <c r="G207" s="185">
        <v>0.5</v>
      </c>
      <c r="H207" s="183" t="s">
        <v>2278</v>
      </c>
      <c r="I207" s="157" t="s">
        <v>2277</v>
      </c>
      <c r="J207" s="152"/>
    </row>
    <row r="208" spans="1:10" ht="21.95" customHeight="1" x14ac:dyDescent="0.15">
      <c r="A208" s="151" t="s">
        <v>2281</v>
      </c>
      <c r="B208" s="20" t="s">
        <v>2279</v>
      </c>
      <c r="C208" s="21" t="s">
        <v>2289</v>
      </c>
      <c r="D208" s="152" t="s">
        <v>2288</v>
      </c>
      <c r="E208" s="171">
        <v>0</v>
      </c>
      <c r="F208" s="171">
        <v>120000</v>
      </c>
      <c r="G208" s="185">
        <v>1</v>
      </c>
      <c r="H208" s="183" t="s">
        <v>2287</v>
      </c>
      <c r="I208" s="157" t="s">
        <v>2286</v>
      </c>
      <c r="J208" s="152"/>
    </row>
    <row r="209" spans="1:10" ht="21.95" customHeight="1" x14ac:dyDescent="0.15">
      <c r="A209" s="151" t="s">
        <v>2281</v>
      </c>
      <c r="B209" s="20" t="s">
        <v>2279</v>
      </c>
      <c r="C209" s="21" t="s">
        <v>2285</v>
      </c>
      <c r="D209" s="152">
        <v>17119</v>
      </c>
      <c r="E209" s="171">
        <v>0</v>
      </c>
      <c r="F209" s="171">
        <v>41946</v>
      </c>
      <c r="G209" s="185">
        <v>0.1</v>
      </c>
      <c r="H209" s="183" t="s">
        <v>2290</v>
      </c>
      <c r="I209" s="157" t="s">
        <v>2286</v>
      </c>
      <c r="J209" s="152"/>
    </row>
    <row r="210" spans="1:10" ht="21.95" customHeight="1" x14ac:dyDescent="0.15">
      <c r="A210" s="151" t="s">
        <v>2281</v>
      </c>
      <c r="B210" s="20" t="s">
        <v>2280</v>
      </c>
      <c r="C210" s="21" t="s">
        <v>2282</v>
      </c>
      <c r="D210" s="152">
        <v>12050</v>
      </c>
      <c r="E210" s="171">
        <v>0</v>
      </c>
      <c r="F210" s="171">
        <v>50000</v>
      </c>
      <c r="G210" s="185" t="s">
        <v>2283</v>
      </c>
      <c r="H210" s="185" t="s">
        <v>2283</v>
      </c>
      <c r="I210" s="157" t="s">
        <v>2284</v>
      </c>
      <c r="J210" s="152"/>
    </row>
    <row r="211" spans="1:10" ht="21.95" customHeight="1" x14ac:dyDescent="0.15">
      <c r="A211" s="151" t="s">
        <v>2291</v>
      </c>
      <c r="B211" s="20" t="s">
        <v>2292</v>
      </c>
      <c r="C211" s="21" t="s">
        <v>2293</v>
      </c>
      <c r="D211" s="152">
        <v>17134</v>
      </c>
      <c r="E211" s="171">
        <v>0</v>
      </c>
      <c r="F211" s="171">
        <v>10000</v>
      </c>
      <c r="G211" s="185">
        <v>1</v>
      </c>
      <c r="H211" s="183" t="s">
        <v>1948</v>
      </c>
      <c r="I211" s="157" t="s">
        <v>2294</v>
      </c>
      <c r="J211" s="152"/>
    </row>
    <row r="212" spans="1:10" ht="21.95" customHeight="1" x14ac:dyDescent="0.15">
      <c r="A212" s="151" t="s">
        <v>2296</v>
      </c>
      <c r="B212" s="20" t="s">
        <v>2295</v>
      </c>
      <c r="C212" s="21" t="s">
        <v>2297</v>
      </c>
      <c r="D212" s="152">
        <v>16113</v>
      </c>
      <c r="E212" s="171">
        <v>0</v>
      </c>
      <c r="F212" s="171">
        <v>80000</v>
      </c>
      <c r="G212" s="185">
        <v>1</v>
      </c>
      <c r="H212" s="183" t="s">
        <v>285</v>
      </c>
      <c r="I212" s="157" t="s">
        <v>2299</v>
      </c>
      <c r="J212" s="152"/>
    </row>
    <row r="213" spans="1:10" ht="21.95" customHeight="1" x14ac:dyDescent="0.15">
      <c r="A213" s="151" t="s">
        <v>2296</v>
      </c>
      <c r="B213" s="20" t="s">
        <v>2295</v>
      </c>
      <c r="C213" s="21" t="s">
        <v>2298</v>
      </c>
      <c r="D213" s="152">
        <v>16114</v>
      </c>
      <c r="E213" s="171">
        <v>0</v>
      </c>
      <c r="F213" s="171">
        <v>80000</v>
      </c>
      <c r="G213" s="185">
        <v>1</v>
      </c>
      <c r="H213" s="183" t="s">
        <v>285</v>
      </c>
      <c r="I213" s="157" t="s">
        <v>2299</v>
      </c>
      <c r="J213" s="152"/>
    </row>
    <row r="214" spans="1:10" ht="21.95" customHeight="1" x14ac:dyDescent="0.15">
      <c r="A214" s="151" t="s">
        <v>2301</v>
      </c>
      <c r="B214" s="20" t="s">
        <v>2300</v>
      </c>
      <c r="C214" s="21" t="s">
        <v>2302</v>
      </c>
      <c r="D214" s="152">
        <v>17042</v>
      </c>
      <c r="E214" s="171">
        <v>0</v>
      </c>
      <c r="F214" s="171">
        <v>171000</v>
      </c>
      <c r="G214" s="185">
        <v>0.3</v>
      </c>
      <c r="H214" s="185" t="s">
        <v>2303</v>
      </c>
      <c r="I214" s="157" t="s">
        <v>2304</v>
      </c>
      <c r="J214" s="152"/>
    </row>
    <row r="215" spans="1:10" ht="21.95" customHeight="1" x14ac:dyDescent="0.15">
      <c r="A215" s="151" t="s">
        <v>2301</v>
      </c>
      <c r="B215" s="20" t="s">
        <v>2305</v>
      </c>
      <c r="C215" s="21" t="s">
        <v>2306</v>
      </c>
      <c r="D215" s="152">
        <v>15063</v>
      </c>
      <c r="E215" s="171">
        <v>0</v>
      </c>
      <c r="F215" s="171">
        <v>198000</v>
      </c>
      <c r="G215" s="183" t="s">
        <v>2307</v>
      </c>
      <c r="H215" s="183" t="s">
        <v>2308</v>
      </c>
      <c r="I215" s="157" t="s">
        <v>190</v>
      </c>
      <c r="J215" s="152"/>
    </row>
    <row r="216" spans="1:10" ht="21.95" customHeight="1" x14ac:dyDescent="0.15">
      <c r="A216" s="151"/>
      <c r="B216" s="20"/>
      <c r="C216" s="21"/>
      <c r="D216" s="152"/>
      <c r="E216" s="171"/>
      <c r="F216" s="171"/>
      <c r="G216" s="154"/>
      <c r="H216" s="154"/>
      <c r="I216" s="152"/>
      <c r="J216" s="152"/>
    </row>
    <row r="217" spans="1:10" ht="21.75" customHeight="1" x14ac:dyDescent="0.15">
      <c r="A217" s="1168" t="s">
        <v>2175</v>
      </c>
      <c r="B217" s="1169"/>
      <c r="C217" s="1169"/>
      <c r="D217" s="1170"/>
      <c r="E217" s="188">
        <f>SUM(E3:E216)</f>
        <v>1685710</v>
      </c>
      <c r="F217" s="189">
        <f>SUM(F3:F216)</f>
        <v>18797275</v>
      </c>
      <c r="G217" s="152"/>
      <c r="H217" s="152"/>
      <c r="I217" s="152"/>
      <c r="J217" s="152"/>
    </row>
    <row r="218" spans="1:10" ht="11.25" x14ac:dyDescent="0.15">
      <c r="F218" s="190"/>
      <c r="G218" s="176" t="s">
        <v>2528</v>
      </c>
    </row>
  </sheetData>
  <autoFilter ref="C1:C218" xr:uid="{00000000-0009-0000-0000-000002000000}"/>
  <mergeCells count="6">
    <mergeCell ref="J62:J63"/>
    <mergeCell ref="A1:I1"/>
    <mergeCell ref="A217:D217"/>
    <mergeCell ref="B62:B63"/>
    <mergeCell ref="A62:A63"/>
    <mergeCell ref="I62:I63"/>
  </mergeCells>
  <phoneticPr fontId="11" type="noConversion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9"/>
  <sheetViews>
    <sheetView workbookViewId="0">
      <selection sqref="A1:G1"/>
    </sheetView>
  </sheetViews>
  <sheetFormatPr defaultColWidth="13.625" defaultRowHeight="21.75" customHeight="1" x14ac:dyDescent="0.15"/>
  <cols>
    <col min="1" max="1" width="11.375" style="14" customWidth="1"/>
    <col min="2" max="2" width="23.5" style="14" customWidth="1"/>
    <col min="3" max="3" width="18.125" style="14" customWidth="1"/>
    <col min="4" max="4" width="11.875" style="14" customWidth="1"/>
    <col min="5" max="5" width="17.125" style="15" bestFit="1" customWidth="1"/>
    <col min="6" max="6" width="18.25" style="14" customWidth="1"/>
    <col min="7" max="7" width="8.875" style="14" customWidth="1"/>
    <col min="8" max="8" width="21.125" style="14" customWidth="1"/>
    <col min="9" max="16384" width="13.625" style="14"/>
  </cols>
  <sheetData>
    <row r="1" spans="1:8" ht="40.5" customHeight="1" x14ac:dyDescent="0.15">
      <c r="A1" s="1176" t="s">
        <v>1140</v>
      </c>
      <c r="B1" s="1176"/>
      <c r="C1" s="1176"/>
      <c r="D1" s="1176"/>
      <c r="E1" s="1176"/>
      <c r="F1" s="1176"/>
      <c r="G1" s="1176"/>
    </row>
    <row r="2" spans="1:8" ht="21.75" customHeight="1" x14ac:dyDescent="0.15">
      <c r="A2" s="16" t="s">
        <v>127</v>
      </c>
      <c r="B2" s="16" t="s">
        <v>128</v>
      </c>
      <c r="C2" s="16" t="s">
        <v>129</v>
      </c>
      <c r="D2" s="16" t="s">
        <v>130</v>
      </c>
      <c r="E2" s="17" t="s">
        <v>131</v>
      </c>
      <c r="F2" s="16" t="s">
        <v>132</v>
      </c>
      <c r="G2" s="16" t="s">
        <v>133</v>
      </c>
      <c r="H2" s="13"/>
    </row>
    <row r="3" spans="1:8" ht="21.75" customHeight="1" x14ac:dyDescent="0.15">
      <c r="A3" s="151" t="s">
        <v>1136</v>
      </c>
      <c r="B3" s="11" t="s">
        <v>1135</v>
      </c>
      <c r="C3" s="21" t="s">
        <v>1137</v>
      </c>
      <c r="D3" s="152">
        <v>13025</v>
      </c>
      <c r="E3" s="153">
        <v>80000</v>
      </c>
      <c r="F3" s="152" t="s">
        <v>230</v>
      </c>
      <c r="G3" s="152" t="s">
        <v>190</v>
      </c>
      <c r="H3" s="152"/>
    </row>
    <row r="4" spans="1:8" ht="21.75" customHeight="1" x14ac:dyDescent="0.15">
      <c r="A4" s="151" t="s">
        <v>1149</v>
      </c>
      <c r="B4" s="20" t="s">
        <v>1141</v>
      </c>
      <c r="C4" s="21" t="s">
        <v>1142</v>
      </c>
      <c r="D4" s="152">
        <v>14040</v>
      </c>
      <c r="E4" s="153">
        <v>14200</v>
      </c>
      <c r="F4" s="154" t="s">
        <v>1143</v>
      </c>
      <c r="G4" s="152" t="s">
        <v>1144</v>
      </c>
      <c r="H4" s="152"/>
    </row>
    <row r="5" spans="1:8" ht="21.75" customHeight="1" x14ac:dyDescent="0.15">
      <c r="A5" s="151" t="s">
        <v>1150</v>
      </c>
      <c r="B5" s="11" t="s">
        <v>1145</v>
      </c>
      <c r="C5" s="21" t="s">
        <v>1146</v>
      </c>
      <c r="D5" s="152">
        <v>15047</v>
      </c>
      <c r="E5" s="153">
        <v>133000</v>
      </c>
      <c r="F5" s="152" t="s">
        <v>1147</v>
      </c>
      <c r="G5" s="152" t="s">
        <v>1148</v>
      </c>
      <c r="H5" s="152"/>
    </row>
    <row r="6" spans="1:8" ht="21.75" customHeight="1" x14ac:dyDescent="0.15">
      <c r="A6" s="151" t="s">
        <v>1151</v>
      </c>
      <c r="B6" s="20" t="s">
        <v>28</v>
      </c>
      <c r="C6" s="21" t="s">
        <v>1156</v>
      </c>
      <c r="D6" s="152">
        <v>15048</v>
      </c>
      <c r="E6" s="153">
        <v>38000</v>
      </c>
      <c r="F6" s="154" t="s">
        <v>1152</v>
      </c>
      <c r="G6" s="152" t="s">
        <v>1155</v>
      </c>
      <c r="H6" s="152"/>
    </row>
    <row r="7" spans="1:8" ht="21.75" customHeight="1" x14ac:dyDescent="0.15">
      <c r="A7" s="151" t="s">
        <v>1151</v>
      </c>
      <c r="B7" s="11" t="s">
        <v>1153</v>
      </c>
      <c r="C7" s="21" t="s">
        <v>107</v>
      </c>
      <c r="D7" s="152">
        <v>15003</v>
      </c>
      <c r="E7" s="153">
        <v>78000</v>
      </c>
      <c r="F7" s="152" t="s">
        <v>230</v>
      </c>
      <c r="G7" s="152" t="s">
        <v>1154</v>
      </c>
      <c r="H7" s="152"/>
    </row>
    <row r="8" spans="1:8" ht="21.75" customHeight="1" x14ac:dyDescent="0.15">
      <c r="A8" s="151" t="s">
        <v>1157</v>
      </c>
      <c r="B8" s="20" t="s">
        <v>1158</v>
      </c>
      <c r="C8" s="21" t="s">
        <v>81</v>
      </c>
      <c r="D8" s="152">
        <v>12030</v>
      </c>
      <c r="E8" s="153">
        <v>225150</v>
      </c>
      <c r="F8" s="154" t="s">
        <v>1163</v>
      </c>
      <c r="G8" s="152" t="s">
        <v>183</v>
      </c>
      <c r="H8" s="152"/>
    </row>
    <row r="9" spans="1:8" ht="21.75" customHeight="1" x14ac:dyDescent="0.15">
      <c r="A9" s="151" t="s">
        <v>1160</v>
      </c>
      <c r="B9" s="11" t="s">
        <v>1159</v>
      </c>
      <c r="C9" s="21" t="s">
        <v>1161</v>
      </c>
      <c r="D9" s="152">
        <v>15065</v>
      </c>
      <c r="E9" s="153">
        <v>57000</v>
      </c>
      <c r="F9" s="152" t="s">
        <v>1162</v>
      </c>
      <c r="G9" s="152" t="s">
        <v>1164</v>
      </c>
      <c r="H9" s="152"/>
    </row>
    <row r="10" spans="1:8" ht="21.75" customHeight="1" x14ac:dyDescent="0.15">
      <c r="A10" s="151" t="s">
        <v>1165</v>
      </c>
      <c r="B10" s="20" t="s">
        <v>1166</v>
      </c>
      <c r="C10" s="21" t="s">
        <v>1167</v>
      </c>
      <c r="D10" s="152">
        <v>15017</v>
      </c>
      <c r="E10" s="153">
        <v>161500</v>
      </c>
      <c r="F10" s="154" t="s">
        <v>1168</v>
      </c>
      <c r="G10" s="152" t="s">
        <v>1164</v>
      </c>
      <c r="H10" s="152"/>
    </row>
    <row r="11" spans="1:8" ht="21.75" customHeight="1" x14ac:dyDescent="0.15">
      <c r="A11" s="151" t="s">
        <v>1170</v>
      </c>
      <c r="B11" s="11" t="s">
        <v>1169</v>
      </c>
      <c r="C11" s="21" t="s">
        <v>1171</v>
      </c>
      <c r="D11" s="152">
        <v>15023</v>
      </c>
      <c r="E11" s="153">
        <v>232800</v>
      </c>
      <c r="F11" s="152" t="s">
        <v>1172</v>
      </c>
      <c r="G11" s="152" t="s">
        <v>1173</v>
      </c>
      <c r="H11" s="152"/>
    </row>
    <row r="12" spans="1:8" ht="21.75" customHeight="1" x14ac:dyDescent="0.15">
      <c r="A12" s="151" t="s">
        <v>1170</v>
      </c>
      <c r="B12" s="20" t="s">
        <v>1174</v>
      </c>
      <c r="C12" s="21" t="s">
        <v>1176</v>
      </c>
      <c r="D12" s="152">
        <v>14002</v>
      </c>
      <c r="E12" s="153">
        <v>294450</v>
      </c>
      <c r="F12" s="154" t="s">
        <v>1175</v>
      </c>
      <c r="G12" s="152" t="s">
        <v>170</v>
      </c>
      <c r="H12" s="152"/>
    </row>
    <row r="13" spans="1:8" ht="21.75" customHeight="1" x14ac:dyDescent="0.15">
      <c r="A13" s="151" t="s">
        <v>1177</v>
      </c>
      <c r="B13" s="11" t="s">
        <v>103</v>
      </c>
      <c r="C13" s="21" t="s">
        <v>104</v>
      </c>
      <c r="D13" s="152">
        <v>13013</v>
      </c>
      <c r="E13" s="153">
        <v>55260</v>
      </c>
      <c r="F13" s="152" t="s">
        <v>1178</v>
      </c>
      <c r="G13" s="152" t="s">
        <v>1179</v>
      </c>
      <c r="H13" s="152"/>
    </row>
    <row r="14" spans="1:8" ht="21.75" customHeight="1" x14ac:dyDescent="0.15">
      <c r="A14" s="151" t="s">
        <v>1177</v>
      </c>
      <c r="B14" s="20" t="s">
        <v>103</v>
      </c>
      <c r="C14" s="21" t="s">
        <v>104</v>
      </c>
      <c r="D14" s="152">
        <v>13014</v>
      </c>
      <c r="E14" s="153">
        <v>22500</v>
      </c>
      <c r="F14" s="154" t="s">
        <v>1178</v>
      </c>
      <c r="G14" s="152" t="s">
        <v>1179</v>
      </c>
      <c r="H14" s="152"/>
    </row>
    <row r="15" spans="1:8" ht="21.75" customHeight="1" x14ac:dyDescent="0.15">
      <c r="A15" s="151" t="s">
        <v>1177</v>
      </c>
      <c r="B15" s="11" t="s">
        <v>1180</v>
      </c>
      <c r="C15" s="21" t="s">
        <v>1181</v>
      </c>
      <c r="D15" s="152">
        <v>15027</v>
      </c>
      <c r="E15" s="153">
        <v>132570</v>
      </c>
      <c r="F15" s="152" t="s">
        <v>1182</v>
      </c>
      <c r="G15" s="152" t="s">
        <v>1183</v>
      </c>
      <c r="H15" s="152"/>
    </row>
    <row r="16" spans="1:8" ht="21.75" customHeight="1" x14ac:dyDescent="0.15">
      <c r="A16" s="151" t="s">
        <v>1177</v>
      </c>
      <c r="B16" s="20" t="s">
        <v>77</v>
      </c>
      <c r="C16" s="21" t="s">
        <v>1184</v>
      </c>
      <c r="D16" s="152">
        <v>16011</v>
      </c>
      <c r="E16" s="153">
        <v>180000</v>
      </c>
      <c r="F16" s="154" t="s">
        <v>1185</v>
      </c>
      <c r="G16" s="152" t="s">
        <v>1186</v>
      </c>
      <c r="H16" s="152"/>
    </row>
    <row r="17" spans="1:8" ht="21.75" customHeight="1" x14ac:dyDescent="0.15">
      <c r="A17" s="151" t="s">
        <v>1194</v>
      </c>
      <c r="B17" s="11" t="s">
        <v>87</v>
      </c>
      <c r="C17" s="21" t="s">
        <v>1187</v>
      </c>
      <c r="D17" s="152" t="s">
        <v>1188</v>
      </c>
      <c r="E17" s="153">
        <v>15600</v>
      </c>
      <c r="F17" s="152" t="s">
        <v>1190</v>
      </c>
      <c r="G17" s="152" t="s">
        <v>1189</v>
      </c>
      <c r="H17" s="152"/>
    </row>
    <row r="18" spans="1:8" ht="21.75" customHeight="1" x14ac:dyDescent="0.15">
      <c r="A18" s="151" t="s">
        <v>1195</v>
      </c>
      <c r="B18" s="20" t="s">
        <v>68</v>
      </c>
      <c r="C18" s="21" t="s">
        <v>1191</v>
      </c>
      <c r="D18" s="152">
        <v>15025</v>
      </c>
      <c r="E18" s="153">
        <v>160000</v>
      </c>
      <c r="F18" s="154" t="s">
        <v>1192</v>
      </c>
      <c r="G18" s="152" t="s">
        <v>1193</v>
      </c>
      <c r="H18" s="152"/>
    </row>
    <row r="19" spans="1:8" ht="21.75" customHeight="1" x14ac:dyDescent="0.15">
      <c r="A19" s="151" t="s">
        <v>1196</v>
      </c>
      <c r="B19" s="11" t="s">
        <v>1197</v>
      </c>
      <c r="C19" s="21" t="s">
        <v>1198</v>
      </c>
      <c r="D19" s="152">
        <v>15029</v>
      </c>
      <c r="E19" s="153">
        <v>306000</v>
      </c>
      <c r="F19" s="152" t="s">
        <v>1199</v>
      </c>
      <c r="G19" s="152" t="s">
        <v>1200</v>
      </c>
      <c r="H19" s="152"/>
    </row>
    <row r="20" spans="1:8" ht="21.75" customHeight="1" x14ac:dyDescent="0.15">
      <c r="A20" s="151" t="s">
        <v>1202</v>
      </c>
      <c r="B20" s="20" t="s">
        <v>1201</v>
      </c>
      <c r="C20" s="21" t="s">
        <v>1203</v>
      </c>
      <c r="D20" s="152">
        <v>15037</v>
      </c>
      <c r="E20" s="153">
        <v>285000</v>
      </c>
      <c r="F20" s="154" t="s">
        <v>1204</v>
      </c>
      <c r="G20" s="152" t="s">
        <v>1205</v>
      </c>
      <c r="H20" s="152"/>
    </row>
    <row r="21" spans="1:8" ht="21.75" customHeight="1" x14ac:dyDescent="0.15">
      <c r="A21" s="151" t="s">
        <v>1206</v>
      </c>
      <c r="B21" s="11" t="s">
        <v>113</v>
      </c>
      <c r="C21" s="21" t="s">
        <v>1207</v>
      </c>
      <c r="D21" s="152">
        <v>16003</v>
      </c>
      <c r="E21" s="153">
        <v>9500</v>
      </c>
      <c r="F21" s="152" t="s">
        <v>1208</v>
      </c>
      <c r="G21" s="152" t="s">
        <v>1209</v>
      </c>
      <c r="H21" s="152"/>
    </row>
    <row r="22" spans="1:8" ht="21.75" customHeight="1" x14ac:dyDescent="0.15">
      <c r="A22" s="151" t="s">
        <v>1210</v>
      </c>
      <c r="B22" s="20" t="s">
        <v>1211</v>
      </c>
      <c r="C22" s="21" t="s">
        <v>1214</v>
      </c>
      <c r="D22" s="152">
        <v>13047</v>
      </c>
      <c r="E22" s="153">
        <v>43260</v>
      </c>
      <c r="F22" s="154" t="s">
        <v>1212</v>
      </c>
      <c r="G22" s="152" t="s">
        <v>1213</v>
      </c>
      <c r="H22" s="152"/>
    </row>
    <row r="23" spans="1:8" ht="21.75" customHeight="1" x14ac:dyDescent="0.15">
      <c r="A23" s="151" t="s">
        <v>1219</v>
      </c>
      <c r="B23" s="11" t="s">
        <v>1217</v>
      </c>
      <c r="C23" s="21" t="s">
        <v>1218</v>
      </c>
      <c r="D23" s="152">
        <v>13011</v>
      </c>
      <c r="E23" s="153">
        <v>151110</v>
      </c>
      <c r="F23" s="152" t="s">
        <v>1215</v>
      </c>
      <c r="G23" s="152" t="s">
        <v>1216</v>
      </c>
      <c r="H23" s="152"/>
    </row>
    <row r="24" spans="1:8" ht="21.75" customHeight="1" x14ac:dyDescent="0.15">
      <c r="A24" s="151" t="s">
        <v>1219</v>
      </c>
      <c r="B24" s="20" t="s">
        <v>77</v>
      </c>
      <c r="C24" s="21" t="s">
        <v>1220</v>
      </c>
      <c r="D24" s="152">
        <v>14060</v>
      </c>
      <c r="E24" s="153">
        <v>7000</v>
      </c>
      <c r="F24" s="154" t="s">
        <v>1221</v>
      </c>
      <c r="G24" s="152" t="s">
        <v>1222</v>
      </c>
      <c r="H24" s="152"/>
    </row>
    <row r="25" spans="1:8" ht="21.75" customHeight="1" x14ac:dyDescent="0.15">
      <c r="A25" s="151" t="s">
        <v>1223</v>
      </c>
      <c r="B25" s="11" t="s">
        <v>61</v>
      </c>
      <c r="C25" s="21" t="s">
        <v>1224</v>
      </c>
      <c r="D25" s="152">
        <v>16010</v>
      </c>
      <c r="E25" s="153">
        <v>180000</v>
      </c>
      <c r="F25" s="152" t="s">
        <v>1225</v>
      </c>
      <c r="G25" s="152" t="s">
        <v>1226</v>
      </c>
      <c r="H25" s="152"/>
    </row>
    <row r="26" spans="1:8" ht="21.75" customHeight="1" x14ac:dyDescent="0.15">
      <c r="A26" s="151" t="s">
        <v>1227</v>
      </c>
      <c r="B26" s="20" t="s">
        <v>30</v>
      </c>
      <c r="C26" s="21" t="s">
        <v>1228</v>
      </c>
      <c r="D26" s="152">
        <v>15024</v>
      </c>
      <c r="E26" s="153">
        <v>160000</v>
      </c>
      <c r="F26" s="152" t="s">
        <v>1225</v>
      </c>
      <c r="G26" s="152" t="s">
        <v>162</v>
      </c>
      <c r="H26" s="152"/>
    </row>
    <row r="27" spans="1:8" ht="21.75" customHeight="1" x14ac:dyDescent="0.15">
      <c r="A27" s="151" t="s">
        <v>1229</v>
      </c>
      <c r="B27" s="11" t="s">
        <v>1197</v>
      </c>
      <c r="C27" s="21" t="s">
        <v>1232</v>
      </c>
      <c r="D27" s="152">
        <v>15028</v>
      </c>
      <c r="E27" s="153">
        <v>136000</v>
      </c>
      <c r="F27" s="152" t="s">
        <v>1230</v>
      </c>
      <c r="G27" s="152" t="s">
        <v>1231</v>
      </c>
      <c r="H27" s="152"/>
    </row>
    <row r="28" spans="1:8" ht="21.75" customHeight="1" x14ac:dyDescent="0.15">
      <c r="A28" s="151" t="s">
        <v>1229</v>
      </c>
      <c r="B28" s="20" t="s">
        <v>1197</v>
      </c>
      <c r="C28" s="21" t="s">
        <v>1233</v>
      </c>
      <c r="D28" s="152">
        <v>15029</v>
      </c>
      <c r="E28" s="153">
        <v>136000</v>
      </c>
      <c r="F28" s="154" t="s">
        <v>1230</v>
      </c>
      <c r="G28" s="152" t="s">
        <v>1231</v>
      </c>
      <c r="H28" s="152"/>
    </row>
    <row r="29" spans="1:8" ht="21.75" customHeight="1" x14ac:dyDescent="0.15">
      <c r="A29" s="151" t="s">
        <v>1236</v>
      </c>
      <c r="B29" s="11" t="s">
        <v>1237</v>
      </c>
      <c r="C29" s="21" t="s">
        <v>1238</v>
      </c>
      <c r="D29" s="152">
        <v>14049</v>
      </c>
      <c r="E29" s="153">
        <v>88000</v>
      </c>
      <c r="F29" s="152" t="s">
        <v>1234</v>
      </c>
      <c r="G29" s="152" t="s">
        <v>1235</v>
      </c>
      <c r="H29" s="152"/>
    </row>
    <row r="30" spans="1:8" ht="21.75" customHeight="1" x14ac:dyDescent="0.15">
      <c r="A30" s="151" t="s">
        <v>1239</v>
      </c>
      <c r="B30" s="20" t="s">
        <v>1240</v>
      </c>
      <c r="C30" s="21" t="s">
        <v>1245</v>
      </c>
      <c r="D30" s="152">
        <v>15035</v>
      </c>
      <c r="E30" s="153">
        <v>85000</v>
      </c>
      <c r="F30" s="154" t="s">
        <v>1242</v>
      </c>
      <c r="G30" s="152" t="s">
        <v>1243</v>
      </c>
      <c r="H30" s="152"/>
    </row>
    <row r="31" spans="1:8" ht="21.75" customHeight="1" x14ac:dyDescent="0.15">
      <c r="A31" s="151" t="s">
        <v>1239</v>
      </c>
      <c r="B31" s="11" t="s">
        <v>1244</v>
      </c>
      <c r="C31" s="21" t="s">
        <v>1241</v>
      </c>
      <c r="D31" s="152">
        <v>15031</v>
      </c>
      <c r="E31" s="153">
        <v>85000</v>
      </c>
      <c r="F31" s="154" t="s">
        <v>1242</v>
      </c>
      <c r="G31" s="152" t="s">
        <v>1243</v>
      </c>
      <c r="H31" s="152"/>
    </row>
    <row r="32" spans="1:8" ht="21.75" customHeight="1" x14ac:dyDescent="0.15">
      <c r="A32" s="151" t="s">
        <v>1239</v>
      </c>
      <c r="B32" s="11" t="s">
        <v>1244</v>
      </c>
      <c r="C32" s="21" t="s">
        <v>1246</v>
      </c>
      <c r="D32" s="152">
        <v>15032</v>
      </c>
      <c r="E32" s="153">
        <v>85000</v>
      </c>
      <c r="F32" s="154" t="s">
        <v>1242</v>
      </c>
      <c r="G32" s="152" t="s">
        <v>1243</v>
      </c>
      <c r="H32" s="152"/>
    </row>
    <row r="33" spans="1:8" ht="21.75" customHeight="1" x14ac:dyDescent="0.15">
      <c r="A33" s="151" t="s">
        <v>1239</v>
      </c>
      <c r="B33" s="11" t="s">
        <v>1247</v>
      </c>
      <c r="C33" s="21" t="s">
        <v>1248</v>
      </c>
      <c r="D33" s="152">
        <v>15034</v>
      </c>
      <c r="E33" s="153">
        <v>85000</v>
      </c>
      <c r="F33" s="154" t="s">
        <v>285</v>
      </c>
      <c r="G33" s="152" t="s">
        <v>162</v>
      </c>
      <c r="H33" s="152"/>
    </row>
    <row r="34" spans="1:8" ht="21.75" customHeight="1" x14ac:dyDescent="0.15">
      <c r="A34" s="151" t="s">
        <v>1239</v>
      </c>
      <c r="B34" s="11" t="s">
        <v>1249</v>
      </c>
      <c r="C34" s="21" t="s">
        <v>1250</v>
      </c>
      <c r="D34" s="152">
        <v>15033</v>
      </c>
      <c r="E34" s="153">
        <v>85000</v>
      </c>
      <c r="F34" s="154" t="s">
        <v>285</v>
      </c>
      <c r="G34" s="152" t="s">
        <v>162</v>
      </c>
      <c r="H34" s="152"/>
    </row>
    <row r="35" spans="1:8" ht="21.75" customHeight="1" x14ac:dyDescent="0.15">
      <c r="A35" s="151" t="s">
        <v>1255</v>
      </c>
      <c r="B35" s="11" t="s">
        <v>1251</v>
      </c>
      <c r="C35" s="21" t="s">
        <v>1252</v>
      </c>
      <c r="D35" s="152">
        <v>15056</v>
      </c>
      <c r="E35" s="153">
        <v>85000</v>
      </c>
      <c r="F35" s="154" t="s">
        <v>1253</v>
      </c>
      <c r="G35" s="152" t="s">
        <v>1254</v>
      </c>
      <c r="H35" s="152"/>
    </row>
    <row r="36" spans="1:8" ht="21.75" customHeight="1" x14ac:dyDescent="0.15">
      <c r="A36" s="151" t="s">
        <v>1256</v>
      </c>
      <c r="B36" s="11" t="s">
        <v>1257</v>
      </c>
      <c r="C36" s="21" t="s">
        <v>1258</v>
      </c>
      <c r="D36" s="152">
        <v>16013</v>
      </c>
      <c r="E36" s="153">
        <v>60000</v>
      </c>
      <c r="F36" s="154" t="s">
        <v>1253</v>
      </c>
      <c r="G36" s="152" t="s">
        <v>165</v>
      </c>
      <c r="H36" s="152"/>
    </row>
    <row r="37" spans="1:8" ht="21.75" customHeight="1" x14ac:dyDescent="0.15">
      <c r="A37" s="151" t="s">
        <v>1256</v>
      </c>
      <c r="B37" s="11" t="s">
        <v>1259</v>
      </c>
      <c r="C37" s="21" t="s">
        <v>1258</v>
      </c>
      <c r="D37" s="152">
        <v>16013</v>
      </c>
      <c r="E37" s="153">
        <v>60000</v>
      </c>
      <c r="F37" s="154" t="s">
        <v>1253</v>
      </c>
      <c r="G37" s="152" t="s">
        <v>165</v>
      </c>
      <c r="H37" s="152"/>
    </row>
    <row r="38" spans="1:8" ht="21.75" customHeight="1" x14ac:dyDescent="0.15">
      <c r="A38" s="151" t="s">
        <v>1260</v>
      </c>
      <c r="B38" s="11" t="s">
        <v>1265</v>
      </c>
      <c r="C38" s="21" t="s">
        <v>1266</v>
      </c>
      <c r="D38" s="152">
        <v>16018</v>
      </c>
      <c r="E38" s="153">
        <v>60000</v>
      </c>
      <c r="F38" s="154" t="s">
        <v>1185</v>
      </c>
      <c r="G38" s="152" t="s">
        <v>165</v>
      </c>
      <c r="H38" s="152"/>
    </row>
    <row r="39" spans="1:8" ht="21.75" customHeight="1" x14ac:dyDescent="0.15">
      <c r="A39" s="151" t="s">
        <v>1260</v>
      </c>
      <c r="B39" s="11" t="s">
        <v>38</v>
      </c>
      <c r="C39" s="21" t="s">
        <v>1264</v>
      </c>
      <c r="D39" s="152">
        <v>16016</v>
      </c>
      <c r="E39" s="153">
        <v>60000</v>
      </c>
      <c r="F39" s="154" t="s">
        <v>1185</v>
      </c>
      <c r="G39" s="152" t="s">
        <v>165</v>
      </c>
      <c r="H39" s="152"/>
    </row>
    <row r="40" spans="1:8" ht="21.75" customHeight="1" x14ac:dyDescent="0.15">
      <c r="A40" s="151" t="s">
        <v>1260</v>
      </c>
      <c r="B40" s="20" t="s">
        <v>1261</v>
      </c>
      <c r="C40" s="21" t="s">
        <v>1263</v>
      </c>
      <c r="D40" s="152">
        <v>15038</v>
      </c>
      <c r="E40" s="153">
        <v>267000</v>
      </c>
      <c r="F40" s="154" t="s">
        <v>1262</v>
      </c>
      <c r="G40" s="152" t="s">
        <v>170</v>
      </c>
      <c r="H40" s="152"/>
    </row>
    <row r="41" spans="1:8" ht="21.75" customHeight="1" x14ac:dyDescent="0.15">
      <c r="A41" s="151" t="s">
        <v>1267</v>
      </c>
      <c r="B41" s="11" t="s">
        <v>1268</v>
      </c>
      <c r="C41" s="21" t="s">
        <v>1218</v>
      </c>
      <c r="D41" s="152">
        <v>16015</v>
      </c>
      <c r="E41" s="153">
        <v>99300</v>
      </c>
      <c r="F41" s="154" t="s">
        <v>1269</v>
      </c>
      <c r="G41" s="152" t="s">
        <v>1270</v>
      </c>
      <c r="H41" s="152"/>
    </row>
    <row r="42" spans="1:8" ht="21.75" customHeight="1" x14ac:dyDescent="0.15">
      <c r="A42" s="151" t="s">
        <v>1267</v>
      </c>
      <c r="B42" s="11" t="s">
        <v>1271</v>
      </c>
      <c r="C42" s="21" t="s">
        <v>1272</v>
      </c>
      <c r="D42" s="152">
        <v>11019</v>
      </c>
      <c r="E42" s="153">
        <v>60000</v>
      </c>
      <c r="F42" s="154" t="s">
        <v>1273</v>
      </c>
      <c r="G42" s="152" t="s">
        <v>1274</v>
      </c>
      <c r="H42" s="152"/>
    </row>
    <row r="43" spans="1:8" ht="21.75" customHeight="1" x14ac:dyDescent="0.15">
      <c r="A43" s="151" t="s">
        <v>1277</v>
      </c>
      <c r="B43" s="11" t="s">
        <v>1275</v>
      </c>
      <c r="C43" s="21" t="s">
        <v>1276</v>
      </c>
      <c r="D43" s="152">
        <v>16024</v>
      </c>
      <c r="E43" s="153">
        <v>60000</v>
      </c>
      <c r="F43" s="152" t="s">
        <v>1278</v>
      </c>
      <c r="G43" s="152" t="s">
        <v>1274</v>
      </c>
      <c r="H43" s="152"/>
    </row>
    <row r="44" spans="1:8" ht="21.75" customHeight="1" x14ac:dyDescent="0.15">
      <c r="A44" s="151" t="s">
        <v>1277</v>
      </c>
      <c r="B44" s="11" t="s">
        <v>1279</v>
      </c>
      <c r="C44" s="21" t="s">
        <v>1280</v>
      </c>
      <c r="D44" s="152">
        <v>16019</v>
      </c>
      <c r="E44" s="153">
        <v>60000</v>
      </c>
      <c r="F44" s="152" t="s">
        <v>1278</v>
      </c>
      <c r="G44" s="152" t="s">
        <v>1274</v>
      </c>
      <c r="H44" s="152"/>
    </row>
    <row r="45" spans="1:8" ht="21.75" customHeight="1" x14ac:dyDescent="0.15">
      <c r="A45" s="151" t="s">
        <v>1282</v>
      </c>
      <c r="B45" s="11" t="s">
        <v>1281</v>
      </c>
      <c r="C45" s="21" t="s">
        <v>1285</v>
      </c>
      <c r="D45" s="152">
        <v>15058</v>
      </c>
      <c r="E45" s="153">
        <v>160000</v>
      </c>
      <c r="F45" s="154" t="s">
        <v>1284</v>
      </c>
      <c r="G45" s="152" t="s">
        <v>1283</v>
      </c>
      <c r="H45" s="152"/>
    </row>
    <row r="46" spans="1:8" ht="21.75" customHeight="1" x14ac:dyDescent="0.15">
      <c r="A46" s="151" t="s">
        <v>1288</v>
      </c>
      <c r="B46" s="11" t="s">
        <v>1289</v>
      </c>
      <c r="C46" s="21" t="s">
        <v>1286</v>
      </c>
      <c r="D46" s="152">
        <v>15001</v>
      </c>
      <c r="E46" s="153">
        <v>32000</v>
      </c>
      <c r="F46" s="152" t="s">
        <v>1287</v>
      </c>
      <c r="G46" s="152" t="s">
        <v>153</v>
      </c>
      <c r="H46" s="152"/>
    </row>
    <row r="47" spans="1:8" ht="21.75" customHeight="1" x14ac:dyDescent="0.15">
      <c r="A47" s="151" t="s">
        <v>1291</v>
      </c>
      <c r="B47" s="11" t="s">
        <v>1290</v>
      </c>
      <c r="C47" s="21" t="s">
        <v>1292</v>
      </c>
      <c r="D47" s="152">
        <v>15026</v>
      </c>
      <c r="E47" s="153">
        <v>102000</v>
      </c>
      <c r="F47" s="154" t="s">
        <v>1293</v>
      </c>
      <c r="G47" s="152" t="s">
        <v>153</v>
      </c>
      <c r="H47" s="152"/>
    </row>
    <row r="48" spans="1:8" ht="21.75" customHeight="1" x14ac:dyDescent="0.15">
      <c r="A48" s="151" t="s">
        <v>1294</v>
      </c>
      <c r="B48" s="11" t="s">
        <v>1295</v>
      </c>
      <c r="C48" s="21" t="s">
        <v>1296</v>
      </c>
      <c r="D48" s="152" t="s">
        <v>1297</v>
      </c>
      <c r="E48" s="153">
        <v>3000</v>
      </c>
      <c r="F48" s="154" t="s">
        <v>1298</v>
      </c>
      <c r="G48" s="152" t="s">
        <v>190</v>
      </c>
      <c r="H48" s="152"/>
    </row>
    <row r="49" spans="1:8" ht="21.75" customHeight="1" x14ac:dyDescent="0.15">
      <c r="A49" s="151" t="s">
        <v>1299</v>
      </c>
      <c r="B49" s="11" t="s">
        <v>1300</v>
      </c>
      <c r="C49" s="21" t="s">
        <v>1301</v>
      </c>
      <c r="D49" s="152">
        <v>15052</v>
      </c>
      <c r="E49" s="153">
        <v>145000</v>
      </c>
      <c r="F49" s="154" t="s">
        <v>1302</v>
      </c>
      <c r="G49" s="152" t="s">
        <v>1303</v>
      </c>
      <c r="H49" s="152"/>
    </row>
    <row r="50" spans="1:8" ht="21.75" customHeight="1" x14ac:dyDescent="0.15">
      <c r="A50" s="151" t="s">
        <v>1304</v>
      </c>
      <c r="B50" s="11" t="s">
        <v>1305</v>
      </c>
      <c r="C50" s="21" t="s">
        <v>1306</v>
      </c>
      <c r="D50" s="152">
        <v>16017</v>
      </c>
      <c r="E50" s="153">
        <v>60000</v>
      </c>
      <c r="F50" s="154" t="s">
        <v>1307</v>
      </c>
      <c r="G50" s="152" t="s">
        <v>165</v>
      </c>
      <c r="H50" s="152"/>
    </row>
    <row r="51" spans="1:8" ht="21.75" customHeight="1" x14ac:dyDescent="0.15">
      <c r="A51" s="151" t="s">
        <v>1309</v>
      </c>
      <c r="B51" s="11" t="s">
        <v>1308</v>
      </c>
      <c r="C51" s="21" t="s">
        <v>1310</v>
      </c>
      <c r="D51" s="152">
        <v>15065</v>
      </c>
      <c r="E51" s="153">
        <v>114000</v>
      </c>
      <c r="F51" s="154" t="s">
        <v>1311</v>
      </c>
      <c r="G51" s="152" t="s">
        <v>1312</v>
      </c>
      <c r="H51" s="152"/>
    </row>
    <row r="52" spans="1:8" ht="21.75" customHeight="1" x14ac:dyDescent="0.15">
      <c r="A52" s="151" t="s">
        <v>1314</v>
      </c>
      <c r="B52" s="11" t="s">
        <v>1313</v>
      </c>
      <c r="C52" s="21" t="s">
        <v>1315</v>
      </c>
      <c r="D52" s="152">
        <v>12022</v>
      </c>
      <c r="E52" s="153">
        <v>51000</v>
      </c>
      <c r="F52" s="154" t="s">
        <v>1316</v>
      </c>
      <c r="G52" s="152" t="s">
        <v>165</v>
      </c>
      <c r="H52" s="152"/>
    </row>
    <row r="53" spans="1:8" ht="21.75" customHeight="1" x14ac:dyDescent="0.15">
      <c r="A53" s="151" t="s">
        <v>1317</v>
      </c>
      <c r="B53" s="11" t="s">
        <v>1318</v>
      </c>
      <c r="C53" s="21" t="s">
        <v>1319</v>
      </c>
      <c r="D53" s="152">
        <v>16012</v>
      </c>
      <c r="E53" s="153">
        <v>145000</v>
      </c>
      <c r="F53" s="154" t="s">
        <v>1320</v>
      </c>
      <c r="G53" s="152" t="s">
        <v>165</v>
      </c>
      <c r="H53" s="152"/>
    </row>
    <row r="54" spans="1:8" ht="21.75" customHeight="1" x14ac:dyDescent="0.15">
      <c r="A54" s="151" t="s">
        <v>1317</v>
      </c>
      <c r="B54" s="11" t="s">
        <v>1321</v>
      </c>
      <c r="C54" s="21" t="s">
        <v>1322</v>
      </c>
      <c r="D54" s="152">
        <v>16021</v>
      </c>
      <c r="E54" s="153">
        <v>60000</v>
      </c>
      <c r="F54" s="154" t="s">
        <v>1323</v>
      </c>
      <c r="G54" s="152" t="s">
        <v>165</v>
      </c>
      <c r="H54" s="152"/>
    </row>
    <row r="55" spans="1:8" ht="21.75" customHeight="1" x14ac:dyDescent="0.15">
      <c r="A55" s="151" t="s">
        <v>1317</v>
      </c>
      <c r="B55" s="11" t="s">
        <v>1324</v>
      </c>
      <c r="C55" s="21" t="s">
        <v>1325</v>
      </c>
      <c r="D55" s="152">
        <v>16020</v>
      </c>
      <c r="E55" s="153">
        <v>60000</v>
      </c>
      <c r="F55" s="154" t="s">
        <v>1323</v>
      </c>
      <c r="G55" s="152" t="s">
        <v>165</v>
      </c>
      <c r="H55" s="152"/>
    </row>
    <row r="56" spans="1:8" ht="21.75" customHeight="1" x14ac:dyDescent="0.15">
      <c r="A56" s="151" t="s">
        <v>1317</v>
      </c>
      <c r="B56" s="11" t="s">
        <v>1326</v>
      </c>
      <c r="C56" s="21" t="s">
        <v>1327</v>
      </c>
      <c r="D56" s="152">
        <v>16022</v>
      </c>
      <c r="E56" s="153">
        <v>60000</v>
      </c>
      <c r="F56" s="154" t="s">
        <v>1323</v>
      </c>
      <c r="G56" s="152" t="s">
        <v>165</v>
      </c>
      <c r="H56" s="152"/>
    </row>
    <row r="57" spans="1:8" ht="21.75" customHeight="1" x14ac:dyDescent="0.15">
      <c r="A57" s="151" t="s">
        <v>1317</v>
      </c>
      <c r="B57" s="11" t="s">
        <v>1328</v>
      </c>
      <c r="C57" s="21" t="s">
        <v>1329</v>
      </c>
      <c r="D57" s="152">
        <v>16023</v>
      </c>
      <c r="E57" s="153">
        <v>60000</v>
      </c>
      <c r="F57" s="154" t="s">
        <v>1323</v>
      </c>
      <c r="G57" s="152" t="s">
        <v>165</v>
      </c>
      <c r="H57" s="152"/>
    </row>
    <row r="58" spans="1:8" ht="21.75" customHeight="1" x14ac:dyDescent="0.15">
      <c r="A58" s="151" t="s">
        <v>1317</v>
      </c>
      <c r="B58" s="11" t="s">
        <v>1330</v>
      </c>
      <c r="C58" s="21" t="s">
        <v>1331</v>
      </c>
      <c r="D58" s="152">
        <v>16040</v>
      </c>
      <c r="E58" s="153">
        <v>168000</v>
      </c>
      <c r="F58" s="154" t="s">
        <v>1332</v>
      </c>
      <c r="G58" s="152" t="s">
        <v>1333</v>
      </c>
      <c r="H58" s="152"/>
    </row>
    <row r="59" spans="1:8" ht="21.75" customHeight="1" x14ac:dyDescent="0.15">
      <c r="A59" s="151" t="s">
        <v>1334</v>
      </c>
      <c r="B59" s="11" t="s">
        <v>1335</v>
      </c>
      <c r="C59" s="21" t="s">
        <v>1336</v>
      </c>
      <c r="D59" s="152">
        <v>14036</v>
      </c>
      <c r="E59" s="153">
        <v>367250</v>
      </c>
      <c r="F59" s="154" t="s">
        <v>1337</v>
      </c>
      <c r="G59" s="152" t="s">
        <v>165</v>
      </c>
      <c r="H59" s="152"/>
    </row>
    <row r="60" spans="1:8" ht="21.75" customHeight="1" x14ac:dyDescent="0.15">
      <c r="A60" s="151" t="s">
        <v>1339</v>
      </c>
      <c r="B60" s="11" t="s">
        <v>1338</v>
      </c>
      <c r="C60" s="21" t="s">
        <v>1292</v>
      </c>
      <c r="D60" s="152">
        <v>15026</v>
      </c>
      <c r="E60" s="153">
        <v>102000</v>
      </c>
      <c r="F60" s="154" t="s">
        <v>1340</v>
      </c>
      <c r="G60" s="152" t="s">
        <v>153</v>
      </c>
      <c r="H60" s="152"/>
    </row>
    <row r="61" spans="1:8" ht="21.75" customHeight="1" x14ac:dyDescent="0.15">
      <c r="A61" s="151" t="s">
        <v>1339</v>
      </c>
      <c r="B61" s="11" t="s">
        <v>1341</v>
      </c>
      <c r="C61" s="21" t="s">
        <v>1342</v>
      </c>
      <c r="D61" s="152">
        <v>14069</v>
      </c>
      <c r="E61" s="153">
        <v>355500</v>
      </c>
      <c r="F61" s="154" t="s">
        <v>1343</v>
      </c>
      <c r="G61" s="152" t="s">
        <v>190</v>
      </c>
      <c r="H61" s="152"/>
    </row>
    <row r="62" spans="1:8" ht="21.75" customHeight="1" x14ac:dyDescent="0.15">
      <c r="A62" s="151" t="s">
        <v>1345</v>
      </c>
      <c r="B62" s="11" t="s">
        <v>1344</v>
      </c>
      <c r="C62" s="21" t="s">
        <v>1346</v>
      </c>
      <c r="D62" s="152">
        <v>16039</v>
      </c>
      <c r="E62" s="153">
        <v>140000</v>
      </c>
      <c r="F62" s="154" t="s">
        <v>1347</v>
      </c>
      <c r="G62" s="152" t="s">
        <v>1080</v>
      </c>
      <c r="H62" s="152"/>
    </row>
    <row r="63" spans="1:8" ht="21.75" customHeight="1" x14ac:dyDescent="0.15">
      <c r="A63" s="151" t="s">
        <v>1348</v>
      </c>
      <c r="B63" s="11" t="s">
        <v>1349</v>
      </c>
      <c r="C63" s="21" t="s">
        <v>1350</v>
      </c>
      <c r="D63" s="152">
        <v>13030</v>
      </c>
      <c r="E63" s="153">
        <v>745869.8</v>
      </c>
      <c r="F63" s="154" t="s">
        <v>1351</v>
      </c>
      <c r="G63" s="152" t="s">
        <v>1352</v>
      </c>
      <c r="H63" s="152"/>
    </row>
    <row r="64" spans="1:8" ht="21.75" customHeight="1" x14ac:dyDescent="0.15">
      <c r="A64" s="151" t="s">
        <v>1354</v>
      </c>
      <c r="B64" s="20" t="s">
        <v>1353</v>
      </c>
      <c r="C64" s="21" t="s">
        <v>1356</v>
      </c>
      <c r="D64" s="152">
        <v>16032</v>
      </c>
      <c r="E64" s="153">
        <v>30000</v>
      </c>
      <c r="F64" s="154" t="s">
        <v>1355</v>
      </c>
      <c r="G64" s="152" t="s">
        <v>1357</v>
      </c>
      <c r="H64" s="152"/>
    </row>
    <row r="65" spans="1:8" ht="21.75" customHeight="1" x14ac:dyDescent="0.15">
      <c r="A65" s="151" t="s">
        <v>1359</v>
      </c>
      <c r="B65" s="20" t="s">
        <v>1358</v>
      </c>
      <c r="C65" s="21" t="s">
        <v>1360</v>
      </c>
      <c r="D65" s="152">
        <v>16031</v>
      </c>
      <c r="E65" s="153">
        <v>230000</v>
      </c>
      <c r="F65" s="154">
        <v>1</v>
      </c>
      <c r="G65" s="152" t="s">
        <v>1361</v>
      </c>
      <c r="H65" s="152"/>
    </row>
    <row r="66" spans="1:8" ht="21.75" customHeight="1" x14ac:dyDescent="0.15">
      <c r="A66" s="151" t="s">
        <v>1362</v>
      </c>
      <c r="B66" s="20" t="s">
        <v>1363</v>
      </c>
      <c r="C66" s="21" t="s">
        <v>1364</v>
      </c>
      <c r="D66" s="152">
        <v>16046</v>
      </c>
      <c r="E66" s="153">
        <v>45000</v>
      </c>
      <c r="F66" s="154" t="s">
        <v>259</v>
      </c>
      <c r="G66" s="152" t="s">
        <v>165</v>
      </c>
      <c r="H66" s="152"/>
    </row>
    <row r="67" spans="1:8" ht="21.75" customHeight="1" x14ac:dyDescent="0.15">
      <c r="A67" s="151" t="s">
        <v>1367</v>
      </c>
      <c r="B67" s="20" t="s">
        <v>1365</v>
      </c>
      <c r="C67" s="21" t="s">
        <v>1368</v>
      </c>
      <c r="D67" s="152">
        <v>16038</v>
      </c>
      <c r="E67" s="153">
        <v>60000</v>
      </c>
      <c r="F67" s="154" t="s">
        <v>1366</v>
      </c>
      <c r="G67" s="152" t="s">
        <v>165</v>
      </c>
      <c r="H67" s="152"/>
    </row>
    <row r="68" spans="1:8" ht="21.75" customHeight="1" x14ac:dyDescent="0.15">
      <c r="A68" s="151" t="s">
        <v>1367</v>
      </c>
      <c r="B68" s="20" t="s">
        <v>1369</v>
      </c>
      <c r="C68" s="21" t="s">
        <v>1370</v>
      </c>
      <c r="D68" s="152">
        <v>16001</v>
      </c>
      <c r="E68" s="153">
        <v>145000</v>
      </c>
      <c r="F68" s="154" t="s">
        <v>1371</v>
      </c>
      <c r="G68" s="152" t="s">
        <v>165</v>
      </c>
      <c r="H68" s="152"/>
    </row>
    <row r="69" spans="1:8" ht="21.75" customHeight="1" x14ac:dyDescent="0.15">
      <c r="A69" s="151" t="s">
        <v>1373</v>
      </c>
      <c r="B69" s="20" t="s">
        <v>1372</v>
      </c>
      <c r="C69" s="21" t="s">
        <v>1374</v>
      </c>
      <c r="D69" s="152">
        <v>16037</v>
      </c>
      <c r="E69" s="153">
        <v>60000</v>
      </c>
      <c r="F69" s="154" t="s">
        <v>1366</v>
      </c>
      <c r="G69" s="152" t="s">
        <v>165</v>
      </c>
      <c r="H69" s="152"/>
    </row>
    <row r="70" spans="1:8" ht="21.75" customHeight="1" x14ac:dyDescent="0.15">
      <c r="A70" s="151" t="s">
        <v>1375</v>
      </c>
      <c r="B70" s="20" t="s">
        <v>215</v>
      </c>
      <c r="C70" s="21" t="s">
        <v>216</v>
      </c>
      <c r="D70" s="152">
        <v>16036</v>
      </c>
      <c r="E70" s="153">
        <v>60000</v>
      </c>
      <c r="F70" s="154" t="s">
        <v>1376</v>
      </c>
      <c r="G70" s="152" t="s">
        <v>165</v>
      </c>
      <c r="H70" s="152"/>
    </row>
    <row r="71" spans="1:8" ht="21.75" customHeight="1" x14ac:dyDescent="0.15">
      <c r="A71" s="151" t="s">
        <v>1378</v>
      </c>
      <c r="B71" s="20" t="s">
        <v>1377</v>
      </c>
      <c r="C71" s="21" t="s">
        <v>1379</v>
      </c>
      <c r="D71" s="152">
        <v>12029</v>
      </c>
      <c r="E71" s="153">
        <v>198000</v>
      </c>
      <c r="F71" s="154" t="s">
        <v>1316</v>
      </c>
      <c r="G71" s="152" t="s">
        <v>1380</v>
      </c>
      <c r="H71" s="152"/>
    </row>
    <row r="72" spans="1:8" ht="21.75" customHeight="1" x14ac:dyDescent="0.15">
      <c r="A72" s="151" t="s">
        <v>1381</v>
      </c>
      <c r="B72" s="20" t="s">
        <v>1382</v>
      </c>
      <c r="C72" s="21" t="s">
        <v>1383</v>
      </c>
      <c r="D72" s="152">
        <v>13023</v>
      </c>
      <c r="E72" s="153">
        <v>18000</v>
      </c>
      <c r="F72" s="154" t="s">
        <v>1316</v>
      </c>
      <c r="G72" s="152" t="s">
        <v>1384</v>
      </c>
      <c r="H72" s="152"/>
    </row>
    <row r="73" spans="1:8" ht="21.75" customHeight="1" x14ac:dyDescent="0.15">
      <c r="A73" s="151" t="s">
        <v>1386</v>
      </c>
      <c r="B73" s="20" t="s">
        <v>1385</v>
      </c>
      <c r="C73" s="21" t="s">
        <v>1387</v>
      </c>
      <c r="D73" s="152">
        <v>15049</v>
      </c>
      <c r="E73" s="153">
        <v>175000</v>
      </c>
      <c r="F73" s="154">
        <v>1</v>
      </c>
      <c r="G73" s="152" t="s">
        <v>1388</v>
      </c>
      <c r="H73" s="152"/>
    </row>
    <row r="74" spans="1:8" ht="21.75" customHeight="1" x14ac:dyDescent="0.15">
      <c r="A74" s="151" t="s">
        <v>1393</v>
      </c>
      <c r="B74" s="20" t="s">
        <v>1389</v>
      </c>
      <c r="C74" s="21" t="s">
        <v>1390</v>
      </c>
      <c r="D74" s="152">
        <v>15038</v>
      </c>
      <c r="E74" s="153">
        <v>133500</v>
      </c>
      <c r="F74" s="154" t="s">
        <v>1391</v>
      </c>
      <c r="G74" s="152" t="s">
        <v>1392</v>
      </c>
      <c r="H74" s="152"/>
    </row>
    <row r="75" spans="1:8" ht="21.75" customHeight="1" x14ac:dyDescent="0.15">
      <c r="A75" s="151" t="s">
        <v>1396</v>
      </c>
      <c r="B75" s="20" t="s">
        <v>1394</v>
      </c>
      <c r="C75" s="21" t="s">
        <v>1395</v>
      </c>
      <c r="D75" s="152">
        <v>16042</v>
      </c>
      <c r="E75" s="153">
        <v>1292000</v>
      </c>
      <c r="F75" s="154" t="s">
        <v>1397</v>
      </c>
      <c r="G75" s="152" t="s">
        <v>396</v>
      </c>
      <c r="H75" s="152"/>
    </row>
    <row r="76" spans="1:8" ht="21.75" customHeight="1" x14ac:dyDescent="0.15">
      <c r="A76" s="151" t="s">
        <v>1400</v>
      </c>
      <c r="B76" s="20" t="s">
        <v>1398</v>
      </c>
      <c r="C76" s="21" t="s">
        <v>1401</v>
      </c>
      <c r="D76" s="152">
        <v>15019</v>
      </c>
      <c r="E76" s="153">
        <v>355500</v>
      </c>
      <c r="F76" s="154" t="s">
        <v>1399</v>
      </c>
      <c r="G76" s="152" t="s">
        <v>1402</v>
      </c>
      <c r="H76" s="152"/>
    </row>
    <row r="77" spans="1:8" ht="21.75" customHeight="1" x14ac:dyDescent="0.15">
      <c r="A77" s="151" t="s">
        <v>1404</v>
      </c>
      <c r="B77" s="20" t="s">
        <v>1403</v>
      </c>
      <c r="C77" s="21" t="s">
        <v>1405</v>
      </c>
      <c r="D77" s="152">
        <v>14052</v>
      </c>
      <c r="E77" s="153">
        <v>70500</v>
      </c>
      <c r="F77" s="154" t="s">
        <v>1406</v>
      </c>
      <c r="G77" s="152" t="s">
        <v>165</v>
      </c>
      <c r="H77" s="152"/>
    </row>
    <row r="78" spans="1:8" ht="21.75" customHeight="1" x14ac:dyDescent="0.15">
      <c r="A78" s="151" t="s">
        <v>1410</v>
      </c>
      <c r="B78" s="20" t="s">
        <v>180</v>
      </c>
      <c r="C78" s="21" t="s">
        <v>1409</v>
      </c>
      <c r="D78" s="152">
        <v>16006</v>
      </c>
      <c r="E78" s="153">
        <v>85000</v>
      </c>
      <c r="F78" s="154" t="s">
        <v>1408</v>
      </c>
      <c r="G78" s="152" t="s">
        <v>251</v>
      </c>
      <c r="H78" s="152"/>
    </row>
    <row r="79" spans="1:8" ht="21.75" customHeight="1" x14ac:dyDescent="0.15">
      <c r="A79" s="151" t="s">
        <v>1411</v>
      </c>
      <c r="B79" s="20" t="s">
        <v>1412</v>
      </c>
      <c r="C79" s="21" t="s">
        <v>1413</v>
      </c>
      <c r="D79" s="152">
        <v>16008</v>
      </c>
      <c r="E79" s="153">
        <v>85000</v>
      </c>
      <c r="F79" s="154" t="s">
        <v>1408</v>
      </c>
      <c r="G79" s="152" t="s">
        <v>251</v>
      </c>
      <c r="H79" s="152"/>
    </row>
    <row r="80" spans="1:8" ht="21.75" customHeight="1" x14ac:dyDescent="0.15">
      <c r="A80" s="151" t="s">
        <v>1411</v>
      </c>
      <c r="B80" s="20" t="s">
        <v>1313</v>
      </c>
      <c r="C80" s="21" t="s">
        <v>1315</v>
      </c>
      <c r="D80" s="152">
        <v>16009</v>
      </c>
      <c r="E80" s="153">
        <v>85000</v>
      </c>
      <c r="F80" s="154" t="s">
        <v>1407</v>
      </c>
      <c r="G80" s="152" t="s">
        <v>251</v>
      </c>
      <c r="H80" s="152"/>
    </row>
    <row r="81" spans="1:8" ht="21.75" customHeight="1" x14ac:dyDescent="0.15">
      <c r="A81" s="151" t="s">
        <v>1415</v>
      </c>
      <c r="B81" s="20" t="s">
        <v>1416</v>
      </c>
      <c r="C81" s="21" t="s">
        <v>1417</v>
      </c>
      <c r="D81" s="152">
        <v>13018</v>
      </c>
      <c r="E81" s="153">
        <v>245000</v>
      </c>
      <c r="F81" s="154" t="s">
        <v>1414</v>
      </c>
      <c r="G81" s="152" t="s">
        <v>1418</v>
      </c>
      <c r="H81" s="152"/>
    </row>
    <row r="82" spans="1:8" ht="21.75" customHeight="1" x14ac:dyDescent="0.15">
      <c r="A82" s="151" t="s">
        <v>1419</v>
      </c>
      <c r="B82" s="20" t="s">
        <v>330</v>
      </c>
      <c r="C82" s="21" t="s">
        <v>1420</v>
      </c>
      <c r="D82" s="152">
        <v>16004</v>
      </c>
      <c r="E82" s="153">
        <v>85000</v>
      </c>
      <c r="F82" s="154" t="s">
        <v>1407</v>
      </c>
      <c r="G82" s="152" t="s">
        <v>209</v>
      </c>
      <c r="H82" s="152"/>
    </row>
    <row r="83" spans="1:8" ht="21.75" customHeight="1" x14ac:dyDescent="0.15">
      <c r="A83" s="151" t="s">
        <v>1419</v>
      </c>
      <c r="B83" s="20" t="s">
        <v>330</v>
      </c>
      <c r="C83" s="21" t="s">
        <v>1246</v>
      </c>
      <c r="D83" s="152">
        <v>16005</v>
      </c>
      <c r="E83" s="153">
        <v>85000</v>
      </c>
      <c r="F83" s="154" t="s">
        <v>1407</v>
      </c>
      <c r="G83" s="152" t="s">
        <v>209</v>
      </c>
      <c r="H83" s="152"/>
    </row>
    <row r="84" spans="1:8" ht="21.75" customHeight="1" x14ac:dyDescent="0.15">
      <c r="A84" s="151" t="s">
        <v>1422</v>
      </c>
      <c r="B84" s="20" t="s">
        <v>1421</v>
      </c>
      <c r="C84" s="21" t="s">
        <v>1417</v>
      </c>
      <c r="D84" s="152">
        <v>13018</v>
      </c>
      <c r="E84" s="153">
        <v>100000</v>
      </c>
      <c r="F84" s="154" t="s">
        <v>1414</v>
      </c>
      <c r="G84" s="152" t="s">
        <v>267</v>
      </c>
      <c r="H84" s="152"/>
    </row>
    <row r="85" spans="1:8" ht="21.75" customHeight="1" x14ac:dyDescent="0.15">
      <c r="A85" s="151" t="s">
        <v>1426</v>
      </c>
      <c r="B85" s="20" t="s">
        <v>1423</v>
      </c>
      <c r="C85" s="21" t="s">
        <v>1424</v>
      </c>
      <c r="D85" s="152">
        <v>15014</v>
      </c>
      <c r="E85" s="153">
        <v>94000</v>
      </c>
      <c r="F85" s="154" t="s">
        <v>1425</v>
      </c>
      <c r="G85" s="152" t="s">
        <v>1427</v>
      </c>
      <c r="H85" s="152"/>
    </row>
    <row r="86" spans="1:8" ht="21.75" customHeight="1" x14ac:dyDescent="0.15">
      <c r="A86" s="151" t="s">
        <v>1430</v>
      </c>
      <c r="B86" s="20" t="s">
        <v>1428</v>
      </c>
      <c r="C86" s="21" t="s">
        <v>1429</v>
      </c>
      <c r="D86" s="152">
        <v>16062</v>
      </c>
      <c r="E86" s="153">
        <v>64000</v>
      </c>
      <c r="F86" s="154">
        <v>0.8</v>
      </c>
      <c r="G86" s="152" t="s">
        <v>158</v>
      </c>
      <c r="H86" s="152"/>
    </row>
    <row r="87" spans="1:8" ht="21.75" customHeight="1" x14ac:dyDescent="0.15">
      <c r="A87" s="151" t="s">
        <v>1430</v>
      </c>
      <c r="B87" s="20" t="s">
        <v>1431</v>
      </c>
      <c r="C87" s="26" t="s">
        <v>1432</v>
      </c>
      <c r="D87" s="152">
        <v>16058</v>
      </c>
      <c r="E87" s="153">
        <v>128000</v>
      </c>
      <c r="F87" s="154">
        <v>0.8</v>
      </c>
      <c r="G87" s="152" t="s">
        <v>158</v>
      </c>
      <c r="H87" s="152"/>
    </row>
    <row r="88" spans="1:8" ht="21.75" customHeight="1" x14ac:dyDescent="0.15">
      <c r="A88" s="151" t="s">
        <v>1430</v>
      </c>
      <c r="B88" s="20" t="s">
        <v>1433</v>
      </c>
      <c r="C88" s="21" t="s">
        <v>1434</v>
      </c>
      <c r="D88" s="152">
        <v>16057</v>
      </c>
      <c r="E88" s="153">
        <v>128000</v>
      </c>
      <c r="F88" s="154">
        <v>0.8</v>
      </c>
      <c r="G88" s="152" t="s">
        <v>158</v>
      </c>
      <c r="H88" s="152"/>
    </row>
    <row r="89" spans="1:8" ht="21.75" customHeight="1" x14ac:dyDescent="0.15">
      <c r="A89" s="151" t="s">
        <v>1430</v>
      </c>
      <c r="B89" s="20" t="s">
        <v>1435</v>
      </c>
      <c r="C89" s="21" t="s">
        <v>1436</v>
      </c>
      <c r="D89" s="152">
        <v>16060</v>
      </c>
      <c r="E89" s="153">
        <v>68000</v>
      </c>
      <c r="F89" s="154">
        <v>0.8</v>
      </c>
      <c r="G89" s="152" t="s">
        <v>158</v>
      </c>
      <c r="H89" s="152"/>
    </row>
    <row r="90" spans="1:8" ht="21.75" customHeight="1" x14ac:dyDescent="0.15">
      <c r="A90" s="151" t="s">
        <v>1430</v>
      </c>
      <c r="B90" s="20" t="s">
        <v>1437</v>
      </c>
      <c r="C90" s="21" t="s">
        <v>1438</v>
      </c>
      <c r="D90" s="152">
        <v>16061</v>
      </c>
      <c r="E90" s="153">
        <v>64000</v>
      </c>
      <c r="F90" s="154">
        <v>0.8</v>
      </c>
      <c r="G90" s="152" t="s">
        <v>158</v>
      </c>
      <c r="H90" s="152"/>
    </row>
    <row r="91" spans="1:8" ht="21.75" customHeight="1" x14ac:dyDescent="0.15">
      <c r="A91" s="151" t="s">
        <v>1430</v>
      </c>
      <c r="B91" s="20" t="s">
        <v>1439</v>
      </c>
      <c r="C91" s="21" t="s">
        <v>1440</v>
      </c>
      <c r="D91" s="152">
        <v>16056</v>
      </c>
      <c r="E91" s="153">
        <v>128000</v>
      </c>
      <c r="F91" s="154">
        <v>0.8</v>
      </c>
      <c r="G91" s="152" t="s">
        <v>158</v>
      </c>
      <c r="H91" s="152"/>
    </row>
    <row r="92" spans="1:8" ht="21.75" customHeight="1" x14ac:dyDescent="0.15">
      <c r="A92" s="151" t="s">
        <v>1430</v>
      </c>
      <c r="B92" s="20" t="s">
        <v>1441</v>
      </c>
      <c r="C92" s="26" t="s">
        <v>1442</v>
      </c>
      <c r="D92" s="152">
        <v>16063</v>
      </c>
      <c r="E92" s="153">
        <v>128000</v>
      </c>
      <c r="F92" s="154">
        <v>0.8</v>
      </c>
      <c r="G92" s="152" t="s">
        <v>158</v>
      </c>
      <c r="H92" s="152"/>
    </row>
    <row r="93" spans="1:8" ht="21.75" customHeight="1" x14ac:dyDescent="0.15">
      <c r="A93" s="151" t="s">
        <v>1443</v>
      </c>
      <c r="B93" s="20" t="s">
        <v>1444</v>
      </c>
      <c r="C93" s="21" t="s">
        <v>1445</v>
      </c>
      <c r="D93" s="152">
        <v>11038</v>
      </c>
      <c r="E93" s="153">
        <v>124323.84</v>
      </c>
      <c r="F93" s="154" t="s">
        <v>1143</v>
      </c>
      <c r="G93" s="152" t="s">
        <v>162</v>
      </c>
      <c r="H93" s="152"/>
    </row>
    <row r="94" spans="1:8" ht="21.75" customHeight="1" x14ac:dyDescent="0.15">
      <c r="A94" s="151" t="s">
        <v>1446</v>
      </c>
      <c r="B94" s="20" t="s">
        <v>1447</v>
      </c>
      <c r="C94" s="21" t="s">
        <v>1448</v>
      </c>
      <c r="D94" s="152">
        <v>16054</v>
      </c>
      <c r="E94" s="153">
        <v>48667</v>
      </c>
      <c r="F94" s="154" t="s">
        <v>1450</v>
      </c>
      <c r="G94" s="152" t="s">
        <v>1449</v>
      </c>
      <c r="H94" s="152"/>
    </row>
    <row r="95" spans="1:8" ht="21.75" customHeight="1" x14ac:dyDescent="0.15">
      <c r="A95" s="151" t="s">
        <v>1451</v>
      </c>
      <c r="B95" s="20" t="s">
        <v>1452</v>
      </c>
      <c r="C95" s="21" t="s">
        <v>1448</v>
      </c>
      <c r="D95" s="152">
        <v>16054</v>
      </c>
      <c r="E95" s="153">
        <v>48666</v>
      </c>
      <c r="F95" s="154" t="s">
        <v>1450</v>
      </c>
      <c r="G95" s="152" t="s">
        <v>166</v>
      </c>
      <c r="H95" s="152"/>
    </row>
    <row r="96" spans="1:8" ht="21.75" customHeight="1" x14ac:dyDescent="0.15">
      <c r="A96" s="151" t="s">
        <v>1455</v>
      </c>
      <c r="B96" s="20" t="s">
        <v>1453</v>
      </c>
      <c r="C96" s="21" t="s">
        <v>1454</v>
      </c>
      <c r="D96" s="152">
        <v>16002</v>
      </c>
      <c r="E96" s="153">
        <v>88000</v>
      </c>
      <c r="F96" s="154">
        <v>1</v>
      </c>
      <c r="G96" s="152" t="s">
        <v>324</v>
      </c>
      <c r="H96" s="152"/>
    </row>
    <row r="97" spans="1:8" ht="21.75" customHeight="1" x14ac:dyDescent="0.15">
      <c r="A97" s="151" t="s">
        <v>1456</v>
      </c>
      <c r="B97" s="20" t="s">
        <v>1459</v>
      </c>
      <c r="C97" s="21" t="s">
        <v>1460</v>
      </c>
      <c r="D97" s="152">
        <v>15055</v>
      </c>
      <c r="E97" s="153">
        <v>261000</v>
      </c>
      <c r="F97" s="154">
        <v>0.9</v>
      </c>
      <c r="G97" s="152" t="s">
        <v>158</v>
      </c>
      <c r="H97" s="152"/>
    </row>
    <row r="98" spans="1:8" ht="21.75" customHeight="1" x14ac:dyDescent="0.15">
      <c r="A98" s="151" t="s">
        <v>1466</v>
      </c>
      <c r="B98" s="20" t="s">
        <v>1457</v>
      </c>
      <c r="C98" s="21" t="s">
        <v>1458</v>
      </c>
      <c r="D98" s="152">
        <v>14022</v>
      </c>
      <c r="E98" s="153">
        <v>100000</v>
      </c>
      <c r="F98" s="154">
        <v>0.5</v>
      </c>
      <c r="G98" s="152" t="s">
        <v>158</v>
      </c>
      <c r="H98" s="152"/>
    </row>
    <row r="99" spans="1:8" ht="21.75" customHeight="1" x14ac:dyDescent="0.15">
      <c r="A99" s="151" t="s">
        <v>1465</v>
      </c>
      <c r="B99" s="20" t="s">
        <v>1461</v>
      </c>
      <c r="C99" s="21" t="s">
        <v>1448</v>
      </c>
      <c r="D99" s="152">
        <v>16054</v>
      </c>
      <c r="E99" s="153">
        <v>48667</v>
      </c>
      <c r="F99" s="154" t="s">
        <v>1450</v>
      </c>
      <c r="G99" s="152" t="s">
        <v>153</v>
      </c>
      <c r="H99" s="152"/>
    </row>
    <row r="100" spans="1:8" ht="21.75" customHeight="1" x14ac:dyDescent="0.15">
      <c r="A100" s="151" t="s">
        <v>1464</v>
      </c>
      <c r="B100" s="20" t="s">
        <v>1462</v>
      </c>
      <c r="C100" s="21" t="s">
        <v>1463</v>
      </c>
      <c r="D100" s="152">
        <v>16007</v>
      </c>
      <c r="E100" s="153">
        <v>85000</v>
      </c>
      <c r="F100" s="154" t="s">
        <v>1467</v>
      </c>
      <c r="G100" s="152" t="s">
        <v>162</v>
      </c>
      <c r="H100" s="152"/>
    </row>
    <row r="101" spans="1:8" ht="21.75" customHeight="1" x14ac:dyDescent="0.15">
      <c r="A101" s="151" t="s">
        <v>1469</v>
      </c>
      <c r="B101" s="20" t="s">
        <v>1468</v>
      </c>
      <c r="C101" s="21" t="s">
        <v>1470</v>
      </c>
      <c r="D101" s="152">
        <v>15057</v>
      </c>
      <c r="E101" s="153">
        <v>100000</v>
      </c>
      <c r="F101" s="154" t="s">
        <v>1471</v>
      </c>
      <c r="G101" s="152" t="s">
        <v>1312</v>
      </c>
      <c r="H101" s="152"/>
    </row>
    <row r="102" spans="1:8" ht="21.75" customHeight="1" x14ac:dyDescent="0.15">
      <c r="A102" s="151" t="s">
        <v>1472</v>
      </c>
      <c r="B102" s="20" t="s">
        <v>1473</v>
      </c>
      <c r="C102" s="21" t="s">
        <v>1474</v>
      </c>
      <c r="D102" s="152">
        <v>13016</v>
      </c>
      <c r="E102" s="153">
        <v>76126</v>
      </c>
      <c r="F102" s="154" t="s">
        <v>1475</v>
      </c>
      <c r="G102" s="152" t="s">
        <v>158</v>
      </c>
      <c r="H102" s="152"/>
    </row>
    <row r="103" spans="1:8" ht="21.75" customHeight="1" x14ac:dyDescent="0.15">
      <c r="A103" s="151" t="s">
        <v>1477</v>
      </c>
      <c r="B103" s="20" t="s">
        <v>1476</v>
      </c>
      <c r="C103" s="21" t="s">
        <v>1478</v>
      </c>
      <c r="D103" s="152">
        <v>16068</v>
      </c>
      <c r="E103" s="153">
        <v>60700</v>
      </c>
      <c r="F103" s="154" t="s">
        <v>1479</v>
      </c>
      <c r="G103" s="152" t="s">
        <v>170</v>
      </c>
      <c r="H103" s="152"/>
    </row>
    <row r="104" spans="1:8" ht="21.75" customHeight="1" x14ac:dyDescent="0.15">
      <c r="A104" s="151" t="s">
        <v>1480</v>
      </c>
      <c r="B104" s="20" t="s">
        <v>1481</v>
      </c>
      <c r="C104" s="21" t="s">
        <v>163</v>
      </c>
      <c r="D104" s="152">
        <v>14026</v>
      </c>
      <c r="E104" s="153">
        <v>45000</v>
      </c>
      <c r="F104" s="154" t="s">
        <v>1482</v>
      </c>
      <c r="G104" s="152" t="s">
        <v>1483</v>
      </c>
      <c r="H104" s="152"/>
    </row>
    <row r="105" spans="1:8" ht="21.75" customHeight="1" x14ac:dyDescent="0.15">
      <c r="A105" s="151" t="s">
        <v>1485</v>
      </c>
      <c r="B105" s="20" t="s">
        <v>1484</v>
      </c>
      <c r="C105" s="21" t="s">
        <v>1486</v>
      </c>
      <c r="D105" s="152">
        <v>16050</v>
      </c>
      <c r="E105" s="153">
        <v>80000</v>
      </c>
      <c r="F105" s="154">
        <v>1</v>
      </c>
      <c r="G105" s="152" t="s">
        <v>1487</v>
      </c>
      <c r="H105" s="152"/>
    </row>
    <row r="106" spans="1:8" ht="21.75" customHeight="1" x14ac:dyDescent="0.15">
      <c r="A106" s="151" t="s">
        <v>1488</v>
      </c>
      <c r="B106" s="20" t="s">
        <v>1489</v>
      </c>
      <c r="C106" s="21" t="s">
        <v>1490</v>
      </c>
      <c r="D106" s="152">
        <v>16065</v>
      </c>
      <c r="E106" s="153">
        <v>80000</v>
      </c>
      <c r="F106" s="154">
        <v>1</v>
      </c>
      <c r="G106" s="152" t="s">
        <v>165</v>
      </c>
      <c r="H106" s="152"/>
    </row>
    <row r="107" spans="1:8" ht="21.75" customHeight="1" x14ac:dyDescent="0.15">
      <c r="A107" s="151" t="s">
        <v>1488</v>
      </c>
      <c r="B107" s="20" t="s">
        <v>269</v>
      </c>
      <c r="C107" s="21" t="s">
        <v>1491</v>
      </c>
      <c r="D107" s="152">
        <v>16076</v>
      </c>
      <c r="E107" s="153">
        <v>120000</v>
      </c>
      <c r="F107" s="154">
        <v>0.75</v>
      </c>
      <c r="G107" s="152" t="s">
        <v>162</v>
      </c>
      <c r="H107" s="152"/>
    </row>
    <row r="108" spans="1:8" ht="21.75" customHeight="1" x14ac:dyDescent="0.15">
      <c r="A108" s="151" t="s">
        <v>1488</v>
      </c>
      <c r="B108" s="20" t="s">
        <v>269</v>
      </c>
      <c r="C108" s="21" t="s">
        <v>1492</v>
      </c>
      <c r="D108" s="152">
        <v>16075</v>
      </c>
      <c r="E108" s="153">
        <v>120000</v>
      </c>
      <c r="F108" s="154">
        <v>0.75</v>
      </c>
      <c r="G108" s="152" t="s">
        <v>162</v>
      </c>
      <c r="H108" s="152"/>
    </row>
    <row r="109" spans="1:8" ht="21.75" customHeight="1" x14ac:dyDescent="0.15">
      <c r="A109" s="151" t="s">
        <v>1494</v>
      </c>
      <c r="B109" s="20" t="s">
        <v>1493</v>
      </c>
      <c r="C109" s="21" t="s">
        <v>1495</v>
      </c>
      <c r="D109" s="152">
        <v>16049</v>
      </c>
      <c r="E109" s="153">
        <v>80000</v>
      </c>
      <c r="F109" s="154">
        <v>1</v>
      </c>
      <c r="G109" s="152" t="s">
        <v>1487</v>
      </c>
      <c r="H109" s="152"/>
    </row>
    <row r="110" spans="1:8" ht="21.75" customHeight="1" x14ac:dyDescent="0.15">
      <c r="A110" s="151" t="s">
        <v>1496</v>
      </c>
      <c r="B110" s="20" t="s">
        <v>282</v>
      </c>
      <c r="C110" s="21" t="s">
        <v>1417</v>
      </c>
      <c r="D110" s="152">
        <v>13018</v>
      </c>
      <c r="E110" s="153">
        <v>100000</v>
      </c>
      <c r="F110" s="154" t="s">
        <v>1414</v>
      </c>
      <c r="G110" s="152" t="s">
        <v>158</v>
      </c>
      <c r="H110" s="152" t="s">
        <v>1497</v>
      </c>
    </row>
    <row r="111" spans="1:8" ht="21.75" customHeight="1" x14ac:dyDescent="0.15">
      <c r="A111" s="151" t="s">
        <v>1496</v>
      </c>
      <c r="B111" s="20" t="s">
        <v>1468</v>
      </c>
      <c r="C111" s="21" t="s">
        <v>1498</v>
      </c>
      <c r="D111" s="152">
        <v>15057</v>
      </c>
      <c r="E111" s="153">
        <v>10500</v>
      </c>
      <c r="F111" s="154" t="s">
        <v>1414</v>
      </c>
      <c r="G111" s="152" t="s">
        <v>1499</v>
      </c>
      <c r="H111" s="152"/>
    </row>
    <row r="112" spans="1:8" ht="21.75" customHeight="1" x14ac:dyDescent="0.15">
      <c r="A112" s="151" t="s">
        <v>1500</v>
      </c>
      <c r="B112" s="20" t="s">
        <v>1502</v>
      </c>
      <c r="C112" s="21" t="s">
        <v>1501</v>
      </c>
      <c r="D112" s="152">
        <v>15053</v>
      </c>
      <c r="E112" s="153">
        <v>120000</v>
      </c>
      <c r="F112" s="154" t="s">
        <v>1503</v>
      </c>
      <c r="G112" s="152" t="s">
        <v>165</v>
      </c>
      <c r="H112" s="152"/>
    </row>
    <row r="113" spans="1:8" ht="21.75" customHeight="1" x14ac:dyDescent="0.15">
      <c r="A113" s="151" t="s">
        <v>1504</v>
      </c>
      <c r="B113" s="20" t="s">
        <v>310</v>
      </c>
      <c r="C113" s="21" t="s">
        <v>1505</v>
      </c>
      <c r="D113" s="152">
        <v>16016</v>
      </c>
      <c r="E113" s="153">
        <v>60000</v>
      </c>
      <c r="F113" s="154" t="s">
        <v>1506</v>
      </c>
      <c r="G113" s="152" t="s">
        <v>165</v>
      </c>
      <c r="H113" s="152"/>
    </row>
    <row r="114" spans="1:8" ht="21.75" customHeight="1" x14ac:dyDescent="0.15">
      <c r="A114" s="151" t="s">
        <v>1509</v>
      </c>
      <c r="B114" s="20" t="s">
        <v>327</v>
      </c>
      <c r="C114" s="21" t="s">
        <v>1507</v>
      </c>
      <c r="D114" s="152">
        <v>16017</v>
      </c>
      <c r="E114" s="153">
        <v>60000</v>
      </c>
      <c r="F114" s="154" t="s">
        <v>1408</v>
      </c>
      <c r="G114" s="152" t="s">
        <v>165</v>
      </c>
      <c r="H114" s="152"/>
    </row>
    <row r="115" spans="1:8" ht="21.75" customHeight="1" x14ac:dyDescent="0.15">
      <c r="A115" s="151" t="s">
        <v>1510</v>
      </c>
      <c r="B115" s="20" t="s">
        <v>1265</v>
      </c>
      <c r="C115" s="21" t="s">
        <v>1508</v>
      </c>
      <c r="D115" s="152">
        <v>16018</v>
      </c>
      <c r="E115" s="153">
        <v>60000</v>
      </c>
      <c r="F115" s="154" t="s">
        <v>1408</v>
      </c>
      <c r="G115" s="152" t="s">
        <v>165</v>
      </c>
      <c r="H115" s="152"/>
    </row>
    <row r="116" spans="1:8" ht="21.75" customHeight="1" x14ac:dyDescent="0.15">
      <c r="A116" s="151" t="s">
        <v>1514</v>
      </c>
      <c r="B116" s="20" t="s">
        <v>1513</v>
      </c>
      <c r="C116" s="21" t="s">
        <v>1515</v>
      </c>
      <c r="D116" s="152">
        <v>13025</v>
      </c>
      <c r="E116" s="153">
        <v>15000</v>
      </c>
      <c r="F116" s="154" t="s">
        <v>1511</v>
      </c>
      <c r="G116" s="152" t="s">
        <v>1512</v>
      </c>
      <c r="H116" s="152"/>
    </row>
    <row r="117" spans="1:8" ht="21.75" customHeight="1" x14ac:dyDescent="0.15">
      <c r="A117" s="151" t="s">
        <v>1517</v>
      </c>
      <c r="B117" s="20" t="s">
        <v>1516</v>
      </c>
      <c r="C117" s="21" t="s">
        <v>1518</v>
      </c>
      <c r="D117" s="152">
        <v>16048</v>
      </c>
      <c r="E117" s="153">
        <v>80000</v>
      </c>
      <c r="F117" s="154">
        <v>1</v>
      </c>
      <c r="G117" s="152" t="s">
        <v>260</v>
      </c>
      <c r="H117" s="152"/>
    </row>
    <row r="118" spans="1:8" ht="21.75" customHeight="1" x14ac:dyDescent="0.15">
      <c r="A118" s="151" t="s">
        <v>1519</v>
      </c>
      <c r="B118" s="20" t="s">
        <v>1520</v>
      </c>
      <c r="C118" s="21" t="s">
        <v>1521</v>
      </c>
      <c r="D118" s="152">
        <v>16080</v>
      </c>
      <c r="E118" s="153">
        <v>80000</v>
      </c>
      <c r="F118" s="154">
        <v>1</v>
      </c>
      <c r="G118" s="152" t="s">
        <v>171</v>
      </c>
      <c r="H118" s="152"/>
    </row>
    <row r="119" spans="1:8" ht="21.75" customHeight="1" x14ac:dyDescent="0.15">
      <c r="A119" s="151" t="s">
        <v>1522</v>
      </c>
      <c r="B119" s="20" t="s">
        <v>300</v>
      </c>
      <c r="C119" s="21" t="s">
        <v>1525</v>
      </c>
      <c r="D119" s="152">
        <v>16023</v>
      </c>
      <c r="E119" s="153">
        <v>60000</v>
      </c>
      <c r="F119" s="154">
        <v>0.5</v>
      </c>
      <c r="G119" s="152" t="s">
        <v>165</v>
      </c>
      <c r="H119" s="152"/>
    </row>
    <row r="120" spans="1:8" ht="21.75" customHeight="1" x14ac:dyDescent="0.15">
      <c r="A120" s="151" t="s">
        <v>1523</v>
      </c>
      <c r="B120" s="20" t="s">
        <v>199</v>
      </c>
      <c r="C120" s="21" t="s">
        <v>1524</v>
      </c>
      <c r="D120" s="152">
        <v>16019</v>
      </c>
      <c r="E120" s="153">
        <v>60000</v>
      </c>
      <c r="F120" s="154">
        <v>0.5</v>
      </c>
      <c r="G120" s="152" t="s">
        <v>165</v>
      </c>
      <c r="H120" s="152"/>
    </row>
    <row r="121" spans="1:8" ht="21.75" customHeight="1" x14ac:dyDescent="0.15">
      <c r="A121" s="151" t="s">
        <v>1527</v>
      </c>
      <c r="B121" s="20" t="s">
        <v>1526</v>
      </c>
      <c r="C121" s="21" t="s">
        <v>1528</v>
      </c>
      <c r="D121" s="152">
        <v>16024</v>
      </c>
      <c r="E121" s="153">
        <v>60000</v>
      </c>
      <c r="F121" s="154">
        <v>0.5</v>
      </c>
      <c r="G121" s="152" t="s">
        <v>165</v>
      </c>
      <c r="H121" s="152"/>
    </row>
    <row r="122" spans="1:8" ht="21.75" customHeight="1" x14ac:dyDescent="0.15">
      <c r="A122" s="151" t="s">
        <v>1531</v>
      </c>
      <c r="B122" s="20" t="s">
        <v>1529</v>
      </c>
      <c r="C122" s="21" t="s">
        <v>1530</v>
      </c>
      <c r="D122" s="152">
        <v>16054</v>
      </c>
      <c r="E122" s="153">
        <v>73000</v>
      </c>
      <c r="F122" s="154" t="s">
        <v>1532</v>
      </c>
      <c r="G122" s="152" t="s">
        <v>1533</v>
      </c>
      <c r="H122" s="152"/>
    </row>
    <row r="123" spans="1:8" ht="21.75" customHeight="1" x14ac:dyDescent="0.15">
      <c r="A123" s="151" t="s">
        <v>1531</v>
      </c>
      <c r="B123" s="20" t="s">
        <v>1534</v>
      </c>
      <c r="C123" s="21" t="s">
        <v>1535</v>
      </c>
      <c r="D123" s="152">
        <v>16051</v>
      </c>
      <c r="E123" s="153">
        <v>119700</v>
      </c>
      <c r="F123" s="154" t="s">
        <v>1537</v>
      </c>
      <c r="G123" s="152" t="s">
        <v>1536</v>
      </c>
      <c r="H123" s="152"/>
    </row>
    <row r="124" spans="1:8" ht="21.75" customHeight="1" x14ac:dyDescent="0.15">
      <c r="A124" s="151" t="s">
        <v>1539</v>
      </c>
      <c r="B124" s="20" t="s">
        <v>1538</v>
      </c>
      <c r="C124" s="21" t="s">
        <v>1530</v>
      </c>
      <c r="D124" s="152">
        <v>16054</v>
      </c>
      <c r="E124" s="153">
        <v>60833</v>
      </c>
      <c r="F124" s="154" t="s">
        <v>1590</v>
      </c>
      <c r="G124" s="152" t="s">
        <v>1540</v>
      </c>
      <c r="H124" s="152"/>
    </row>
    <row r="125" spans="1:8" ht="21.75" customHeight="1" x14ac:dyDescent="0.15">
      <c r="A125" s="151" t="s">
        <v>1541</v>
      </c>
      <c r="B125" s="20" t="s">
        <v>1543</v>
      </c>
      <c r="C125" s="21" t="s">
        <v>1546</v>
      </c>
      <c r="D125" s="152">
        <v>16022</v>
      </c>
      <c r="E125" s="153">
        <v>60000</v>
      </c>
      <c r="F125" s="154">
        <v>0.5</v>
      </c>
      <c r="G125" s="152" t="s">
        <v>165</v>
      </c>
      <c r="H125" s="152"/>
    </row>
    <row r="126" spans="1:8" ht="21.75" customHeight="1" x14ac:dyDescent="0.15">
      <c r="A126" s="151" t="s">
        <v>1542</v>
      </c>
      <c r="B126" s="20" t="s">
        <v>1544</v>
      </c>
      <c r="C126" s="21" t="s">
        <v>1545</v>
      </c>
      <c r="D126" s="152">
        <v>16020</v>
      </c>
      <c r="E126" s="153">
        <v>60000</v>
      </c>
      <c r="F126" s="154">
        <v>0.5</v>
      </c>
      <c r="G126" s="152" t="s">
        <v>165</v>
      </c>
      <c r="H126" s="152"/>
    </row>
    <row r="127" spans="1:8" ht="21.75" customHeight="1" x14ac:dyDescent="0.15">
      <c r="A127" s="151" t="s">
        <v>1547</v>
      </c>
      <c r="B127" s="20" t="s">
        <v>390</v>
      </c>
      <c r="C127" s="21" t="s">
        <v>1258</v>
      </c>
      <c r="D127" s="152">
        <v>16084</v>
      </c>
      <c r="E127" s="153">
        <v>200950</v>
      </c>
      <c r="F127" s="154">
        <v>0.5</v>
      </c>
      <c r="G127" s="152" t="s">
        <v>165</v>
      </c>
      <c r="H127" s="152"/>
    </row>
    <row r="128" spans="1:8" ht="21.75" customHeight="1" x14ac:dyDescent="0.15">
      <c r="A128" s="151" t="s">
        <v>1548</v>
      </c>
      <c r="B128" s="20" t="s">
        <v>57</v>
      </c>
      <c r="C128" s="21" t="s">
        <v>1258</v>
      </c>
      <c r="D128" s="152">
        <v>16085</v>
      </c>
      <c r="E128" s="153">
        <v>123050</v>
      </c>
      <c r="F128" s="154">
        <v>0.5</v>
      </c>
      <c r="G128" s="152" t="s">
        <v>165</v>
      </c>
      <c r="H128" s="152"/>
    </row>
    <row r="129" spans="1:8" ht="21.75" customHeight="1" x14ac:dyDescent="0.15">
      <c r="A129" s="151" t="s">
        <v>1547</v>
      </c>
      <c r="B129" s="20" t="s">
        <v>1549</v>
      </c>
      <c r="C129" s="21" t="s">
        <v>1550</v>
      </c>
      <c r="D129" s="152">
        <v>16021</v>
      </c>
      <c r="E129" s="153">
        <v>60000</v>
      </c>
      <c r="F129" s="154">
        <v>0.5</v>
      </c>
      <c r="G129" s="152" t="s">
        <v>165</v>
      </c>
      <c r="H129" s="152"/>
    </row>
    <row r="130" spans="1:8" ht="21.75" customHeight="1" x14ac:dyDescent="0.15">
      <c r="A130" s="151" t="s">
        <v>1551</v>
      </c>
      <c r="B130" s="20" t="s">
        <v>1552</v>
      </c>
      <c r="C130" s="21" t="s">
        <v>1553</v>
      </c>
      <c r="D130" s="152">
        <v>16027</v>
      </c>
      <c r="E130" s="153">
        <v>35640</v>
      </c>
      <c r="F130" s="154">
        <v>0.9</v>
      </c>
      <c r="G130" s="152" t="s">
        <v>1554</v>
      </c>
      <c r="H130" s="152"/>
    </row>
    <row r="131" spans="1:8" ht="21.75" customHeight="1" x14ac:dyDescent="0.15">
      <c r="A131" s="151" t="s">
        <v>1551</v>
      </c>
      <c r="B131" s="20" t="s">
        <v>1552</v>
      </c>
      <c r="C131" s="21" t="s">
        <v>1553</v>
      </c>
      <c r="D131" s="152">
        <v>16073</v>
      </c>
      <c r="E131" s="153">
        <v>28080</v>
      </c>
      <c r="F131" s="154">
        <v>0.9</v>
      </c>
      <c r="G131" s="152" t="s">
        <v>1554</v>
      </c>
      <c r="H131" s="152"/>
    </row>
    <row r="132" spans="1:8" ht="21.75" customHeight="1" x14ac:dyDescent="0.15">
      <c r="A132" s="151" t="s">
        <v>1551</v>
      </c>
      <c r="B132" s="20" t="s">
        <v>1555</v>
      </c>
      <c r="C132" s="21" t="s">
        <v>1556</v>
      </c>
      <c r="D132" s="152">
        <v>16026</v>
      </c>
      <c r="E132" s="153">
        <v>21240</v>
      </c>
      <c r="F132" s="154">
        <v>0.9</v>
      </c>
      <c r="G132" s="152" t="s">
        <v>1554</v>
      </c>
      <c r="H132" s="152"/>
    </row>
    <row r="133" spans="1:8" ht="21.75" customHeight="1" x14ac:dyDescent="0.15">
      <c r="A133" s="151" t="s">
        <v>1551</v>
      </c>
      <c r="B133" s="20" t="s">
        <v>1555</v>
      </c>
      <c r="C133" s="21" t="s">
        <v>1556</v>
      </c>
      <c r="D133" s="152">
        <v>16072</v>
      </c>
      <c r="E133" s="153">
        <v>6300</v>
      </c>
      <c r="F133" s="154">
        <v>0.9</v>
      </c>
      <c r="G133" s="152" t="s">
        <v>1554</v>
      </c>
      <c r="H133" s="152"/>
    </row>
    <row r="134" spans="1:8" ht="21.75" customHeight="1" x14ac:dyDescent="0.15">
      <c r="A134" s="151" t="s">
        <v>1551</v>
      </c>
      <c r="B134" s="20" t="s">
        <v>1558</v>
      </c>
      <c r="C134" s="21" t="s">
        <v>1559</v>
      </c>
      <c r="D134" s="152">
        <v>15063</v>
      </c>
      <c r="E134" s="153">
        <v>200000</v>
      </c>
      <c r="F134" s="154">
        <v>0.4</v>
      </c>
      <c r="G134" s="152" t="s">
        <v>1560</v>
      </c>
      <c r="H134" s="152"/>
    </row>
    <row r="135" spans="1:8" s="51" customFormat="1" ht="21.75" customHeight="1" x14ac:dyDescent="0.15">
      <c r="A135" s="156" t="s">
        <v>1557</v>
      </c>
      <c r="B135" s="20" t="s">
        <v>1562</v>
      </c>
      <c r="C135" s="21" t="s">
        <v>1561</v>
      </c>
      <c r="D135" s="157">
        <v>16028</v>
      </c>
      <c r="E135" s="158">
        <v>50040</v>
      </c>
      <c r="F135" s="159">
        <v>0.9</v>
      </c>
      <c r="G135" s="157" t="s">
        <v>1554</v>
      </c>
      <c r="H135" s="157"/>
    </row>
    <row r="136" spans="1:8" s="51" customFormat="1" ht="21.75" customHeight="1" x14ac:dyDescent="0.15">
      <c r="A136" s="156" t="s">
        <v>1557</v>
      </c>
      <c r="B136" s="20" t="s">
        <v>1564</v>
      </c>
      <c r="C136" s="21" t="s">
        <v>222</v>
      </c>
      <c r="D136" s="157">
        <v>16037</v>
      </c>
      <c r="E136" s="158">
        <v>60000</v>
      </c>
      <c r="F136" s="159">
        <v>0.5</v>
      </c>
      <c r="G136" s="157" t="s">
        <v>1566</v>
      </c>
      <c r="H136" s="157"/>
    </row>
    <row r="137" spans="1:8" s="51" customFormat="1" ht="21.75" customHeight="1" x14ac:dyDescent="0.15">
      <c r="A137" s="156" t="s">
        <v>1557</v>
      </c>
      <c r="B137" s="20" t="s">
        <v>1563</v>
      </c>
      <c r="C137" s="21" t="s">
        <v>1565</v>
      </c>
      <c r="D137" s="157">
        <v>16036</v>
      </c>
      <c r="E137" s="158">
        <v>60000</v>
      </c>
      <c r="F137" s="159">
        <v>0.5</v>
      </c>
      <c r="G137" s="157" t="s">
        <v>1566</v>
      </c>
      <c r="H137" s="157"/>
    </row>
    <row r="138" spans="1:8" s="51" customFormat="1" ht="21.75" customHeight="1" x14ac:dyDescent="0.15">
      <c r="A138" s="156" t="s">
        <v>1567</v>
      </c>
      <c r="B138" s="20" t="s">
        <v>1568</v>
      </c>
      <c r="C138" s="21" t="s">
        <v>1569</v>
      </c>
      <c r="D138" s="157">
        <v>15021</v>
      </c>
      <c r="E138" s="158">
        <v>100000</v>
      </c>
      <c r="F138" s="159">
        <v>1</v>
      </c>
      <c r="G138" s="157" t="s">
        <v>170</v>
      </c>
      <c r="H138" s="157"/>
    </row>
    <row r="139" spans="1:8" s="51" customFormat="1" ht="22.5" x14ac:dyDescent="0.15">
      <c r="A139" s="156" t="s">
        <v>1567</v>
      </c>
      <c r="B139" s="20" t="s">
        <v>1570</v>
      </c>
      <c r="C139" s="21" t="s">
        <v>1571</v>
      </c>
      <c r="D139" s="157">
        <v>15022</v>
      </c>
      <c r="E139" s="158">
        <v>100000</v>
      </c>
      <c r="F139" s="159">
        <v>1</v>
      </c>
      <c r="G139" s="157" t="s">
        <v>170</v>
      </c>
      <c r="H139" s="157"/>
    </row>
    <row r="140" spans="1:8" s="51" customFormat="1" ht="21.95" customHeight="1" x14ac:dyDescent="0.15">
      <c r="A140" s="156" t="s">
        <v>1573</v>
      </c>
      <c r="B140" s="20" t="s">
        <v>1572</v>
      </c>
      <c r="C140" s="21" t="s">
        <v>1574</v>
      </c>
      <c r="D140" s="157">
        <v>14011</v>
      </c>
      <c r="E140" s="158">
        <v>150000</v>
      </c>
      <c r="F140" s="53" t="s">
        <v>273</v>
      </c>
      <c r="G140" s="157" t="s">
        <v>1575</v>
      </c>
      <c r="H140" s="157"/>
    </row>
    <row r="141" spans="1:8" s="51" customFormat="1" ht="21.95" customHeight="1" x14ac:dyDescent="0.15">
      <c r="A141" s="156" t="s">
        <v>1576</v>
      </c>
      <c r="B141" s="20" t="s">
        <v>1577</v>
      </c>
      <c r="C141" s="21" t="s">
        <v>1578</v>
      </c>
      <c r="D141" s="157">
        <v>14026</v>
      </c>
      <c r="E141" s="158">
        <v>45000</v>
      </c>
      <c r="F141" s="159">
        <v>0.25</v>
      </c>
      <c r="G141" s="157" t="s">
        <v>1579</v>
      </c>
      <c r="H141" s="157"/>
    </row>
    <row r="142" spans="1:8" s="51" customFormat="1" ht="21.95" customHeight="1" x14ac:dyDescent="0.15">
      <c r="A142" s="156" t="s">
        <v>1580</v>
      </c>
      <c r="B142" s="20" t="s">
        <v>1581</v>
      </c>
      <c r="C142" s="160" t="s">
        <v>1582</v>
      </c>
      <c r="D142" s="161">
        <v>16088</v>
      </c>
      <c r="E142" s="158">
        <v>32000</v>
      </c>
      <c r="F142" s="159">
        <v>0.8</v>
      </c>
      <c r="G142" s="157" t="s">
        <v>1584</v>
      </c>
      <c r="H142" s="157"/>
    </row>
    <row r="143" spans="1:8" s="51" customFormat="1" ht="21.95" customHeight="1" x14ac:dyDescent="0.15">
      <c r="A143" s="156" t="s">
        <v>1580</v>
      </c>
      <c r="B143" s="20" t="s">
        <v>1581</v>
      </c>
      <c r="C143" s="160" t="s">
        <v>1583</v>
      </c>
      <c r="D143" s="161">
        <v>16089</v>
      </c>
      <c r="E143" s="158">
        <v>32000</v>
      </c>
      <c r="F143" s="159">
        <v>0.8</v>
      </c>
      <c r="G143" s="157" t="s">
        <v>1584</v>
      </c>
      <c r="H143" s="157"/>
    </row>
    <row r="144" spans="1:8" s="51" customFormat="1" ht="21.95" customHeight="1" x14ac:dyDescent="0.15">
      <c r="A144" s="156" t="s">
        <v>1586</v>
      </c>
      <c r="B144" s="20" t="s">
        <v>1592</v>
      </c>
      <c r="C144" s="21" t="s">
        <v>1593</v>
      </c>
      <c r="D144" s="157">
        <v>16079</v>
      </c>
      <c r="E144" s="158">
        <v>6840</v>
      </c>
      <c r="F144" s="159">
        <v>1</v>
      </c>
      <c r="G144" s="157" t="s">
        <v>1594</v>
      </c>
      <c r="H144" s="157"/>
    </row>
    <row r="145" spans="1:8" s="51" customFormat="1" ht="21.95" customHeight="1" x14ac:dyDescent="0.15">
      <c r="A145" s="156" t="s">
        <v>1585</v>
      </c>
      <c r="B145" s="20" t="s">
        <v>1587</v>
      </c>
      <c r="C145" s="21" t="s">
        <v>1588</v>
      </c>
      <c r="D145" s="157">
        <v>16054</v>
      </c>
      <c r="E145" s="158">
        <v>60833</v>
      </c>
      <c r="F145" s="159" t="s">
        <v>1591</v>
      </c>
      <c r="G145" s="157" t="s">
        <v>1589</v>
      </c>
      <c r="H145" s="157"/>
    </row>
    <row r="146" spans="1:8" ht="21.95" customHeight="1" x14ac:dyDescent="0.15">
      <c r="A146" s="151" t="s">
        <v>1595</v>
      </c>
      <c r="B146" s="20" t="s">
        <v>1596</v>
      </c>
      <c r="C146" s="21" t="s">
        <v>1597</v>
      </c>
      <c r="D146" s="152">
        <v>14012</v>
      </c>
      <c r="E146" s="153">
        <v>150000</v>
      </c>
      <c r="F146" s="53" t="s">
        <v>273</v>
      </c>
      <c r="G146" s="157" t="s">
        <v>1575</v>
      </c>
      <c r="H146" s="152"/>
    </row>
    <row r="147" spans="1:8" ht="21.95" customHeight="1" x14ac:dyDescent="0.15">
      <c r="A147" s="151" t="s">
        <v>1598</v>
      </c>
      <c r="B147" s="20" t="s">
        <v>1599</v>
      </c>
      <c r="C147" s="21" t="s">
        <v>1600</v>
      </c>
      <c r="D147" s="152">
        <v>16101</v>
      </c>
      <c r="E147" s="153">
        <v>28000</v>
      </c>
      <c r="F147" s="159">
        <v>1</v>
      </c>
      <c r="G147" s="157" t="s">
        <v>1566</v>
      </c>
      <c r="H147" s="152"/>
    </row>
    <row r="148" spans="1:8" ht="21.95" customHeight="1" x14ac:dyDescent="0.15">
      <c r="A148" s="151" t="s">
        <v>1598</v>
      </c>
      <c r="B148" s="20" t="s">
        <v>1601</v>
      </c>
      <c r="C148" s="21" t="s">
        <v>1602</v>
      </c>
      <c r="D148" s="152">
        <v>16096</v>
      </c>
      <c r="E148" s="153">
        <v>28000</v>
      </c>
      <c r="F148" s="159">
        <v>1</v>
      </c>
      <c r="G148" s="157" t="s">
        <v>1566</v>
      </c>
      <c r="H148" s="152"/>
    </row>
    <row r="149" spans="1:8" ht="21.95" customHeight="1" x14ac:dyDescent="0.15">
      <c r="A149" s="151" t="s">
        <v>1598</v>
      </c>
      <c r="B149" s="20" t="s">
        <v>1603</v>
      </c>
      <c r="C149" s="21" t="s">
        <v>1604</v>
      </c>
      <c r="D149" s="152">
        <v>16102</v>
      </c>
      <c r="E149" s="153">
        <v>28000</v>
      </c>
      <c r="F149" s="159">
        <v>1</v>
      </c>
      <c r="G149" s="157" t="s">
        <v>1566</v>
      </c>
      <c r="H149" s="152"/>
    </row>
    <row r="150" spans="1:8" ht="21.95" customHeight="1" x14ac:dyDescent="0.15">
      <c r="A150" s="151" t="s">
        <v>1598</v>
      </c>
      <c r="B150" s="20" t="s">
        <v>1605</v>
      </c>
      <c r="C150" s="21" t="s">
        <v>1606</v>
      </c>
      <c r="D150" s="152">
        <v>14013</v>
      </c>
      <c r="E150" s="153">
        <v>150000</v>
      </c>
      <c r="F150" s="53" t="s">
        <v>273</v>
      </c>
      <c r="G150" s="157" t="s">
        <v>1566</v>
      </c>
      <c r="H150" s="152"/>
    </row>
    <row r="151" spans="1:8" ht="21.95" customHeight="1" x14ac:dyDescent="0.15">
      <c r="A151" s="151" t="s">
        <v>1598</v>
      </c>
      <c r="B151" s="20" t="s">
        <v>1607</v>
      </c>
      <c r="C151" s="21" t="s">
        <v>1608</v>
      </c>
      <c r="D151" s="152">
        <v>16104</v>
      </c>
      <c r="E151" s="153">
        <v>28000</v>
      </c>
      <c r="F151" s="159">
        <v>1</v>
      </c>
      <c r="G151" s="157" t="s">
        <v>1566</v>
      </c>
      <c r="H151" s="152"/>
    </row>
    <row r="152" spans="1:8" ht="21.95" customHeight="1" x14ac:dyDescent="0.15">
      <c r="A152" s="151" t="s">
        <v>1598</v>
      </c>
      <c r="B152" s="20" t="s">
        <v>1609</v>
      </c>
      <c r="C152" s="21" t="s">
        <v>1610</v>
      </c>
      <c r="D152" s="152">
        <v>14018</v>
      </c>
      <c r="E152" s="153">
        <v>150000</v>
      </c>
      <c r="F152" s="53" t="s">
        <v>273</v>
      </c>
      <c r="G152" s="157" t="s">
        <v>1566</v>
      </c>
      <c r="H152" s="152"/>
    </row>
    <row r="153" spans="1:8" ht="21.95" customHeight="1" x14ac:dyDescent="0.15">
      <c r="A153" s="151" t="s">
        <v>1598</v>
      </c>
      <c r="B153" s="20" t="s">
        <v>1607</v>
      </c>
      <c r="C153" s="21" t="s">
        <v>1608</v>
      </c>
      <c r="D153" s="152">
        <v>14015</v>
      </c>
      <c r="E153" s="153">
        <v>150000</v>
      </c>
      <c r="F153" s="53" t="s">
        <v>273</v>
      </c>
      <c r="G153" s="157" t="s">
        <v>1566</v>
      </c>
      <c r="H153" s="152"/>
    </row>
    <row r="154" spans="1:8" ht="21.95" customHeight="1" x14ac:dyDescent="0.15">
      <c r="A154" s="151" t="s">
        <v>1598</v>
      </c>
      <c r="B154" s="20" t="s">
        <v>1611</v>
      </c>
      <c r="C154" s="21" t="s">
        <v>1612</v>
      </c>
      <c r="D154" s="152">
        <v>16106</v>
      </c>
      <c r="E154" s="153">
        <v>28000</v>
      </c>
      <c r="F154" s="159">
        <v>1</v>
      </c>
      <c r="G154" s="157" t="s">
        <v>1566</v>
      </c>
      <c r="H154" s="152"/>
    </row>
    <row r="155" spans="1:8" ht="21.95" customHeight="1" x14ac:dyDescent="0.15">
      <c r="A155" s="151" t="s">
        <v>1598</v>
      </c>
      <c r="B155" s="20" t="s">
        <v>1601</v>
      </c>
      <c r="C155" s="21" t="s">
        <v>1602</v>
      </c>
      <c r="D155" s="152">
        <v>14017</v>
      </c>
      <c r="E155" s="153">
        <v>150000</v>
      </c>
      <c r="F155" s="53" t="s">
        <v>273</v>
      </c>
      <c r="G155" s="157" t="s">
        <v>1566</v>
      </c>
      <c r="H155" s="152"/>
    </row>
    <row r="156" spans="1:8" ht="21.95" customHeight="1" x14ac:dyDescent="0.15">
      <c r="A156" s="151" t="s">
        <v>1598</v>
      </c>
      <c r="B156" s="20" t="s">
        <v>1603</v>
      </c>
      <c r="C156" s="21" t="s">
        <v>1604</v>
      </c>
      <c r="D156" s="152">
        <v>12061</v>
      </c>
      <c r="E156" s="153">
        <v>150000</v>
      </c>
      <c r="F156" s="53" t="s">
        <v>273</v>
      </c>
      <c r="G156" s="157" t="s">
        <v>1566</v>
      </c>
      <c r="H156" s="152"/>
    </row>
    <row r="157" spans="1:8" ht="21.95" customHeight="1" x14ac:dyDescent="0.15">
      <c r="A157" s="151" t="s">
        <v>1598</v>
      </c>
      <c r="B157" s="20" t="s">
        <v>1605</v>
      </c>
      <c r="C157" s="21" t="s">
        <v>1606</v>
      </c>
      <c r="D157" s="152">
        <v>16098</v>
      </c>
      <c r="E157" s="153">
        <v>28000</v>
      </c>
      <c r="F157" s="159">
        <v>1</v>
      </c>
      <c r="G157" s="157" t="s">
        <v>1566</v>
      </c>
      <c r="H157" s="152"/>
    </row>
    <row r="158" spans="1:8" ht="21.95" customHeight="1" x14ac:dyDescent="0.15">
      <c r="A158" s="151" t="s">
        <v>1598</v>
      </c>
      <c r="B158" s="20" t="s">
        <v>1613</v>
      </c>
      <c r="C158" s="21" t="s">
        <v>1614</v>
      </c>
      <c r="D158" s="152">
        <v>16103</v>
      </c>
      <c r="E158" s="153">
        <v>28000</v>
      </c>
      <c r="F158" s="159">
        <v>1</v>
      </c>
      <c r="G158" s="157" t="s">
        <v>1566</v>
      </c>
      <c r="H158" s="152"/>
    </row>
    <row r="159" spans="1:8" ht="21.95" customHeight="1" x14ac:dyDescent="0.15">
      <c r="A159" s="151" t="s">
        <v>1598</v>
      </c>
      <c r="B159" s="20" t="s">
        <v>1615</v>
      </c>
      <c r="C159" s="21" t="s">
        <v>1616</v>
      </c>
      <c r="D159" s="152">
        <v>16070</v>
      </c>
      <c r="E159" s="153">
        <v>9050</v>
      </c>
      <c r="F159" s="159">
        <v>1</v>
      </c>
      <c r="G159" s="157" t="s">
        <v>1617</v>
      </c>
      <c r="H159" s="152"/>
    </row>
    <row r="160" spans="1:8" ht="21.95" customHeight="1" x14ac:dyDescent="0.15">
      <c r="A160" s="151" t="s">
        <v>1598</v>
      </c>
      <c r="B160" s="20" t="s">
        <v>1618</v>
      </c>
      <c r="C160" s="21" t="s">
        <v>1619</v>
      </c>
      <c r="D160" s="152">
        <v>16043</v>
      </c>
      <c r="E160" s="153">
        <v>144000</v>
      </c>
      <c r="F160" s="159">
        <v>0.6</v>
      </c>
      <c r="G160" s="157" t="s">
        <v>1620</v>
      </c>
      <c r="H160" s="152"/>
    </row>
    <row r="161" spans="1:8" ht="21.95" customHeight="1" x14ac:dyDescent="0.15">
      <c r="A161" s="151" t="s">
        <v>1621</v>
      </c>
      <c r="B161" s="20" t="s">
        <v>1622</v>
      </c>
      <c r="C161" s="21" t="s">
        <v>1623</v>
      </c>
      <c r="D161" s="152">
        <v>16094</v>
      </c>
      <c r="E161" s="153">
        <v>28000</v>
      </c>
      <c r="F161" s="159">
        <v>1</v>
      </c>
      <c r="G161" s="157" t="s">
        <v>1566</v>
      </c>
      <c r="H161" s="152"/>
    </row>
    <row r="162" spans="1:8" ht="21.95" customHeight="1" x14ac:dyDescent="0.15">
      <c r="A162" s="151" t="s">
        <v>1621</v>
      </c>
      <c r="B162" s="20" t="s">
        <v>1622</v>
      </c>
      <c r="C162" s="21" t="s">
        <v>1623</v>
      </c>
      <c r="D162" s="152">
        <v>14019</v>
      </c>
      <c r="E162" s="153">
        <v>150000</v>
      </c>
      <c r="F162" s="53" t="s">
        <v>273</v>
      </c>
      <c r="G162" s="157" t="s">
        <v>1566</v>
      </c>
      <c r="H162" s="152"/>
    </row>
    <row r="163" spans="1:8" ht="21.95" customHeight="1" x14ac:dyDescent="0.15">
      <c r="A163" s="151" t="s">
        <v>1621</v>
      </c>
      <c r="B163" s="20" t="s">
        <v>1624</v>
      </c>
      <c r="C163" s="21" t="s">
        <v>1625</v>
      </c>
      <c r="D163" s="152">
        <v>14020</v>
      </c>
      <c r="E163" s="153">
        <v>150000</v>
      </c>
      <c r="F163" s="53" t="s">
        <v>273</v>
      </c>
      <c r="G163" s="157" t="s">
        <v>1566</v>
      </c>
      <c r="H163" s="152"/>
    </row>
    <row r="164" spans="1:8" ht="21.95" customHeight="1" x14ac:dyDescent="0.15">
      <c r="A164" s="151" t="s">
        <v>1626</v>
      </c>
      <c r="B164" s="20" t="s">
        <v>1629</v>
      </c>
      <c r="C164" s="21" t="s">
        <v>1627</v>
      </c>
      <c r="D164" s="152" t="s">
        <v>1630</v>
      </c>
      <c r="E164" s="153">
        <v>120000</v>
      </c>
      <c r="F164" s="159">
        <v>1</v>
      </c>
      <c r="G164" s="157" t="s">
        <v>1628</v>
      </c>
      <c r="H164" s="152"/>
    </row>
    <row r="165" spans="1:8" ht="21.95" customHeight="1" x14ac:dyDescent="0.15">
      <c r="A165" s="151" t="s">
        <v>1626</v>
      </c>
      <c r="B165" s="20" t="s">
        <v>1631</v>
      </c>
      <c r="C165" s="21" t="s">
        <v>1632</v>
      </c>
      <c r="D165" s="152">
        <v>14009</v>
      </c>
      <c r="E165" s="153">
        <v>150000</v>
      </c>
      <c r="F165" s="53" t="s">
        <v>273</v>
      </c>
      <c r="G165" s="53" t="s">
        <v>1633</v>
      </c>
      <c r="H165" s="152"/>
    </row>
    <row r="166" spans="1:8" ht="21.95" customHeight="1" x14ac:dyDescent="0.15">
      <c r="A166" s="151" t="s">
        <v>1626</v>
      </c>
      <c r="B166" s="20" t="s">
        <v>1634</v>
      </c>
      <c r="C166" s="21" t="s">
        <v>1648</v>
      </c>
      <c r="D166" s="152">
        <v>12062</v>
      </c>
      <c r="E166" s="153">
        <v>150000</v>
      </c>
      <c r="F166" s="53" t="s">
        <v>273</v>
      </c>
      <c r="G166" s="53" t="s">
        <v>1633</v>
      </c>
      <c r="H166" s="152"/>
    </row>
    <row r="167" spans="1:8" ht="21.95" customHeight="1" x14ac:dyDescent="0.15">
      <c r="A167" s="151" t="s">
        <v>1626</v>
      </c>
      <c r="B167" s="20" t="s">
        <v>1635</v>
      </c>
      <c r="C167" s="21" t="s">
        <v>1649</v>
      </c>
      <c r="D167" s="152">
        <v>14021</v>
      </c>
      <c r="E167" s="153">
        <v>450000</v>
      </c>
      <c r="F167" s="53" t="s">
        <v>273</v>
      </c>
      <c r="G167" s="53" t="s">
        <v>1633</v>
      </c>
      <c r="H167" s="152"/>
    </row>
    <row r="168" spans="1:8" ht="21.95" customHeight="1" x14ac:dyDescent="0.15">
      <c r="A168" s="151" t="s">
        <v>1626</v>
      </c>
      <c r="B168" s="20" t="s">
        <v>1638</v>
      </c>
      <c r="C168" s="21" t="s">
        <v>1639</v>
      </c>
      <c r="D168" s="152">
        <v>16100</v>
      </c>
      <c r="E168" s="153">
        <v>28000</v>
      </c>
      <c r="F168" s="159">
        <v>1</v>
      </c>
      <c r="G168" s="53" t="s">
        <v>1633</v>
      </c>
      <c r="H168" s="152"/>
    </row>
    <row r="169" spans="1:8" ht="21.95" customHeight="1" x14ac:dyDescent="0.15">
      <c r="A169" s="151" t="s">
        <v>1626</v>
      </c>
      <c r="B169" s="20" t="s">
        <v>1640</v>
      </c>
      <c r="C169" s="21" t="s">
        <v>1641</v>
      </c>
      <c r="D169" s="152">
        <v>16099</v>
      </c>
      <c r="E169" s="153">
        <v>28000</v>
      </c>
      <c r="F169" s="159">
        <v>1</v>
      </c>
      <c r="G169" s="53" t="s">
        <v>1633</v>
      </c>
      <c r="H169" s="152"/>
    </row>
    <row r="170" spans="1:8" ht="21.95" customHeight="1" x14ac:dyDescent="0.15">
      <c r="A170" s="151" t="s">
        <v>1626</v>
      </c>
      <c r="B170" s="20" t="s">
        <v>1635</v>
      </c>
      <c r="C170" s="21" t="s">
        <v>1647</v>
      </c>
      <c r="D170" s="152">
        <v>16078</v>
      </c>
      <c r="E170" s="153">
        <v>35000</v>
      </c>
      <c r="F170" s="159">
        <v>1</v>
      </c>
      <c r="G170" s="53" t="s">
        <v>1633</v>
      </c>
      <c r="H170" s="152"/>
    </row>
    <row r="171" spans="1:8" ht="21.95" customHeight="1" x14ac:dyDescent="0.15">
      <c r="A171" s="151" t="s">
        <v>1626</v>
      </c>
      <c r="B171" s="20" t="s">
        <v>1642</v>
      </c>
      <c r="C171" s="21" t="s">
        <v>1643</v>
      </c>
      <c r="D171" s="152">
        <v>14016</v>
      </c>
      <c r="E171" s="153">
        <v>150000</v>
      </c>
      <c r="F171" s="53" t="s">
        <v>273</v>
      </c>
      <c r="G171" s="53" t="s">
        <v>1633</v>
      </c>
      <c r="H171" s="152"/>
    </row>
    <row r="172" spans="1:8" ht="21.95" customHeight="1" x14ac:dyDescent="0.15">
      <c r="A172" s="151" t="s">
        <v>1637</v>
      </c>
      <c r="B172" s="20" t="s">
        <v>1636</v>
      </c>
      <c r="C172" s="21" t="s">
        <v>1644</v>
      </c>
      <c r="D172" s="152">
        <v>14010</v>
      </c>
      <c r="E172" s="153">
        <v>150000</v>
      </c>
      <c r="F172" s="53" t="s">
        <v>273</v>
      </c>
      <c r="G172" s="53" t="s">
        <v>1633</v>
      </c>
      <c r="H172" s="152"/>
    </row>
    <row r="173" spans="1:8" ht="21.95" customHeight="1" x14ac:dyDescent="0.15">
      <c r="A173" s="151" t="s">
        <v>1637</v>
      </c>
      <c r="B173" s="20" t="s">
        <v>364</v>
      </c>
      <c r="C173" s="21" t="s">
        <v>1645</v>
      </c>
      <c r="D173" s="152">
        <v>16044</v>
      </c>
      <c r="E173" s="153">
        <v>53100</v>
      </c>
      <c r="F173" s="159" t="s">
        <v>1650</v>
      </c>
      <c r="G173" s="53" t="s">
        <v>1646</v>
      </c>
      <c r="H173" s="152"/>
    </row>
    <row r="174" spans="1:8" s="51" customFormat="1" ht="21.95" customHeight="1" x14ac:dyDescent="0.15">
      <c r="A174" s="156" t="s">
        <v>1651</v>
      </c>
      <c r="B174" s="20" t="s">
        <v>1655</v>
      </c>
      <c r="C174" s="21" t="s">
        <v>1657</v>
      </c>
      <c r="D174" s="157">
        <v>16097</v>
      </c>
      <c r="E174" s="158">
        <v>28000</v>
      </c>
      <c r="F174" s="159">
        <v>1</v>
      </c>
      <c r="G174" s="53" t="s">
        <v>1594</v>
      </c>
      <c r="H174" s="157"/>
    </row>
    <row r="175" spans="1:8" s="51" customFormat="1" ht="21.95" customHeight="1" x14ac:dyDescent="0.15">
      <c r="A175" s="156" t="s">
        <v>1651</v>
      </c>
      <c r="B175" s="20" t="s">
        <v>1652</v>
      </c>
      <c r="C175" s="21" t="s">
        <v>1656</v>
      </c>
      <c r="D175" s="157">
        <v>14014</v>
      </c>
      <c r="E175" s="158">
        <v>150000</v>
      </c>
      <c r="F175" s="53" t="s">
        <v>273</v>
      </c>
      <c r="G175" s="53" t="s">
        <v>1594</v>
      </c>
      <c r="H175" s="157"/>
    </row>
    <row r="176" spans="1:8" s="51" customFormat="1" ht="21.95" customHeight="1" x14ac:dyDescent="0.15">
      <c r="A176" s="156" t="s">
        <v>1651</v>
      </c>
      <c r="B176" s="20" t="s">
        <v>1653</v>
      </c>
      <c r="C176" s="21" t="s">
        <v>1658</v>
      </c>
      <c r="D176" s="157">
        <v>16095</v>
      </c>
      <c r="E176" s="158">
        <v>28000</v>
      </c>
      <c r="F176" s="159">
        <v>1</v>
      </c>
      <c r="G176" s="53" t="s">
        <v>1633</v>
      </c>
      <c r="H176" s="157"/>
    </row>
    <row r="177" spans="1:8" s="51" customFormat="1" ht="21.95" customHeight="1" x14ac:dyDescent="0.15">
      <c r="A177" s="156" t="s">
        <v>1684</v>
      </c>
      <c r="B177" s="20" t="s">
        <v>1685</v>
      </c>
      <c r="C177" s="21" t="s">
        <v>1686</v>
      </c>
      <c r="D177" s="157">
        <v>15040</v>
      </c>
      <c r="E177" s="158">
        <v>126000</v>
      </c>
      <c r="F177" s="159">
        <v>1</v>
      </c>
      <c r="G177" s="53" t="s">
        <v>1566</v>
      </c>
      <c r="H177" s="157"/>
    </row>
    <row r="178" spans="1:8" s="51" customFormat="1" ht="21.95" customHeight="1" x14ac:dyDescent="0.15">
      <c r="A178" s="156" t="s">
        <v>1654</v>
      </c>
      <c r="B178" s="20" t="s">
        <v>1662</v>
      </c>
      <c r="C178" s="21" t="s">
        <v>1663</v>
      </c>
      <c r="D178" s="157">
        <v>15064</v>
      </c>
      <c r="E178" s="158">
        <v>278280</v>
      </c>
      <c r="F178" s="162">
        <v>0.9</v>
      </c>
      <c r="G178" s="53" t="s">
        <v>1664</v>
      </c>
      <c r="H178" s="157"/>
    </row>
    <row r="179" spans="1:8" s="51" customFormat="1" ht="21.95" customHeight="1" x14ac:dyDescent="0.15">
      <c r="A179" s="156" t="s">
        <v>1654</v>
      </c>
      <c r="B179" s="20" t="s">
        <v>1104</v>
      </c>
      <c r="C179" s="21" t="s">
        <v>1665</v>
      </c>
      <c r="D179" s="157">
        <v>14037</v>
      </c>
      <c r="E179" s="158">
        <v>46800</v>
      </c>
      <c r="F179" s="162">
        <v>0.1</v>
      </c>
      <c r="G179" s="53" t="s">
        <v>1666</v>
      </c>
      <c r="H179" s="157"/>
    </row>
    <row r="180" spans="1:8" s="51" customFormat="1" ht="21.95" customHeight="1" x14ac:dyDescent="0.15">
      <c r="A180" s="156" t="s">
        <v>1659</v>
      </c>
      <c r="B180" s="20" t="s">
        <v>1667</v>
      </c>
      <c r="C180" s="21" t="s">
        <v>1669</v>
      </c>
      <c r="D180" s="157">
        <v>13048</v>
      </c>
      <c r="E180" s="158">
        <v>544485</v>
      </c>
      <c r="F180" s="159" t="s">
        <v>1511</v>
      </c>
      <c r="G180" s="53" t="s">
        <v>1668</v>
      </c>
      <c r="H180" s="157"/>
    </row>
    <row r="181" spans="1:8" s="51" customFormat="1" ht="21.95" customHeight="1" x14ac:dyDescent="0.15">
      <c r="A181" s="156" t="s">
        <v>1659</v>
      </c>
      <c r="B181" s="20" t="s">
        <v>1660</v>
      </c>
      <c r="C181" s="21" t="s">
        <v>1670</v>
      </c>
      <c r="D181" s="157">
        <v>16029</v>
      </c>
      <c r="E181" s="158">
        <v>26000</v>
      </c>
      <c r="F181" s="162">
        <v>0.2</v>
      </c>
      <c r="G181" s="53" t="s">
        <v>1671</v>
      </c>
      <c r="H181" s="157"/>
    </row>
    <row r="182" spans="1:8" s="51" customFormat="1" ht="21.95" customHeight="1" x14ac:dyDescent="0.15">
      <c r="A182" s="156" t="s">
        <v>1659</v>
      </c>
      <c r="B182" s="20" t="s">
        <v>176</v>
      </c>
      <c r="C182" s="21" t="s">
        <v>1674</v>
      </c>
      <c r="D182" s="157">
        <v>16067</v>
      </c>
      <c r="E182" s="158">
        <v>348840</v>
      </c>
      <c r="F182" s="162">
        <v>0.9</v>
      </c>
      <c r="G182" s="53" t="s">
        <v>1673</v>
      </c>
      <c r="H182" s="157"/>
    </row>
    <row r="183" spans="1:8" s="51" customFormat="1" ht="21.95" customHeight="1" x14ac:dyDescent="0.15">
      <c r="A183" s="156" t="s">
        <v>1659</v>
      </c>
      <c r="B183" s="20" t="s">
        <v>1675</v>
      </c>
      <c r="C183" s="21" t="s">
        <v>1676</v>
      </c>
      <c r="D183" s="157">
        <v>16074</v>
      </c>
      <c r="E183" s="158">
        <v>75600</v>
      </c>
      <c r="F183" s="162">
        <v>0.6</v>
      </c>
      <c r="G183" s="53" t="s">
        <v>1677</v>
      </c>
      <c r="H183" s="157"/>
    </row>
    <row r="184" spans="1:8" s="51" customFormat="1" ht="21.95" customHeight="1" x14ac:dyDescent="0.15">
      <c r="A184" s="156" t="s">
        <v>1659</v>
      </c>
      <c r="B184" s="20" t="s">
        <v>1661</v>
      </c>
      <c r="C184" s="21" t="s">
        <v>1672</v>
      </c>
      <c r="D184" s="157">
        <v>16014</v>
      </c>
      <c r="E184" s="158">
        <v>75000</v>
      </c>
      <c r="F184" s="162">
        <v>1</v>
      </c>
      <c r="G184" s="53" t="s">
        <v>1673</v>
      </c>
      <c r="H184" s="157"/>
    </row>
    <row r="185" spans="1:8" s="51" customFormat="1" ht="21.95" customHeight="1" x14ac:dyDescent="0.15">
      <c r="A185" s="156" t="s">
        <v>1659</v>
      </c>
      <c r="B185" s="20" t="s">
        <v>1678</v>
      </c>
      <c r="C185" s="21" t="s">
        <v>1679</v>
      </c>
      <c r="D185" s="157">
        <v>16092</v>
      </c>
      <c r="E185" s="158">
        <v>22000</v>
      </c>
      <c r="F185" s="162">
        <v>1</v>
      </c>
      <c r="G185" s="53" t="s">
        <v>1668</v>
      </c>
      <c r="H185" s="157"/>
    </row>
    <row r="186" spans="1:8" ht="21.95" customHeight="1" x14ac:dyDescent="0.15">
      <c r="A186" s="163" t="s">
        <v>1680</v>
      </c>
      <c r="B186" s="44" t="s">
        <v>1681</v>
      </c>
      <c r="C186" s="42" t="s">
        <v>1682</v>
      </c>
      <c r="D186" s="164">
        <v>16029</v>
      </c>
      <c r="E186" s="165">
        <v>91000</v>
      </c>
      <c r="F186" s="166">
        <v>0.7</v>
      </c>
      <c r="G186" s="120" t="s">
        <v>1683</v>
      </c>
      <c r="H186" s="164"/>
    </row>
    <row r="187" spans="1:8" ht="21.95" customHeight="1" x14ac:dyDescent="0.15">
      <c r="A187" s="151" t="s">
        <v>1687</v>
      </c>
      <c r="B187" s="20" t="s">
        <v>1688</v>
      </c>
      <c r="C187" s="21" t="s">
        <v>1690</v>
      </c>
      <c r="D187" s="152">
        <v>14036</v>
      </c>
      <c r="E187" s="153">
        <v>100000</v>
      </c>
      <c r="F187" s="53" t="s">
        <v>230</v>
      </c>
      <c r="G187" s="53" t="s">
        <v>1689</v>
      </c>
      <c r="H187" s="152"/>
    </row>
    <row r="188" spans="1:8" ht="21.75" customHeight="1" x14ac:dyDescent="0.15">
      <c r="A188" s="1180" t="s">
        <v>1138</v>
      </c>
      <c r="B188" s="1181"/>
      <c r="C188" s="1181"/>
      <c r="D188" s="1182"/>
      <c r="E188" s="76">
        <f>SUM(E3:E187)</f>
        <v>20961630.640000001</v>
      </c>
      <c r="F188" s="13"/>
      <c r="G188" s="13"/>
      <c r="H188" s="13"/>
    </row>
    <row r="189" spans="1:8" ht="12" x14ac:dyDescent="0.15">
      <c r="E189" s="77"/>
      <c r="F189" s="14" t="s">
        <v>1139</v>
      </c>
    </row>
  </sheetData>
  <autoFilter ref="A2:G189" xr:uid="{00000000-0009-0000-0000-000003000000}"/>
  <mergeCells count="2">
    <mergeCell ref="A1:G1"/>
    <mergeCell ref="A188:D188"/>
  </mergeCells>
  <phoneticPr fontId="11" type="noConversion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46"/>
  <sheetViews>
    <sheetView workbookViewId="0">
      <selection sqref="A1:G1"/>
    </sheetView>
  </sheetViews>
  <sheetFormatPr defaultColWidth="13.625" defaultRowHeight="21.75" customHeight="1" x14ac:dyDescent="0.15"/>
  <cols>
    <col min="1" max="1" width="11.375" style="14" customWidth="1"/>
    <col min="2" max="2" width="23.5" style="14" customWidth="1"/>
    <col min="3" max="3" width="11" style="14" customWidth="1"/>
    <col min="4" max="4" width="11.875" style="51" customWidth="1"/>
    <col min="5" max="5" width="17.125" style="15" bestFit="1" customWidth="1"/>
    <col min="6" max="6" width="18.25" style="14" customWidth="1"/>
    <col min="7" max="7" width="8.875" style="14" customWidth="1"/>
    <col min="8" max="8" width="33.25" style="14" customWidth="1"/>
    <col min="9" max="9" width="25.375" style="14" customWidth="1"/>
    <col min="10" max="16384" width="13.625" style="14"/>
  </cols>
  <sheetData>
    <row r="1" spans="1:9" ht="40.5" customHeight="1" x14ac:dyDescent="0.15">
      <c r="A1" s="1176" t="s">
        <v>225</v>
      </c>
      <c r="B1" s="1176"/>
      <c r="C1" s="1176"/>
      <c r="D1" s="1176"/>
      <c r="E1" s="1176"/>
      <c r="F1" s="1176"/>
      <c r="G1" s="1176"/>
    </row>
    <row r="2" spans="1:9" ht="21.75" customHeight="1" x14ac:dyDescent="0.15">
      <c r="A2" s="16" t="s">
        <v>127</v>
      </c>
      <c r="B2" s="16" t="s">
        <v>128</v>
      </c>
      <c r="C2" s="16" t="s">
        <v>129</v>
      </c>
      <c r="D2" s="155" t="s">
        <v>130</v>
      </c>
      <c r="E2" s="17" t="s">
        <v>131</v>
      </c>
      <c r="F2" s="16" t="s">
        <v>132</v>
      </c>
      <c r="G2" s="16" t="s">
        <v>133</v>
      </c>
      <c r="H2" s="13"/>
      <c r="I2" s="13"/>
    </row>
    <row r="3" spans="1:9" ht="21.75" customHeight="1" x14ac:dyDescent="0.15">
      <c r="A3" s="18" t="s">
        <v>228</v>
      </c>
      <c r="B3" s="11" t="s">
        <v>244</v>
      </c>
      <c r="C3" s="21" t="s">
        <v>37</v>
      </c>
      <c r="D3" s="50">
        <v>11019</v>
      </c>
      <c r="E3" s="19">
        <v>100000</v>
      </c>
      <c r="F3" s="13" t="s">
        <v>230</v>
      </c>
      <c r="G3" s="13" t="s">
        <v>229</v>
      </c>
      <c r="H3" s="13"/>
      <c r="I3" s="13"/>
    </row>
    <row r="4" spans="1:9" ht="21.75" customHeight="1" x14ac:dyDescent="0.15">
      <c r="A4" s="18" t="s">
        <v>231</v>
      </c>
      <c r="B4" s="20" t="s">
        <v>245</v>
      </c>
      <c r="C4" s="21" t="s">
        <v>233</v>
      </c>
      <c r="D4" s="50">
        <v>12006</v>
      </c>
      <c r="E4" s="19">
        <v>1188000</v>
      </c>
      <c r="F4" s="22" t="s">
        <v>234</v>
      </c>
      <c r="G4" s="13" t="s">
        <v>232</v>
      </c>
      <c r="H4" s="13"/>
      <c r="I4" s="13"/>
    </row>
    <row r="5" spans="1:9" s="38" customFormat="1" ht="21.75" customHeight="1" x14ac:dyDescent="0.15">
      <c r="A5" s="34" t="s">
        <v>242</v>
      </c>
      <c r="B5" s="61" t="s">
        <v>241</v>
      </c>
      <c r="C5" s="62"/>
      <c r="D5" s="72"/>
      <c r="E5" s="35">
        <v>600000</v>
      </c>
      <c r="F5" s="36" t="s">
        <v>243</v>
      </c>
      <c r="G5" s="37"/>
      <c r="H5" s="37"/>
      <c r="I5" s="37"/>
    </row>
    <row r="6" spans="1:9" ht="21.75" customHeight="1" x14ac:dyDescent="0.15">
      <c r="A6" s="18" t="s">
        <v>235</v>
      </c>
      <c r="B6" s="11" t="s">
        <v>224</v>
      </c>
      <c r="C6" s="21" t="s">
        <v>236</v>
      </c>
      <c r="D6" s="50">
        <v>14061</v>
      </c>
      <c r="E6" s="19">
        <v>230000</v>
      </c>
      <c r="F6" s="22" t="s">
        <v>238</v>
      </c>
      <c r="G6" s="13" t="s">
        <v>237</v>
      </c>
      <c r="H6" s="13"/>
      <c r="I6" s="13"/>
    </row>
    <row r="7" spans="1:9" ht="21.75" customHeight="1" x14ac:dyDescent="0.15">
      <c r="A7" s="18" t="s">
        <v>239</v>
      </c>
      <c r="B7" s="11" t="s">
        <v>201</v>
      </c>
      <c r="C7" s="9" t="s">
        <v>204</v>
      </c>
      <c r="D7" s="50">
        <v>15001</v>
      </c>
      <c r="E7" s="19">
        <v>40000</v>
      </c>
      <c r="F7" s="13" t="s">
        <v>240</v>
      </c>
      <c r="G7" s="13" t="s">
        <v>196</v>
      </c>
      <c r="H7" s="13"/>
      <c r="I7" s="13"/>
    </row>
    <row r="8" spans="1:9" ht="21.75" customHeight="1" x14ac:dyDescent="0.15">
      <c r="A8" s="18" t="s">
        <v>247</v>
      </c>
      <c r="B8" s="11" t="s">
        <v>248</v>
      </c>
      <c r="C8" s="21" t="s">
        <v>34</v>
      </c>
      <c r="D8" s="50">
        <v>14068</v>
      </c>
      <c r="E8" s="63">
        <v>16000</v>
      </c>
      <c r="F8" s="49" t="s">
        <v>249</v>
      </c>
      <c r="G8" s="13" t="s">
        <v>246</v>
      </c>
      <c r="H8" s="50"/>
      <c r="I8" s="13"/>
    </row>
    <row r="9" spans="1:9" ht="21.75" customHeight="1" x14ac:dyDescent="0.15">
      <c r="A9" s="18" t="s">
        <v>250</v>
      </c>
      <c r="B9" s="29" t="s">
        <v>68</v>
      </c>
      <c r="C9" s="39" t="s">
        <v>146</v>
      </c>
      <c r="D9" s="50">
        <v>14005</v>
      </c>
      <c r="E9" s="63">
        <v>40000</v>
      </c>
      <c r="F9" s="22" t="s">
        <v>252</v>
      </c>
      <c r="G9" s="13" t="s">
        <v>251</v>
      </c>
      <c r="H9" s="22"/>
      <c r="I9" s="13"/>
    </row>
    <row r="10" spans="1:9" ht="21.75" customHeight="1" x14ac:dyDescent="0.15">
      <c r="A10" s="18" t="s">
        <v>253</v>
      </c>
      <c r="B10" s="8" t="s">
        <v>254</v>
      </c>
      <c r="C10" s="39" t="s">
        <v>163</v>
      </c>
      <c r="D10" s="50">
        <v>14031</v>
      </c>
      <c r="E10" s="19">
        <v>45000</v>
      </c>
      <c r="F10" s="22" t="s">
        <v>263</v>
      </c>
      <c r="G10" s="13" t="s">
        <v>178</v>
      </c>
      <c r="H10" s="13"/>
      <c r="I10" s="13"/>
    </row>
    <row r="11" spans="1:9" ht="21.75" customHeight="1" x14ac:dyDescent="0.15">
      <c r="A11" s="18" t="s">
        <v>253</v>
      </c>
      <c r="B11" s="8" t="s">
        <v>254</v>
      </c>
      <c r="C11" s="39" t="s">
        <v>164</v>
      </c>
      <c r="D11" s="50">
        <v>14032</v>
      </c>
      <c r="E11" s="19">
        <v>45000</v>
      </c>
      <c r="F11" s="22" t="s">
        <v>263</v>
      </c>
      <c r="G11" s="13" t="s">
        <v>162</v>
      </c>
      <c r="H11" s="13"/>
      <c r="I11" s="13"/>
    </row>
    <row r="12" spans="1:9" ht="21.75" customHeight="1" x14ac:dyDescent="0.15">
      <c r="A12" s="18" t="s">
        <v>257</v>
      </c>
      <c r="B12" s="9" t="s">
        <v>108</v>
      </c>
      <c r="C12" s="1" t="s">
        <v>255</v>
      </c>
      <c r="D12" s="50">
        <v>13024</v>
      </c>
      <c r="E12" s="19">
        <v>200000</v>
      </c>
      <c r="F12" s="13" t="s">
        <v>256</v>
      </c>
      <c r="G12" s="13" t="s">
        <v>155</v>
      </c>
      <c r="H12" s="13" t="s">
        <v>262</v>
      </c>
      <c r="I12" s="13" t="s">
        <v>381</v>
      </c>
    </row>
    <row r="13" spans="1:9" ht="21.75" customHeight="1" x14ac:dyDescent="0.15">
      <c r="A13" s="18" t="s">
        <v>257</v>
      </c>
      <c r="B13" s="11" t="s">
        <v>102</v>
      </c>
      <c r="C13" s="1" t="s">
        <v>258</v>
      </c>
      <c r="D13" s="50">
        <v>13012</v>
      </c>
      <c r="E13" s="19">
        <v>239550</v>
      </c>
      <c r="F13" s="22" t="s">
        <v>259</v>
      </c>
      <c r="G13" s="13" t="s">
        <v>260</v>
      </c>
      <c r="H13" s="13"/>
      <c r="I13" s="13"/>
    </row>
    <row r="14" spans="1:9" ht="21.75" customHeight="1" x14ac:dyDescent="0.15">
      <c r="A14" s="18" t="s">
        <v>257</v>
      </c>
      <c r="B14" s="11" t="s">
        <v>95</v>
      </c>
      <c r="C14" s="26" t="s">
        <v>96</v>
      </c>
      <c r="D14" s="50">
        <v>13004</v>
      </c>
      <c r="E14" s="19">
        <v>500000</v>
      </c>
      <c r="F14" s="13" t="s">
        <v>230</v>
      </c>
      <c r="G14" s="13" t="s">
        <v>166</v>
      </c>
      <c r="H14" s="13" t="s">
        <v>261</v>
      </c>
      <c r="I14" s="13" t="s">
        <v>393</v>
      </c>
    </row>
    <row r="15" spans="1:9" ht="21.75" customHeight="1" x14ac:dyDescent="0.15">
      <c r="A15" s="18" t="s">
        <v>264</v>
      </c>
      <c r="B15" s="6" t="s">
        <v>265</v>
      </c>
      <c r="C15" s="4" t="s">
        <v>193</v>
      </c>
      <c r="D15" s="50">
        <v>14040</v>
      </c>
      <c r="E15" s="19">
        <v>63600</v>
      </c>
      <c r="F15" s="13" t="s">
        <v>266</v>
      </c>
      <c r="G15" s="13" t="s">
        <v>267</v>
      </c>
      <c r="H15" s="13"/>
      <c r="I15" s="13"/>
    </row>
    <row r="16" spans="1:9" ht="21.75" customHeight="1" x14ac:dyDescent="0.15">
      <c r="A16" s="18" t="s">
        <v>268</v>
      </c>
      <c r="B16" s="6" t="s">
        <v>269</v>
      </c>
      <c r="C16" s="21" t="s">
        <v>31</v>
      </c>
      <c r="D16" s="50">
        <v>14006</v>
      </c>
      <c r="E16" s="19">
        <v>40000</v>
      </c>
      <c r="F16" s="22" t="s">
        <v>252</v>
      </c>
      <c r="G16" s="13" t="s">
        <v>162</v>
      </c>
      <c r="H16" s="13"/>
      <c r="I16" s="13"/>
    </row>
    <row r="17" spans="1:9" ht="21.75" customHeight="1" x14ac:dyDescent="0.15">
      <c r="A17" s="18" t="s">
        <v>270</v>
      </c>
      <c r="B17" s="11" t="s">
        <v>87</v>
      </c>
      <c r="C17" s="5" t="s">
        <v>272</v>
      </c>
      <c r="D17" s="50">
        <v>14045</v>
      </c>
      <c r="E17" s="19">
        <v>72500</v>
      </c>
      <c r="F17" s="13" t="s">
        <v>271</v>
      </c>
      <c r="G17" s="13" t="s">
        <v>155</v>
      </c>
      <c r="H17" s="13"/>
      <c r="I17" s="13"/>
    </row>
    <row r="18" spans="1:9" ht="21.75" customHeight="1" x14ac:dyDescent="0.15">
      <c r="A18" s="18" t="s">
        <v>274</v>
      </c>
      <c r="B18" s="2" t="s">
        <v>288</v>
      </c>
      <c r="C18" s="1" t="s">
        <v>275</v>
      </c>
      <c r="D18" s="50">
        <v>14029</v>
      </c>
      <c r="E18" s="19">
        <v>90000</v>
      </c>
      <c r="F18" s="13" t="s">
        <v>271</v>
      </c>
      <c r="G18" s="13" t="s">
        <v>162</v>
      </c>
      <c r="H18" s="13"/>
      <c r="I18" s="13"/>
    </row>
    <row r="19" spans="1:9" ht="21.75" customHeight="1" x14ac:dyDescent="0.15">
      <c r="A19" s="18" t="s">
        <v>276</v>
      </c>
      <c r="B19" s="3" t="s">
        <v>103</v>
      </c>
      <c r="C19" s="4" t="s">
        <v>104</v>
      </c>
      <c r="D19" s="50">
        <v>13013</v>
      </c>
      <c r="E19" s="19">
        <v>331560</v>
      </c>
      <c r="F19" s="22" t="s">
        <v>278</v>
      </c>
      <c r="G19" s="13" t="s">
        <v>165</v>
      </c>
      <c r="H19" s="1183" t="s">
        <v>279</v>
      </c>
      <c r="I19" s="1183" t="s">
        <v>404</v>
      </c>
    </row>
    <row r="20" spans="1:9" ht="21.75" customHeight="1" x14ac:dyDescent="0.15">
      <c r="A20" s="18" t="s">
        <v>277</v>
      </c>
      <c r="B20" s="3" t="s">
        <v>103</v>
      </c>
      <c r="C20" s="4" t="s">
        <v>104</v>
      </c>
      <c r="D20" s="50">
        <v>13014</v>
      </c>
      <c r="E20" s="19">
        <v>135000</v>
      </c>
      <c r="F20" s="22" t="s">
        <v>278</v>
      </c>
      <c r="G20" s="13" t="s">
        <v>165</v>
      </c>
      <c r="H20" s="1184"/>
      <c r="I20" s="1184"/>
    </row>
    <row r="21" spans="1:9" ht="21.75" customHeight="1" x14ac:dyDescent="0.15">
      <c r="A21" s="18" t="s">
        <v>280</v>
      </c>
      <c r="B21" s="29" t="s">
        <v>290</v>
      </c>
      <c r="C21" s="21" t="s">
        <v>78</v>
      </c>
      <c r="D21" s="47">
        <v>12055</v>
      </c>
      <c r="E21" s="19">
        <v>180000</v>
      </c>
      <c r="F21" s="22" t="s">
        <v>281</v>
      </c>
      <c r="G21" s="13" t="s">
        <v>162</v>
      </c>
      <c r="H21" s="13"/>
      <c r="I21" s="13"/>
    </row>
    <row r="22" spans="1:9" ht="21.75" customHeight="1" x14ac:dyDescent="0.15">
      <c r="A22" s="18" t="s">
        <v>280</v>
      </c>
      <c r="B22" s="20" t="s">
        <v>289</v>
      </c>
      <c r="C22" s="21" t="s">
        <v>62</v>
      </c>
      <c r="D22" s="47">
        <v>12056</v>
      </c>
      <c r="E22" s="19">
        <v>180000</v>
      </c>
      <c r="F22" s="22" t="s">
        <v>281</v>
      </c>
      <c r="G22" s="13" t="s">
        <v>162</v>
      </c>
      <c r="H22" s="13"/>
      <c r="I22" s="13"/>
    </row>
    <row r="23" spans="1:9" ht="21.75" customHeight="1" x14ac:dyDescent="0.15">
      <c r="A23" s="18" t="s">
        <v>283</v>
      </c>
      <c r="B23" s="40" t="s">
        <v>291</v>
      </c>
      <c r="C23" s="21" t="s">
        <v>117</v>
      </c>
      <c r="D23" s="47">
        <v>14041</v>
      </c>
      <c r="E23" s="19">
        <v>57500</v>
      </c>
      <c r="F23" s="13" t="s">
        <v>271</v>
      </c>
      <c r="G23" s="13" t="s">
        <v>155</v>
      </c>
      <c r="H23" s="13"/>
      <c r="I23" s="13"/>
    </row>
    <row r="24" spans="1:9" ht="21.75" customHeight="1" x14ac:dyDescent="0.15">
      <c r="A24" s="18" t="s">
        <v>283</v>
      </c>
      <c r="B24" s="40" t="s">
        <v>292</v>
      </c>
      <c r="C24" s="21" t="s">
        <v>82</v>
      </c>
      <c r="D24" s="47">
        <v>14042</v>
      </c>
      <c r="E24" s="19">
        <v>57500</v>
      </c>
      <c r="F24" s="13" t="s">
        <v>271</v>
      </c>
      <c r="G24" s="13" t="s">
        <v>155</v>
      </c>
      <c r="H24" s="13"/>
      <c r="I24" s="13"/>
    </row>
    <row r="25" spans="1:9" ht="21.75" customHeight="1" x14ac:dyDescent="0.15">
      <c r="A25" s="18" t="s">
        <v>283</v>
      </c>
      <c r="B25" s="40" t="s">
        <v>293</v>
      </c>
      <c r="C25" s="21" t="s">
        <v>118</v>
      </c>
      <c r="D25" s="47">
        <v>14043</v>
      </c>
      <c r="E25" s="19">
        <v>57500</v>
      </c>
      <c r="F25" s="13" t="s">
        <v>271</v>
      </c>
      <c r="G25" s="13" t="s">
        <v>155</v>
      </c>
      <c r="H25" s="13"/>
      <c r="I25" s="13"/>
    </row>
    <row r="26" spans="1:9" ht="21.75" customHeight="1" x14ac:dyDescent="0.15">
      <c r="A26" s="18" t="s">
        <v>283</v>
      </c>
      <c r="B26" s="33" t="s">
        <v>294</v>
      </c>
      <c r="C26" s="21" t="s">
        <v>107</v>
      </c>
      <c r="D26" s="47">
        <v>15003</v>
      </c>
      <c r="E26" s="19">
        <v>15516</v>
      </c>
      <c r="F26" s="22" t="s">
        <v>285</v>
      </c>
      <c r="G26" s="13" t="s">
        <v>286</v>
      </c>
      <c r="H26" s="13"/>
      <c r="I26" s="13"/>
    </row>
    <row r="27" spans="1:9" ht="21.75" customHeight="1" x14ac:dyDescent="0.15">
      <c r="A27" s="18" t="s">
        <v>287</v>
      </c>
      <c r="B27" s="33" t="s">
        <v>284</v>
      </c>
      <c r="C27" s="21" t="s">
        <v>107</v>
      </c>
      <c r="D27" s="47">
        <v>15003</v>
      </c>
      <c r="E27" s="19">
        <v>20484</v>
      </c>
      <c r="F27" s="22" t="s">
        <v>285</v>
      </c>
      <c r="G27" s="13" t="s">
        <v>286</v>
      </c>
      <c r="H27" s="13"/>
      <c r="I27" s="13"/>
    </row>
    <row r="28" spans="1:9" ht="21.75" customHeight="1" x14ac:dyDescent="0.15">
      <c r="A28" s="18" t="s">
        <v>298</v>
      </c>
      <c r="B28" s="11" t="s">
        <v>212</v>
      </c>
      <c r="C28" s="9" t="s">
        <v>213</v>
      </c>
      <c r="D28" s="47">
        <v>14062</v>
      </c>
      <c r="E28" s="19">
        <v>157500</v>
      </c>
      <c r="F28" s="22" t="s">
        <v>299</v>
      </c>
      <c r="G28" s="13" t="s">
        <v>165</v>
      </c>
      <c r="H28" s="13"/>
      <c r="I28" s="13"/>
    </row>
    <row r="29" spans="1:9" ht="21.75" customHeight="1" x14ac:dyDescent="0.15">
      <c r="A29" s="18" t="s">
        <v>304</v>
      </c>
      <c r="B29" s="3" t="s">
        <v>269</v>
      </c>
      <c r="C29" s="33" t="s">
        <v>111</v>
      </c>
      <c r="D29" s="52">
        <v>13029</v>
      </c>
      <c r="E29" s="19">
        <v>1010000</v>
      </c>
      <c r="F29" s="22" t="s">
        <v>305</v>
      </c>
      <c r="G29" s="13" t="s">
        <v>178</v>
      </c>
      <c r="H29" s="50"/>
      <c r="I29" s="13"/>
    </row>
    <row r="30" spans="1:9" ht="21.75" customHeight="1" x14ac:dyDescent="0.15">
      <c r="A30" s="18" t="s">
        <v>304</v>
      </c>
      <c r="B30" s="20" t="s">
        <v>312</v>
      </c>
      <c r="C30" s="4" t="s">
        <v>210</v>
      </c>
      <c r="D30" s="47">
        <v>14063</v>
      </c>
      <c r="E30" s="19">
        <v>174000</v>
      </c>
      <c r="F30" s="22" t="s">
        <v>234</v>
      </c>
      <c r="G30" s="13" t="s">
        <v>306</v>
      </c>
      <c r="H30" s="13"/>
      <c r="I30" s="13"/>
    </row>
    <row r="31" spans="1:9" ht="21.75" customHeight="1" x14ac:dyDescent="0.15">
      <c r="A31" s="18" t="s">
        <v>308</v>
      </c>
      <c r="B31" s="20" t="s">
        <v>313</v>
      </c>
      <c r="C31" s="55" t="s">
        <v>189</v>
      </c>
      <c r="D31" s="47">
        <v>14038</v>
      </c>
      <c r="E31" s="66">
        <v>160138.93</v>
      </c>
      <c r="F31" s="22" t="s">
        <v>309</v>
      </c>
      <c r="G31" s="13" t="s">
        <v>190</v>
      </c>
      <c r="H31" s="13"/>
      <c r="I31" s="13"/>
    </row>
    <row r="32" spans="1:9" ht="21.75" customHeight="1" x14ac:dyDescent="0.15">
      <c r="A32" s="18" t="s">
        <v>314</v>
      </c>
      <c r="B32" s="27" t="s">
        <v>326</v>
      </c>
      <c r="C32" s="59" t="s">
        <v>213</v>
      </c>
      <c r="D32" s="47">
        <v>15013</v>
      </c>
      <c r="E32" s="19">
        <v>60000</v>
      </c>
      <c r="F32" s="22" t="s">
        <v>271</v>
      </c>
      <c r="G32" s="13" t="s">
        <v>165</v>
      </c>
      <c r="H32" s="13"/>
      <c r="I32" s="13"/>
    </row>
    <row r="33" spans="1:9" ht="21.75" customHeight="1" x14ac:dyDescent="0.15">
      <c r="A33" s="18" t="s">
        <v>315</v>
      </c>
      <c r="B33" s="40" t="s">
        <v>292</v>
      </c>
      <c r="C33" s="21" t="s">
        <v>82</v>
      </c>
      <c r="D33" s="47">
        <v>15009</v>
      </c>
      <c r="E33" s="19">
        <v>60000</v>
      </c>
      <c r="F33" s="22" t="s">
        <v>271</v>
      </c>
      <c r="G33" s="13" t="s">
        <v>165</v>
      </c>
      <c r="H33" s="13"/>
      <c r="I33" s="13"/>
    </row>
    <row r="34" spans="1:9" s="51" customFormat="1" ht="21.75" customHeight="1" x14ac:dyDescent="0.15">
      <c r="A34" s="18" t="s">
        <v>316</v>
      </c>
      <c r="B34" s="56" t="s">
        <v>327</v>
      </c>
      <c r="C34" s="42" t="s">
        <v>70</v>
      </c>
      <c r="D34" s="47">
        <v>15005</v>
      </c>
      <c r="E34" s="19">
        <v>60000</v>
      </c>
      <c r="F34" s="22" t="s">
        <v>271</v>
      </c>
      <c r="G34" s="13" t="s">
        <v>165</v>
      </c>
      <c r="H34" s="50"/>
      <c r="I34" s="50"/>
    </row>
    <row r="35" spans="1:9" s="51" customFormat="1" ht="21.75" customHeight="1" x14ac:dyDescent="0.15">
      <c r="A35" s="18" t="s">
        <v>316</v>
      </c>
      <c r="B35" s="56" t="s">
        <v>38</v>
      </c>
      <c r="C35" s="42" t="s">
        <v>71</v>
      </c>
      <c r="D35" s="47">
        <v>15006</v>
      </c>
      <c r="E35" s="19">
        <v>60000</v>
      </c>
      <c r="F35" s="22" t="s">
        <v>271</v>
      </c>
      <c r="G35" s="13" t="s">
        <v>165</v>
      </c>
      <c r="H35" s="50"/>
      <c r="I35" s="50"/>
    </row>
    <row r="36" spans="1:9" s="51" customFormat="1" ht="21.75" customHeight="1" x14ac:dyDescent="0.15">
      <c r="A36" s="18" t="s">
        <v>317</v>
      </c>
      <c r="B36" s="39" t="s">
        <v>328</v>
      </c>
      <c r="C36" s="4" t="s">
        <v>187</v>
      </c>
      <c r="D36" s="47">
        <v>14052</v>
      </c>
      <c r="E36" s="48">
        <v>376000</v>
      </c>
      <c r="F36" s="49" t="s">
        <v>376</v>
      </c>
      <c r="G36" s="13" t="s">
        <v>165</v>
      </c>
      <c r="H36" s="50"/>
      <c r="I36" s="49"/>
    </row>
    <row r="37" spans="1:9" s="51" customFormat="1" ht="21.75" customHeight="1" x14ac:dyDescent="0.15">
      <c r="A37" s="18" t="s">
        <v>319</v>
      </c>
      <c r="B37" s="20" t="s">
        <v>329</v>
      </c>
      <c r="C37" s="21" t="s">
        <v>4</v>
      </c>
      <c r="D37" s="47">
        <v>11042</v>
      </c>
      <c r="E37" s="48">
        <v>56000</v>
      </c>
      <c r="F37" s="49" t="s">
        <v>320</v>
      </c>
      <c r="G37" s="50" t="s">
        <v>209</v>
      </c>
      <c r="H37" s="50"/>
      <c r="I37" s="50"/>
    </row>
    <row r="38" spans="1:9" s="51" customFormat="1" ht="21.75" customHeight="1" x14ac:dyDescent="0.15">
      <c r="A38" s="18" t="s">
        <v>319</v>
      </c>
      <c r="B38" s="20" t="s">
        <v>330</v>
      </c>
      <c r="C38" s="21" t="s">
        <v>4</v>
      </c>
      <c r="D38" s="47">
        <v>14027</v>
      </c>
      <c r="E38" s="48">
        <v>90000</v>
      </c>
      <c r="F38" s="22" t="s">
        <v>271</v>
      </c>
      <c r="G38" s="50" t="s">
        <v>209</v>
      </c>
      <c r="H38" s="50"/>
      <c r="I38" s="50"/>
    </row>
    <row r="39" spans="1:9" s="51" customFormat="1" ht="21.75" customHeight="1" x14ac:dyDescent="0.15">
      <c r="A39" s="18" t="s">
        <v>319</v>
      </c>
      <c r="B39" s="20" t="s">
        <v>331</v>
      </c>
      <c r="C39" s="21" t="s">
        <v>11</v>
      </c>
      <c r="D39" s="47">
        <v>14030</v>
      </c>
      <c r="E39" s="48">
        <v>90000</v>
      </c>
      <c r="F39" s="22" t="s">
        <v>271</v>
      </c>
      <c r="G39" s="50" t="s">
        <v>209</v>
      </c>
      <c r="H39" s="50"/>
      <c r="I39" s="50"/>
    </row>
    <row r="40" spans="1:9" s="51" customFormat="1" ht="21.75" customHeight="1" x14ac:dyDescent="0.15">
      <c r="A40" s="18" t="s">
        <v>318</v>
      </c>
      <c r="B40" s="20" t="s">
        <v>332</v>
      </c>
      <c r="C40" s="21" t="s">
        <v>13</v>
      </c>
      <c r="D40" s="47">
        <v>11044</v>
      </c>
      <c r="E40" s="48">
        <v>56000</v>
      </c>
      <c r="F40" s="49" t="s">
        <v>320</v>
      </c>
      <c r="G40" s="50" t="s">
        <v>209</v>
      </c>
      <c r="H40" s="50"/>
      <c r="I40" s="50"/>
    </row>
    <row r="41" spans="1:9" s="51" customFormat="1" ht="21.75" customHeight="1" x14ac:dyDescent="0.15">
      <c r="A41" s="67" t="s">
        <v>321</v>
      </c>
      <c r="B41" s="29" t="s">
        <v>333</v>
      </c>
      <c r="C41" s="21" t="s">
        <v>1</v>
      </c>
      <c r="D41" s="52">
        <v>14028</v>
      </c>
      <c r="E41" s="48">
        <v>90000</v>
      </c>
      <c r="F41" s="22" t="s">
        <v>271</v>
      </c>
      <c r="G41" s="50" t="s">
        <v>209</v>
      </c>
      <c r="H41" s="50"/>
      <c r="I41" s="50"/>
    </row>
    <row r="42" spans="1:9" s="51" customFormat="1" ht="21.75" customHeight="1" x14ac:dyDescent="0.15">
      <c r="A42" s="67" t="s">
        <v>321</v>
      </c>
      <c r="B42" s="29" t="s">
        <v>334</v>
      </c>
      <c r="C42" s="58" t="s">
        <v>296</v>
      </c>
      <c r="D42" s="52">
        <v>15012</v>
      </c>
      <c r="E42" s="48">
        <v>60000</v>
      </c>
      <c r="F42" s="22" t="s">
        <v>271</v>
      </c>
      <c r="G42" s="13" t="s">
        <v>165</v>
      </c>
      <c r="H42" s="50"/>
      <c r="I42" s="50"/>
    </row>
    <row r="43" spans="1:9" s="51" customFormat="1" ht="21.75" customHeight="1" x14ac:dyDescent="0.15">
      <c r="A43" s="67" t="s">
        <v>321</v>
      </c>
      <c r="B43" s="29" t="s">
        <v>335</v>
      </c>
      <c r="C43" s="59" t="s">
        <v>203</v>
      </c>
      <c r="D43" s="52">
        <v>15007</v>
      </c>
      <c r="E43" s="48">
        <v>60000</v>
      </c>
      <c r="F43" s="22" t="s">
        <v>271</v>
      </c>
      <c r="G43" s="13" t="s">
        <v>165</v>
      </c>
      <c r="H43" s="50"/>
      <c r="I43" s="50"/>
    </row>
    <row r="44" spans="1:9" s="51" customFormat="1" ht="21.75" customHeight="1" x14ac:dyDescent="0.15">
      <c r="A44" s="67" t="s">
        <v>322</v>
      </c>
      <c r="B44" s="29" t="s">
        <v>336</v>
      </c>
      <c r="C44" s="59" t="s">
        <v>200</v>
      </c>
      <c r="D44" s="52">
        <v>15008</v>
      </c>
      <c r="E44" s="48">
        <v>60000</v>
      </c>
      <c r="F44" s="22" t="s">
        <v>271</v>
      </c>
      <c r="G44" s="13" t="s">
        <v>165</v>
      </c>
      <c r="H44" s="50"/>
      <c r="I44" s="50"/>
    </row>
    <row r="45" spans="1:9" s="51" customFormat="1" ht="21.75" customHeight="1" x14ac:dyDescent="0.15">
      <c r="A45" s="67" t="s">
        <v>323</v>
      </c>
      <c r="B45" s="40" t="s">
        <v>337</v>
      </c>
      <c r="C45" s="42" t="s">
        <v>118</v>
      </c>
      <c r="D45" s="52">
        <v>15010</v>
      </c>
      <c r="E45" s="48">
        <v>60000</v>
      </c>
      <c r="F45" s="22" t="s">
        <v>271</v>
      </c>
      <c r="G45" s="13" t="s">
        <v>165</v>
      </c>
      <c r="H45" s="50"/>
      <c r="I45" s="50"/>
    </row>
    <row r="46" spans="1:9" s="51" customFormat="1" ht="21.75" customHeight="1" x14ac:dyDescent="0.15">
      <c r="A46" s="67" t="s">
        <v>323</v>
      </c>
      <c r="B46" s="40" t="s">
        <v>338</v>
      </c>
      <c r="C46" s="42" t="s">
        <v>117</v>
      </c>
      <c r="D46" s="52">
        <v>15011</v>
      </c>
      <c r="E46" s="48">
        <v>60000</v>
      </c>
      <c r="F46" s="22" t="s">
        <v>271</v>
      </c>
      <c r="G46" s="13" t="s">
        <v>165</v>
      </c>
      <c r="H46" s="50"/>
      <c r="I46" s="50"/>
    </row>
    <row r="47" spans="1:9" s="51" customFormat="1" ht="21.75" customHeight="1" x14ac:dyDescent="0.15">
      <c r="A47" s="67" t="s">
        <v>323</v>
      </c>
      <c r="B47" s="29" t="s">
        <v>339</v>
      </c>
      <c r="C47" s="57" t="s">
        <v>208</v>
      </c>
      <c r="D47" s="52">
        <v>14057</v>
      </c>
      <c r="E47" s="48">
        <v>100000</v>
      </c>
      <c r="F47" s="22" t="s">
        <v>325</v>
      </c>
      <c r="G47" s="50" t="s">
        <v>324</v>
      </c>
      <c r="H47" s="50"/>
      <c r="I47" s="50"/>
    </row>
    <row r="48" spans="1:9" s="51" customFormat="1" ht="21.75" customHeight="1" x14ac:dyDescent="0.15">
      <c r="A48" s="67" t="s">
        <v>344</v>
      </c>
      <c r="B48" s="29" t="s">
        <v>333</v>
      </c>
      <c r="C48" s="39" t="s">
        <v>177</v>
      </c>
      <c r="D48" s="52">
        <v>14033</v>
      </c>
      <c r="E48" s="48">
        <v>47500</v>
      </c>
      <c r="F48" s="22" t="s">
        <v>263</v>
      </c>
      <c r="G48" s="50" t="s">
        <v>209</v>
      </c>
      <c r="H48" s="50"/>
      <c r="I48" s="50"/>
    </row>
    <row r="49" spans="1:9" s="51" customFormat="1" ht="21.75" customHeight="1" x14ac:dyDescent="0.15">
      <c r="A49" s="67" t="s">
        <v>345</v>
      </c>
      <c r="B49" s="29" t="s">
        <v>359</v>
      </c>
      <c r="C49" s="4" t="s">
        <v>105</v>
      </c>
      <c r="D49" s="52">
        <v>13016</v>
      </c>
      <c r="E49" s="48">
        <v>100000</v>
      </c>
      <c r="F49" s="22" t="s">
        <v>348</v>
      </c>
      <c r="G49" s="50" t="s">
        <v>347</v>
      </c>
      <c r="H49" s="50"/>
      <c r="I49" s="50"/>
    </row>
    <row r="50" spans="1:9" s="51" customFormat="1" ht="21.75" customHeight="1" x14ac:dyDescent="0.15">
      <c r="A50" s="67" t="s">
        <v>351</v>
      </c>
      <c r="B50" s="29" t="s">
        <v>360</v>
      </c>
      <c r="C50" s="11" t="s">
        <v>295</v>
      </c>
      <c r="D50" s="52">
        <v>15004</v>
      </c>
      <c r="E50" s="48">
        <v>20000</v>
      </c>
      <c r="F50" s="22" t="s">
        <v>252</v>
      </c>
      <c r="G50" s="50" t="s">
        <v>165</v>
      </c>
      <c r="H50" s="50"/>
      <c r="I50" s="50"/>
    </row>
    <row r="51" spans="1:9" s="51" customFormat="1" ht="21.75" customHeight="1" x14ac:dyDescent="0.15">
      <c r="A51" s="67" t="s">
        <v>351</v>
      </c>
      <c r="B51" s="29" t="s">
        <v>352</v>
      </c>
      <c r="C51" s="11" t="s">
        <v>295</v>
      </c>
      <c r="D51" s="52">
        <v>15004</v>
      </c>
      <c r="E51" s="48">
        <v>20000</v>
      </c>
      <c r="F51" s="22" t="s">
        <v>252</v>
      </c>
      <c r="G51" s="50" t="s">
        <v>165</v>
      </c>
      <c r="H51" s="50"/>
      <c r="I51" s="50"/>
    </row>
    <row r="52" spans="1:9" s="51" customFormat="1" ht="21.75" customHeight="1" x14ac:dyDescent="0.15">
      <c r="A52" s="67" t="s">
        <v>353</v>
      </c>
      <c r="B52" s="29" t="s">
        <v>354</v>
      </c>
      <c r="C52" s="21" t="s">
        <v>169</v>
      </c>
      <c r="D52" s="52">
        <v>14007</v>
      </c>
      <c r="E52" s="48">
        <v>164685</v>
      </c>
      <c r="F52" s="22" t="s">
        <v>356</v>
      </c>
      <c r="G52" s="50" t="s">
        <v>355</v>
      </c>
      <c r="H52" s="50"/>
      <c r="I52" s="50"/>
    </row>
    <row r="53" spans="1:9" s="51" customFormat="1" ht="21.75" customHeight="1" x14ac:dyDescent="0.15">
      <c r="A53" s="67" t="s">
        <v>361</v>
      </c>
      <c r="B53" s="29" t="s">
        <v>362</v>
      </c>
      <c r="C53" s="55" t="s">
        <v>311</v>
      </c>
      <c r="D53" s="52">
        <v>15016</v>
      </c>
      <c r="E53" s="48">
        <v>249000</v>
      </c>
      <c r="F53" s="22" t="s">
        <v>363</v>
      </c>
      <c r="G53" s="50" t="s">
        <v>165</v>
      </c>
      <c r="H53" s="50"/>
      <c r="I53" s="50"/>
    </row>
    <row r="54" spans="1:9" s="51" customFormat="1" ht="21.75" customHeight="1" x14ac:dyDescent="0.15">
      <c r="A54" s="67" t="s">
        <v>365</v>
      </c>
      <c r="B54" s="29" t="s">
        <v>331</v>
      </c>
      <c r="C54" s="21" t="s">
        <v>11</v>
      </c>
      <c r="D54" s="52">
        <v>11045</v>
      </c>
      <c r="E54" s="48">
        <v>208500</v>
      </c>
      <c r="F54" s="22" t="s">
        <v>263</v>
      </c>
      <c r="G54" s="50" t="s">
        <v>162</v>
      </c>
      <c r="H54" s="50"/>
      <c r="I54" s="50"/>
    </row>
    <row r="55" spans="1:9" s="51" customFormat="1" ht="21.75" customHeight="1" x14ac:dyDescent="0.15">
      <c r="A55" s="67" t="s">
        <v>366</v>
      </c>
      <c r="B55" s="29" t="s">
        <v>176</v>
      </c>
      <c r="C55" s="21" t="s">
        <v>169</v>
      </c>
      <c r="D55" s="52">
        <v>14007</v>
      </c>
      <c r="E55" s="48">
        <v>11250</v>
      </c>
      <c r="F55" s="22" t="s">
        <v>367</v>
      </c>
      <c r="G55" s="50" t="s">
        <v>170</v>
      </c>
      <c r="H55" s="50"/>
      <c r="I55" s="50"/>
    </row>
    <row r="56" spans="1:9" s="51" customFormat="1" ht="22.5" customHeight="1" x14ac:dyDescent="0.15">
      <c r="A56" s="67" t="s">
        <v>370</v>
      </c>
      <c r="B56" s="29" t="s">
        <v>180</v>
      </c>
      <c r="C56" s="21" t="s">
        <v>1</v>
      </c>
      <c r="D56" s="52">
        <v>11043</v>
      </c>
      <c r="E56" s="48">
        <v>350000</v>
      </c>
      <c r="F56" s="22" t="s">
        <v>263</v>
      </c>
      <c r="G56" s="50" t="s">
        <v>162</v>
      </c>
      <c r="H56" s="50"/>
      <c r="I56" s="50"/>
    </row>
    <row r="57" spans="1:9" s="51" customFormat="1" ht="22.5" customHeight="1" x14ac:dyDescent="0.15">
      <c r="A57" s="67" t="s">
        <v>371</v>
      </c>
      <c r="B57" s="29" t="s">
        <v>372</v>
      </c>
      <c r="C57" s="9" t="s">
        <v>374</v>
      </c>
      <c r="D57" s="52" t="s">
        <v>373</v>
      </c>
      <c r="E57" s="48">
        <v>1530000</v>
      </c>
      <c r="F57" s="22" t="s">
        <v>375</v>
      </c>
      <c r="G57" s="50" t="s">
        <v>158</v>
      </c>
      <c r="H57" s="50"/>
      <c r="I57" s="50"/>
    </row>
    <row r="58" spans="1:9" s="51" customFormat="1" ht="22.5" customHeight="1" x14ac:dyDescent="0.15">
      <c r="A58" s="67" t="s">
        <v>380</v>
      </c>
      <c r="B58" s="29" t="s">
        <v>378</v>
      </c>
      <c r="C58" s="42" t="s">
        <v>297</v>
      </c>
      <c r="D58" s="52">
        <v>15014</v>
      </c>
      <c r="E58" s="48">
        <v>329000</v>
      </c>
      <c r="F58" s="22" t="s">
        <v>379</v>
      </c>
      <c r="G58" s="50" t="s">
        <v>165</v>
      </c>
      <c r="H58" s="50"/>
      <c r="I58" s="50"/>
    </row>
    <row r="59" spans="1:9" s="51" customFormat="1" ht="22.5" customHeight="1" x14ac:dyDescent="0.15">
      <c r="A59" s="67" t="s">
        <v>383</v>
      </c>
      <c r="B59" s="29" t="s">
        <v>342</v>
      </c>
      <c r="C59" s="42" t="s">
        <v>47</v>
      </c>
      <c r="D59" s="52"/>
      <c r="E59" s="48">
        <v>4150</v>
      </c>
      <c r="F59" s="22" t="s">
        <v>384</v>
      </c>
      <c r="G59" s="50" t="s">
        <v>165</v>
      </c>
      <c r="H59" s="50"/>
      <c r="I59" s="50"/>
    </row>
    <row r="60" spans="1:9" s="51" customFormat="1" ht="22.5" customHeight="1" x14ac:dyDescent="0.15">
      <c r="A60" s="67" t="s">
        <v>385</v>
      </c>
      <c r="B60" s="29" t="s">
        <v>192</v>
      </c>
      <c r="C60" s="9" t="s">
        <v>386</v>
      </c>
      <c r="D60" s="52">
        <v>14039</v>
      </c>
      <c r="E60" s="48">
        <v>41870</v>
      </c>
      <c r="F60" s="22" t="s">
        <v>238</v>
      </c>
      <c r="G60" s="50" t="s">
        <v>165</v>
      </c>
      <c r="H60" s="50"/>
      <c r="I60" s="50"/>
    </row>
    <row r="61" spans="1:9" s="51" customFormat="1" ht="22.5" customHeight="1" x14ac:dyDescent="0.15">
      <c r="A61" s="67" t="s">
        <v>387</v>
      </c>
      <c r="B61" s="29" t="s">
        <v>390</v>
      </c>
      <c r="C61" s="42" t="s">
        <v>56</v>
      </c>
      <c r="D61" s="52">
        <v>14055</v>
      </c>
      <c r="E61" s="48">
        <v>30000</v>
      </c>
      <c r="F61" s="22" t="s">
        <v>392</v>
      </c>
      <c r="G61" s="50" t="s">
        <v>165</v>
      </c>
      <c r="H61" s="50"/>
      <c r="I61" s="50"/>
    </row>
    <row r="62" spans="1:9" s="51" customFormat="1" ht="22.5" customHeight="1" x14ac:dyDescent="0.15">
      <c r="A62" s="67" t="s">
        <v>387</v>
      </c>
      <c r="B62" s="29" t="s">
        <v>391</v>
      </c>
      <c r="C62" s="42" t="s">
        <v>56</v>
      </c>
      <c r="D62" s="52">
        <v>14055</v>
      </c>
      <c r="E62" s="48">
        <v>30000</v>
      </c>
      <c r="F62" s="22" t="s">
        <v>392</v>
      </c>
      <c r="G62" s="50" t="s">
        <v>165</v>
      </c>
      <c r="H62" s="50"/>
      <c r="I62" s="50"/>
    </row>
    <row r="63" spans="1:9" s="84" customFormat="1" ht="21.75" customHeight="1" x14ac:dyDescent="0.15">
      <c r="A63" s="67" t="s">
        <v>394</v>
      </c>
      <c r="B63" s="79" t="s">
        <v>409</v>
      </c>
      <c r="C63" s="85" t="s">
        <v>96</v>
      </c>
      <c r="D63" s="72">
        <v>13004</v>
      </c>
      <c r="E63" s="82">
        <v>500000</v>
      </c>
      <c r="F63" s="81" t="s">
        <v>230</v>
      </c>
      <c r="G63" s="81" t="s">
        <v>206</v>
      </c>
      <c r="H63" s="81" t="s">
        <v>261</v>
      </c>
      <c r="I63" s="81" t="s">
        <v>393</v>
      </c>
    </row>
    <row r="64" spans="1:9" s="51" customFormat="1" ht="22.5" customHeight="1" x14ac:dyDescent="0.15">
      <c r="A64" s="67" t="s">
        <v>394</v>
      </c>
      <c r="B64" s="32" t="s">
        <v>357</v>
      </c>
      <c r="C64" s="31" t="s">
        <v>368</v>
      </c>
      <c r="D64" s="50">
        <v>15028</v>
      </c>
      <c r="E64" s="48">
        <v>204000</v>
      </c>
      <c r="F64" s="22" t="s">
        <v>395</v>
      </c>
      <c r="G64" s="50" t="s">
        <v>396</v>
      </c>
      <c r="H64" s="50"/>
      <c r="I64" s="50"/>
    </row>
    <row r="65" spans="1:9" s="51" customFormat="1" ht="22.5" customHeight="1" x14ac:dyDescent="0.15">
      <c r="A65" s="67" t="s">
        <v>394</v>
      </c>
      <c r="B65" s="32" t="s">
        <v>357</v>
      </c>
      <c r="C65" s="31" t="s">
        <v>369</v>
      </c>
      <c r="D65" s="50">
        <v>15029</v>
      </c>
      <c r="E65" s="48">
        <v>204000</v>
      </c>
      <c r="F65" s="22" t="s">
        <v>395</v>
      </c>
      <c r="G65" s="50" t="s">
        <v>396</v>
      </c>
      <c r="H65" s="50"/>
      <c r="I65" s="50"/>
    </row>
    <row r="66" spans="1:9" s="84" customFormat="1" ht="22.5" customHeight="1" x14ac:dyDescent="0.15">
      <c r="A66" s="78" t="s">
        <v>277</v>
      </c>
      <c r="B66" s="79" t="s">
        <v>410</v>
      </c>
      <c r="C66" s="80" t="s">
        <v>104</v>
      </c>
      <c r="D66" s="72">
        <v>13013</v>
      </c>
      <c r="E66" s="82">
        <v>331560</v>
      </c>
      <c r="F66" s="83" t="s">
        <v>278</v>
      </c>
      <c r="G66" s="81" t="s">
        <v>260</v>
      </c>
      <c r="H66" s="1185" t="s">
        <v>447</v>
      </c>
      <c r="I66" s="1185" t="s">
        <v>404</v>
      </c>
    </row>
    <row r="67" spans="1:9" s="84" customFormat="1" ht="21.75" customHeight="1" x14ac:dyDescent="0.15">
      <c r="A67" s="78" t="s">
        <v>277</v>
      </c>
      <c r="B67" s="79" t="s">
        <v>103</v>
      </c>
      <c r="C67" s="80" t="s">
        <v>104</v>
      </c>
      <c r="D67" s="72">
        <v>13014</v>
      </c>
      <c r="E67" s="82">
        <v>135000</v>
      </c>
      <c r="F67" s="83" t="s">
        <v>278</v>
      </c>
      <c r="G67" s="81" t="s">
        <v>260</v>
      </c>
      <c r="H67" s="1186"/>
      <c r="I67" s="1186"/>
    </row>
    <row r="68" spans="1:9" s="51" customFormat="1" ht="22.5" customHeight="1" x14ac:dyDescent="0.15">
      <c r="A68" s="67" t="s">
        <v>405</v>
      </c>
      <c r="B68" s="29" t="s">
        <v>217</v>
      </c>
      <c r="C68" s="4" t="s">
        <v>218</v>
      </c>
      <c r="D68" s="52"/>
      <c r="E68" s="48">
        <v>6000</v>
      </c>
      <c r="F68" s="22" t="s">
        <v>406</v>
      </c>
      <c r="G68" s="50" t="s">
        <v>399</v>
      </c>
      <c r="H68" s="50"/>
      <c r="I68" s="50"/>
    </row>
    <row r="69" spans="1:9" s="51" customFormat="1" ht="22.5" customHeight="1" x14ac:dyDescent="0.15">
      <c r="A69" s="67" t="s">
        <v>400</v>
      </c>
      <c r="B69" s="29" t="s">
        <v>403</v>
      </c>
      <c r="C69" s="4" t="s">
        <v>218</v>
      </c>
      <c r="D69" s="52">
        <v>14065</v>
      </c>
      <c r="E69" s="48">
        <v>80000</v>
      </c>
      <c r="F69" s="22" t="s">
        <v>398</v>
      </c>
      <c r="G69" s="50" t="s">
        <v>399</v>
      </c>
      <c r="H69" s="50"/>
      <c r="I69" s="50"/>
    </row>
    <row r="70" spans="1:9" s="51" customFormat="1" ht="22.5" customHeight="1" x14ac:dyDescent="0.15">
      <c r="A70" s="67" t="s">
        <v>402</v>
      </c>
      <c r="B70" s="29" t="s">
        <v>221</v>
      </c>
      <c r="C70" s="4" t="s">
        <v>222</v>
      </c>
      <c r="D70" s="52">
        <v>14067</v>
      </c>
      <c r="E70" s="48">
        <v>80000</v>
      </c>
      <c r="F70" s="22" t="s">
        <v>398</v>
      </c>
      <c r="G70" s="50" t="s">
        <v>399</v>
      </c>
      <c r="H70" s="50"/>
      <c r="I70" s="50"/>
    </row>
    <row r="71" spans="1:9" s="51" customFormat="1" ht="22.5" customHeight="1" x14ac:dyDescent="0.15">
      <c r="A71" s="67" t="s">
        <v>401</v>
      </c>
      <c r="B71" s="29" t="s">
        <v>219</v>
      </c>
      <c r="C71" s="4" t="s">
        <v>220</v>
      </c>
      <c r="D71" s="52">
        <v>14066</v>
      </c>
      <c r="E71" s="48">
        <v>80000</v>
      </c>
      <c r="F71" s="22" t="s">
        <v>398</v>
      </c>
      <c r="G71" s="50" t="s">
        <v>399</v>
      </c>
      <c r="H71" s="50"/>
      <c r="I71" s="50"/>
    </row>
    <row r="72" spans="1:9" s="51" customFormat="1" ht="22.5" customHeight="1" x14ac:dyDescent="0.15">
      <c r="A72" s="67" t="s">
        <v>397</v>
      </c>
      <c r="B72" s="29" t="s">
        <v>215</v>
      </c>
      <c r="C72" s="4" t="s">
        <v>216</v>
      </c>
      <c r="D72" s="52">
        <v>14064</v>
      </c>
      <c r="E72" s="48">
        <v>80000</v>
      </c>
      <c r="F72" s="22" t="s">
        <v>398</v>
      </c>
      <c r="G72" s="50" t="s">
        <v>399</v>
      </c>
      <c r="H72" s="50"/>
      <c r="I72" s="50"/>
    </row>
    <row r="73" spans="1:9" s="51" customFormat="1" ht="22.5" customHeight="1" x14ac:dyDescent="0.15">
      <c r="A73" s="67" t="s">
        <v>407</v>
      </c>
      <c r="B73" s="29" t="s">
        <v>219</v>
      </c>
      <c r="C73" s="4" t="s">
        <v>220</v>
      </c>
      <c r="D73" s="52"/>
      <c r="E73" s="48">
        <v>14000</v>
      </c>
      <c r="F73" s="22" t="s">
        <v>384</v>
      </c>
      <c r="G73" s="50" t="s">
        <v>399</v>
      </c>
      <c r="H73" s="50"/>
      <c r="I73" s="50"/>
    </row>
    <row r="74" spans="1:9" s="51" customFormat="1" ht="22.5" customHeight="1" x14ac:dyDescent="0.15">
      <c r="A74" s="67" t="s">
        <v>412</v>
      </c>
      <c r="B74" s="29" t="s">
        <v>433</v>
      </c>
      <c r="C74" s="21" t="s">
        <v>105</v>
      </c>
      <c r="D74" s="52">
        <v>13016</v>
      </c>
      <c r="E74" s="48">
        <v>100000</v>
      </c>
      <c r="F74" s="22" t="s">
        <v>414</v>
      </c>
      <c r="G74" s="50" t="s">
        <v>191</v>
      </c>
      <c r="H74" s="68" t="s">
        <v>413</v>
      </c>
      <c r="I74" s="50"/>
    </row>
    <row r="75" spans="1:9" s="51" customFormat="1" ht="22.5" customHeight="1" x14ac:dyDescent="0.15">
      <c r="A75" s="67" t="s">
        <v>412</v>
      </c>
      <c r="B75" s="29" t="s">
        <v>415</v>
      </c>
      <c r="C75" s="21" t="s">
        <v>29</v>
      </c>
      <c r="D75" s="52">
        <v>14070</v>
      </c>
      <c r="E75" s="48">
        <v>190000</v>
      </c>
      <c r="F75" s="22" t="s">
        <v>273</v>
      </c>
      <c r="G75" s="50" t="s">
        <v>171</v>
      </c>
      <c r="H75" s="68"/>
      <c r="I75" s="50"/>
    </row>
    <row r="76" spans="1:9" s="51" customFormat="1" ht="22.5" customHeight="1" x14ac:dyDescent="0.15">
      <c r="A76" s="67" t="s">
        <v>416</v>
      </c>
      <c r="B76" s="29" t="s">
        <v>429</v>
      </c>
      <c r="C76" s="21" t="s">
        <v>86</v>
      </c>
      <c r="D76" s="52">
        <v>12052</v>
      </c>
      <c r="E76" s="48">
        <v>335920</v>
      </c>
      <c r="F76" s="22" t="s">
        <v>418</v>
      </c>
      <c r="G76" s="50" t="s">
        <v>417</v>
      </c>
      <c r="H76" s="68"/>
      <c r="I76" s="50"/>
    </row>
    <row r="77" spans="1:9" s="51" customFormat="1" ht="22.5" customHeight="1" x14ac:dyDescent="0.15">
      <c r="A77" s="67" t="s">
        <v>419</v>
      </c>
      <c r="B77" s="29" t="s">
        <v>300</v>
      </c>
      <c r="C77" s="58" t="s">
        <v>168</v>
      </c>
      <c r="D77" s="52">
        <v>15012</v>
      </c>
      <c r="E77" s="48">
        <v>60000</v>
      </c>
      <c r="F77" s="22" t="s">
        <v>303</v>
      </c>
      <c r="G77" s="50" t="s">
        <v>171</v>
      </c>
      <c r="H77" s="68"/>
      <c r="I77" s="50"/>
    </row>
    <row r="78" spans="1:9" s="51" customFormat="1" ht="22.5" customHeight="1" x14ac:dyDescent="0.15">
      <c r="A78" s="67" t="s">
        <v>420</v>
      </c>
      <c r="B78" s="29" t="s">
        <v>411</v>
      </c>
      <c r="C78" s="4" t="s">
        <v>421</v>
      </c>
      <c r="D78" s="52">
        <v>13021</v>
      </c>
      <c r="E78" s="48">
        <v>450000</v>
      </c>
      <c r="F78" s="22" t="s">
        <v>422</v>
      </c>
      <c r="G78" s="50" t="s">
        <v>178</v>
      </c>
      <c r="H78" s="68"/>
      <c r="I78" s="50"/>
    </row>
    <row r="79" spans="1:9" s="51" customFormat="1" ht="22.5" customHeight="1" x14ac:dyDescent="0.15">
      <c r="A79" s="67" t="s">
        <v>423</v>
      </c>
      <c r="B79" s="29" t="s">
        <v>425</v>
      </c>
      <c r="C79" s="4" t="s">
        <v>84</v>
      </c>
      <c r="D79" s="52">
        <v>12051</v>
      </c>
      <c r="E79" s="48">
        <v>402500</v>
      </c>
      <c r="F79" s="22" t="s">
        <v>424</v>
      </c>
      <c r="G79" s="50" t="s">
        <v>153</v>
      </c>
      <c r="H79" s="68"/>
      <c r="I79" s="50"/>
    </row>
    <row r="80" spans="1:9" s="51" customFormat="1" ht="22.5" customHeight="1" x14ac:dyDescent="0.15">
      <c r="A80" s="67" t="s">
        <v>426</v>
      </c>
      <c r="B80" s="40" t="s">
        <v>430</v>
      </c>
      <c r="C80" s="42" t="s">
        <v>82</v>
      </c>
      <c r="D80" s="52">
        <v>15009</v>
      </c>
      <c r="E80" s="48">
        <v>60000</v>
      </c>
      <c r="F80" s="22" t="s">
        <v>303</v>
      </c>
      <c r="G80" s="50" t="s">
        <v>165</v>
      </c>
      <c r="H80" s="68"/>
      <c r="I80" s="50"/>
    </row>
    <row r="81" spans="1:9" s="51" customFormat="1" ht="22.5" customHeight="1" x14ac:dyDescent="0.15">
      <c r="A81" s="67" t="s">
        <v>426</v>
      </c>
      <c r="B81" s="40" t="s">
        <v>431</v>
      </c>
      <c r="C81" s="42" t="s">
        <v>118</v>
      </c>
      <c r="D81" s="52">
        <v>15010</v>
      </c>
      <c r="E81" s="48">
        <v>60000</v>
      </c>
      <c r="F81" s="22" t="s">
        <v>303</v>
      </c>
      <c r="G81" s="50" t="s">
        <v>165</v>
      </c>
      <c r="H81" s="68"/>
      <c r="I81" s="50"/>
    </row>
    <row r="82" spans="1:9" s="51" customFormat="1" ht="22.5" customHeight="1" x14ac:dyDescent="0.15">
      <c r="A82" s="67" t="s">
        <v>426</v>
      </c>
      <c r="B82" s="40" t="s">
        <v>432</v>
      </c>
      <c r="C82" s="42" t="s">
        <v>117</v>
      </c>
      <c r="D82" s="52">
        <v>15011</v>
      </c>
      <c r="E82" s="48">
        <v>60000</v>
      </c>
      <c r="F82" s="22" t="s">
        <v>303</v>
      </c>
      <c r="G82" s="50" t="s">
        <v>165</v>
      </c>
      <c r="H82" s="68"/>
      <c r="I82" s="50"/>
    </row>
    <row r="83" spans="1:9" s="51" customFormat="1" ht="22.5" customHeight="1" x14ac:dyDescent="0.15">
      <c r="A83" s="67" t="s">
        <v>427</v>
      </c>
      <c r="B83" s="40" t="s">
        <v>212</v>
      </c>
      <c r="C83" s="59" t="s">
        <v>213</v>
      </c>
      <c r="D83" s="52">
        <v>15013</v>
      </c>
      <c r="E83" s="48">
        <v>60000</v>
      </c>
      <c r="F83" s="22" t="s">
        <v>271</v>
      </c>
      <c r="G83" s="50" t="s">
        <v>165</v>
      </c>
      <c r="H83" s="68"/>
      <c r="I83" s="50"/>
    </row>
    <row r="84" spans="1:9" s="51" customFormat="1" ht="22.5" customHeight="1" x14ac:dyDescent="0.15">
      <c r="A84" s="67" t="s">
        <v>435</v>
      </c>
      <c r="B84" s="40" t="s">
        <v>307</v>
      </c>
      <c r="C84" s="59" t="s">
        <v>301</v>
      </c>
      <c r="D84" s="52">
        <v>15005</v>
      </c>
      <c r="E84" s="48">
        <v>60000</v>
      </c>
      <c r="F84" s="22" t="s">
        <v>271</v>
      </c>
      <c r="G84" s="50" t="s">
        <v>165</v>
      </c>
      <c r="H84" s="68"/>
      <c r="I84" s="50"/>
    </row>
    <row r="85" spans="1:9" s="51" customFormat="1" ht="22.5" customHeight="1" x14ac:dyDescent="0.15">
      <c r="A85" s="67" t="s">
        <v>435</v>
      </c>
      <c r="B85" s="40" t="s">
        <v>310</v>
      </c>
      <c r="C85" s="59" t="s">
        <v>302</v>
      </c>
      <c r="D85" s="52">
        <v>15006</v>
      </c>
      <c r="E85" s="48">
        <v>60000</v>
      </c>
      <c r="F85" s="22" t="s">
        <v>271</v>
      </c>
      <c r="G85" s="50" t="s">
        <v>165</v>
      </c>
      <c r="H85" s="68"/>
      <c r="I85" s="50"/>
    </row>
    <row r="86" spans="1:9" s="51" customFormat="1" ht="22.5" customHeight="1" x14ac:dyDescent="0.15">
      <c r="A86" s="67" t="s">
        <v>435</v>
      </c>
      <c r="B86" s="40" t="s">
        <v>202</v>
      </c>
      <c r="C86" s="59" t="s">
        <v>203</v>
      </c>
      <c r="D86" s="52">
        <v>15007</v>
      </c>
      <c r="E86" s="48">
        <v>60000</v>
      </c>
      <c r="F86" s="22" t="s">
        <v>271</v>
      </c>
      <c r="G86" s="50" t="s">
        <v>165</v>
      </c>
      <c r="H86" s="68"/>
      <c r="I86" s="50"/>
    </row>
    <row r="87" spans="1:9" s="51" customFormat="1" ht="22.5" customHeight="1" x14ac:dyDescent="0.15">
      <c r="A87" s="67" t="s">
        <v>436</v>
      </c>
      <c r="B87" s="40" t="s">
        <v>199</v>
      </c>
      <c r="C87" s="59" t="s">
        <v>200</v>
      </c>
      <c r="D87" s="52">
        <v>15008</v>
      </c>
      <c r="E87" s="48">
        <v>60000</v>
      </c>
      <c r="F87" s="22" t="s">
        <v>271</v>
      </c>
      <c r="G87" s="13" t="s">
        <v>165</v>
      </c>
      <c r="H87" s="68"/>
      <c r="I87" s="50"/>
    </row>
    <row r="88" spans="1:9" s="51" customFormat="1" ht="22.5" customHeight="1" x14ac:dyDescent="0.15">
      <c r="A88" s="67" t="s">
        <v>437</v>
      </c>
      <c r="B88" s="44" t="s">
        <v>448</v>
      </c>
      <c r="C88" s="4" t="s">
        <v>105</v>
      </c>
      <c r="D88" s="52">
        <v>15015</v>
      </c>
      <c r="E88" s="48">
        <v>27900</v>
      </c>
      <c r="F88" s="22" t="s">
        <v>438</v>
      </c>
      <c r="G88" s="50" t="s">
        <v>439</v>
      </c>
      <c r="H88" s="68"/>
      <c r="I88" s="50"/>
    </row>
    <row r="89" spans="1:9" s="51" customFormat="1" ht="22.5" customHeight="1" x14ac:dyDescent="0.15">
      <c r="A89" s="67" t="s">
        <v>440</v>
      </c>
      <c r="B89" s="44" t="s">
        <v>449</v>
      </c>
      <c r="C89" s="4" t="s">
        <v>408</v>
      </c>
      <c r="D89" s="52">
        <v>13021</v>
      </c>
      <c r="E89" s="48">
        <v>397560</v>
      </c>
      <c r="F89" s="22" t="s">
        <v>230</v>
      </c>
      <c r="G89" s="50" t="s">
        <v>178</v>
      </c>
      <c r="H89" s="68"/>
      <c r="I89" s="50"/>
    </row>
    <row r="90" spans="1:9" s="74" customFormat="1" ht="22.5" customHeight="1" x14ac:dyDescent="0.15">
      <c r="A90" s="34" t="s">
        <v>442</v>
      </c>
      <c r="B90" s="69" t="s">
        <v>346</v>
      </c>
      <c r="C90" s="62" t="s">
        <v>105</v>
      </c>
      <c r="D90" s="70">
        <v>13016</v>
      </c>
      <c r="E90" s="71">
        <v>100000</v>
      </c>
      <c r="F90" s="36" t="s">
        <v>443</v>
      </c>
      <c r="G90" s="72" t="s">
        <v>444</v>
      </c>
      <c r="H90" s="73" t="s">
        <v>445</v>
      </c>
      <c r="I90" s="72"/>
    </row>
    <row r="91" spans="1:9" s="51" customFormat="1" ht="22.5" customHeight="1" x14ac:dyDescent="0.15">
      <c r="A91" s="67" t="s">
        <v>450</v>
      </c>
      <c r="B91" s="11" t="s">
        <v>357</v>
      </c>
      <c r="C91" s="31" t="s">
        <v>368</v>
      </c>
      <c r="D91" s="52">
        <v>15028</v>
      </c>
      <c r="E91" s="48">
        <v>306000</v>
      </c>
      <c r="F91" s="22" t="s">
        <v>451</v>
      </c>
      <c r="G91" s="50" t="s">
        <v>158</v>
      </c>
      <c r="H91" s="68"/>
      <c r="I91" s="50"/>
    </row>
    <row r="92" spans="1:9" s="51" customFormat="1" ht="22.5" customHeight="1" x14ac:dyDescent="0.15">
      <c r="A92" s="67" t="s">
        <v>454</v>
      </c>
      <c r="B92" s="11" t="s">
        <v>455</v>
      </c>
      <c r="C92" s="9" t="s">
        <v>223</v>
      </c>
      <c r="D92" s="52">
        <v>13046</v>
      </c>
      <c r="E92" s="48">
        <v>239400</v>
      </c>
      <c r="F92" s="22" t="s">
        <v>456</v>
      </c>
      <c r="G92" s="50" t="s">
        <v>165</v>
      </c>
      <c r="H92" s="68"/>
      <c r="I92" s="50"/>
    </row>
    <row r="93" spans="1:9" s="51" customFormat="1" ht="21.75" customHeight="1" x14ac:dyDescent="0.15">
      <c r="A93" s="67" t="s">
        <v>457</v>
      </c>
      <c r="B93" s="29" t="s">
        <v>429</v>
      </c>
      <c r="C93" s="21" t="s">
        <v>458</v>
      </c>
      <c r="D93" s="47">
        <v>13044</v>
      </c>
      <c r="E93" s="48">
        <v>40050</v>
      </c>
      <c r="F93" s="22" t="s">
        <v>320</v>
      </c>
      <c r="G93" s="50" t="s">
        <v>232</v>
      </c>
      <c r="H93" s="50"/>
      <c r="I93" s="50"/>
    </row>
    <row r="94" spans="1:9" s="51" customFormat="1" ht="21.75" customHeight="1" x14ac:dyDescent="0.15">
      <c r="A94" s="46" t="s">
        <v>460</v>
      </c>
      <c r="B94" s="20" t="s">
        <v>453</v>
      </c>
      <c r="C94" s="31" t="s">
        <v>481</v>
      </c>
      <c r="D94" s="47">
        <v>15046</v>
      </c>
      <c r="E94" s="48">
        <v>125400</v>
      </c>
      <c r="F94" s="49" t="s">
        <v>461</v>
      </c>
      <c r="G94" s="28" t="s">
        <v>349</v>
      </c>
      <c r="H94" s="50"/>
      <c r="I94" s="50"/>
    </row>
    <row r="95" spans="1:9" s="51" customFormat="1" ht="21.75" customHeight="1" x14ac:dyDescent="0.15">
      <c r="A95" s="46" t="s">
        <v>462</v>
      </c>
      <c r="B95" s="11" t="s">
        <v>482</v>
      </c>
      <c r="C95" s="21" t="s">
        <v>27</v>
      </c>
      <c r="D95" s="47">
        <v>14012</v>
      </c>
      <c r="E95" s="48">
        <v>150000</v>
      </c>
      <c r="F95" s="49" t="s">
        <v>463</v>
      </c>
      <c r="G95" s="50" t="s">
        <v>183</v>
      </c>
      <c r="H95" s="50"/>
      <c r="I95" s="50"/>
    </row>
    <row r="96" spans="1:9" s="51" customFormat="1" ht="21.75" customHeight="1" x14ac:dyDescent="0.15">
      <c r="A96" s="46" t="s">
        <v>462</v>
      </c>
      <c r="B96" s="40" t="s">
        <v>483</v>
      </c>
      <c r="C96" s="42" t="s">
        <v>9</v>
      </c>
      <c r="D96" s="47">
        <v>14013</v>
      </c>
      <c r="E96" s="48">
        <v>150000</v>
      </c>
      <c r="F96" s="49" t="s">
        <v>463</v>
      </c>
      <c r="G96" s="50" t="s">
        <v>183</v>
      </c>
      <c r="H96" s="50"/>
      <c r="I96" s="50"/>
    </row>
    <row r="97" spans="1:9" s="51" customFormat="1" ht="21.75" customHeight="1" x14ac:dyDescent="0.15">
      <c r="A97" s="46" t="s">
        <v>462</v>
      </c>
      <c r="B97" s="40" t="s">
        <v>484</v>
      </c>
      <c r="C97" s="42" t="s">
        <v>46</v>
      </c>
      <c r="D97" s="47">
        <v>14018</v>
      </c>
      <c r="E97" s="48">
        <v>150000</v>
      </c>
      <c r="F97" s="49" t="s">
        <v>463</v>
      </c>
      <c r="G97" s="50" t="s">
        <v>183</v>
      </c>
      <c r="H97" s="50"/>
      <c r="I97" s="50"/>
    </row>
    <row r="98" spans="1:9" s="51" customFormat="1" ht="21.75" customHeight="1" x14ac:dyDescent="0.15">
      <c r="A98" s="46" t="s">
        <v>464</v>
      </c>
      <c r="B98" s="40" t="s">
        <v>485</v>
      </c>
      <c r="C98" s="42" t="s">
        <v>23</v>
      </c>
      <c r="D98" s="52">
        <v>14016</v>
      </c>
      <c r="E98" s="48">
        <v>150000</v>
      </c>
      <c r="F98" s="49" t="s">
        <v>273</v>
      </c>
      <c r="G98" s="50" t="s">
        <v>165</v>
      </c>
      <c r="H98" s="50"/>
      <c r="I98" s="50"/>
    </row>
    <row r="99" spans="1:9" s="51" customFormat="1" ht="21.75" customHeight="1" x14ac:dyDescent="0.15">
      <c r="A99" s="46" t="s">
        <v>464</v>
      </c>
      <c r="B99" s="54" t="s">
        <v>486</v>
      </c>
      <c r="C99" s="41" t="s">
        <v>45</v>
      </c>
      <c r="D99" s="47">
        <v>14021</v>
      </c>
      <c r="E99" s="48">
        <v>450000</v>
      </c>
      <c r="F99" s="49" t="s">
        <v>273</v>
      </c>
      <c r="G99" s="50" t="s">
        <v>165</v>
      </c>
      <c r="H99" s="50"/>
      <c r="I99" s="50"/>
    </row>
    <row r="100" spans="1:9" s="51" customFormat="1" ht="21.75" customHeight="1" x14ac:dyDescent="0.15">
      <c r="A100" s="46" t="s">
        <v>465</v>
      </c>
      <c r="B100" s="64" t="s">
        <v>487</v>
      </c>
      <c r="C100" s="55" t="s">
        <v>459</v>
      </c>
      <c r="D100" s="47">
        <v>15047</v>
      </c>
      <c r="E100" s="48">
        <v>57000</v>
      </c>
      <c r="F100" s="49" t="s">
        <v>466</v>
      </c>
      <c r="G100" s="50" t="s">
        <v>165</v>
      </c>
      <c r="H100" s="50"/>
      <c r="I100" s="50"/>
    </row>
    <row r="101" spans="1:9" s="51" customFormat="1" ht="21.75" customHeight="1" x14ac:dyDescent="0.15">
      <c r="A101" s="46" t="s">
        <v>469</v>
      </c>
      <c r="B101" s="40" t="s">
        <v>490</v>
      </c>
      <c r="C101" s="42" t="s">
        <v>25</v>
      </c>
      <c r="D101" s="52">
        <v>14017</v>
      </c>
      <c r="E101" s="48">
        <v>150000</v>
      </c>
      <c r="F101" s="49" t="s">
        <v>467</v>
      </c>
      <c r="G101" s="50" t="s">
        <v>468</v>
      </c>
      <c r="H101" s="50"/>
      <c r="I101" s="50"/>
    </row>
    <row r="102" spans="1:9" s="51" customFormat="1" ht="21.75" customHeight="1" x14ac:dyDescent="0.15">
      <c r="A102" s="46" t="s">
        <v>469</v>
      </c>
      <c r="B102" s="40" t="s">
        <v>491</v>
      </c>
      <c r="C102" s="42" t="s">
        <v>47</v>
      </c>
      <c r="D102" s="52">
        <v>14020</v>
      </c>
      <c r="E102" s="48">
        <v>150000</v>
      </c>
      <c r="F102" s="49" t="s">
        <v>388</v>
      </c>
      <c r="G102" s="50" t="s">
        <v>470</v>
      </c>
      <c r="H102" s="50"/>
      <c r="I102" s="50"/>
    </row>
    <row r="103" spans="1:9" s="51" customFormat="1" ht="21.75" customHeight="1" x14ac:dyDescent="0.15">
      <c r="A103" s="46" t="s">
        <v>471</v>
      </c>
      <c r="B103" s="40" t="s">
        <v>489</v>
      </c>
      <c r="C103" s="42" t="s">
        <v>17</v>
      </c>
      <c r="D103" s="52">
        <v>14015</v>
      </c>
      <c r="E103" s="48">
        <v>150000</v>
      </c>
      <c r="F103" s="49" t="s">
        <v>472</v>
      </c>
      <c r="G103" s="50" t="s">
        <v>473</v>
      </c>
      <c r="H103" s="50"/>
      <c r="I103" s="50"/>
    </row>
    <row r="104" spans="1:9" s="51" customFormat="1" ht="21.75" customHeight="1" x14ac:dyDescent="0.15">
      <c r="A104" s="46" t="s">
        <v>474</v>
      </c>
      <c r="B104" s="40" t="s">
        <v>488</v>
      </c>
      <c r="C104" s="42" t="s">
        <v>19</v>
      </c>
      <c r="D104" s="52">
        <v>14010</v>
      </c>
      <c r="E104" s="48">
        <v>150000</v>
      </c>
      <c r="F104" s="49" t="s">
        <v>388</v>
      </c>
      <c r="G104" s="50" t="s">
        <v>473</v>
      </c>
      <c r="H104" s="50"/>
      <c r="I104" s="50"/>
    </row>
    <row r="105" spans="1:9" s="51" customFormat="1" ht="21.75" customHeight="1" x14ac:dyDescent="0.15">
      <c r="A105" s="46" t="s">
        <v>477</v>
      </c>
      <c r="B105" s="40" t="s">
        <v>174</v>
      </c>
      <c r="C105" s="42" t="s">
        <v>15</v>
      </c>
      <c r="D105" s="52">
        <v>14014</v>
      </c>
      <c r="E105" s="48">
        <v>150000</v>
      </c>
      <c r="F105" s="49" t="s">
        <v>475</v>
      </c>
      <c r="G105" s="50" t="s">
        <v>476</v>
      </c>
      <c r="H105" s="50"/>
      <c r="I105" s="50"/>
    </row>
    <row r="106" spans="1:9" s="51" customFormat="1" ht="21.75" customHeight="1" x14ac:dyDescent="0.15">
      <c r="A106" s="46" t="s">
        <v>477</v>
      </c>
      <c r="B106" s="11" t="s">
        <v>173</v>
      </c>
      <c r="C106" s="86" t="s">
        <v>478</v>
      </c>
      <c r="D106" s="47">
        <v>14009</v>
      </c>
      <c r="E106" s="48">
        <v>400000</v>
      </c>
      <c r="F106" s="49" t="s">
        <v>479</v>
      </c>
      <c r="G106" s="50" t="s">
        <v>476</v>
      </c>
      <c r="H106" s="50"/>
      <c r="I106" s="50"/>
    </row>
    <row r="107" spans="1:9" s="51" customFormat="1" ht="21.75" customHeight="1" x14ac:dyDescent="0.15">
      <c r="A107" s="46" t="s">
        <v>492</v>
      </c>
      <c r="B107" s="54" t="s">
        <v>411</v>
      </c>
      <c r="C107" s="87" t="s">
        <v>434</v>
      </c>
      <c r="D107" s="47">
        <v>13021</v>
      </c>
      <c r="E107" s="48">
        <v>36551</v>
      </c>
      <c r="F107" s="49" t="s">
        <v>493</v>
      </c>
      <c r="G107" s="50" t="s">
        <v>162</v>
      </c>
      <c r="H107" s="50"/>
      <c r="I107" s="50"/>
    </row>
    <row r="108" spans="1:9" s="51" customFormat="1" ht="21.75" customHeight="1" x14ac:dyDescent="0.15">
      <c r="A108" s="46" t="s">
        <v>494</v>
      </c>
      <c r="B108" s="54" t="s">
        <v>180</v>
      </c>
      <c r="C108" s="86" t="s">
        <v>495</v>
      </c>
      <c r="D108" s="47">
        <v>15033</v>
      </c>
      <c r="E108" s="48">
        <v>85000</v>
      </c>
      <c r="F108" s="49" t="s">
        <v>271</v>
      </c>
      <c r="G108" s="50" t="s">
        <v>162</v>
      </c>
      <c r="H108" s="50"/>
      <c r="I108" s="50"/>
    </row>
    <row r="109" spans="1:9" s="51" customFormat="1" ht="21.75" customHeight="1" x14ac:dyDescent="0.15">
      <c r="A109" s="46" t="s">
        <v>494</v>
      </c>
      <c r="B109" s="20" t="s">
        <v>254</v>
      </c>
      <c r="C109" s="55" t="s">
        <v>163</v>
      </c>
      <c r="D109" s="47">
        <v>15031</v>
      </c>
      <c r="E109" s="48">
        <v>85000</v>
      </c>
      <c r="F109" s="49" t="s">
        <v>271</v>
      </c>
      <c r="G109" s="50" t="s">
        <v>162</v>
      </c>
      <c r="H109" s="50"/>
      <c r="I109" s="50"/>
    </row>
    <row r="110" spans="1:9" s="51" customFormat="1" ht="21.75" customHeight="1" x14ac:dyDescent="0.15">
      <c r="A110" s="46" t="s">
        <v>494</v>
      </c>
      <c r="B110" s="54" t="s">
        <v>497</v>
      </c>
      <c r="C110" s="21" t="s">
        <v>54</v>
      </c>
      <c r="D110" s="47">
        <v>14058</v>
      </c>
      <c r="E110" s="48">
        <v>126000</v>
      </c>
      <c r="F110" s="49" t="s">
        <v>273</v>
      </c>
      <c r="G110" s="50" t="s">
        <v>260</v>
      </c>
      <c r="H110" s="50"/>
      <c r="I110" s="50"/>
    </row>
    <row r="111" spans="1:9" s="51" customFormat="1" ht="21.75" customHeight="1" x14ac:dyDescent="0.15">
      <c r="A111" s="46" t="s">
        <v>498</v>
      </c>
      <c r="B111" s="40" t="s">
        <v>48</v>
      </c>
      <c r="C111" s="42" t="s">
        <v>8</v>
      </c>
      <c r="D111" s="52">
        <v>14011</v>
      </c>
      <c r="E111" s="48">
        <v>150000</v>
      </c>
      <c r="F111" s="49" t="s">
        <v>388</v>
      </c>
      <c r="G111" s="50" t="s">
        <v>499</v>
      </c>
      <c r="H111" s="50"/>
      <c r="I111" s="50"/>
    </row>
    <row r="112" spans="1:9" s="51" customFormat="1" ht="21.75" customHeight="1" x14ac:dyDescent="0.15">
      <c r="A112" s="46" t="s">
        <v>500</v>
      </c>
      <c r="B112" s="54" t="s">
        <v>441</v>
      </c>
      <c r="C112" s="42" t="s">
        <v>13</v>
      </c>
      <c r="D112" s="47">
        <v>15034</v>
      </c>
      <c r="E112" s="48">
        <v>85000</v>
      </c>
      <c r="F112" s="49" t="s">
        <v>271</v>
      </c>
      <c r="G112" s="50" t="s">
        <v>162</v>
      </c>
      <c r="H112" s="50"/>
      <c r="I112" s="50"/>
    </row>
    <row r="113" spans="1:9" s="51" customFormat="1" ht="21.75" customHeight="1" x14ac:dyDescent="0.15">
      <c r="A113" s="46" t="s">
        <v>500</v>
      </c>
      <c r="B113" s="54" t="s">
        <v>501</v>
      </c>
      <c r="C113" s="55" t="s">
        <v>428</v>
      </c>
      <c r="D113" s="47">
        <v>15053</v>
      </c>
      <c r="E113" s="48">
        <v>150000</v>
      </c>
      <c r="F113" s="49" t="s">
        <v>502</v>
      </c>
      <c r="G113" s="50" t="s">
        <v>499</v>
      </c>
      <c r="H113" s="50"/>
      <c r="I113" s="50"/>
    </row>
    <row r="114" spans="1:9" s="51" customFormat="1" ht="21.75" customHeight="1" x14ac:dyDescent="0.15">
      <c r="A114" s="46" t="s">
        <v>503</v>
      </c>
      <c r="B114" s="75" t="s">
        <v>496</v>
      </c>
      <c r="C114" s="55" t="s">
        <v>382</v>
      </c>
      <c r="D114" s="47">
        <v>15054</v>
      </c>
      <c r="E114" s="48">
        <v>89700</v>
      </c>
      <c r="F114" s="49" t="s">
        <v>238</v>
      </c>
      <c r="G114" s="50" t="s">
        <v>183</v>
      </c>
      <c r="H114" s="50"/>
      <c r="I114" s="50"/>
    </row>
    <row r="115" spans="1:9" s="51" customFormat="1" ht="21.75" customHeight="1" x14ac:dyDescent="0.15">
      <c r="A115" s="46" t="s">
        <v>503</v>
      </c>
      <c r="B115" s="54" t="s">
        <v>215</v>
      </c>
      <c r="C115" s="88" t="s">
        <v>504</v>
      </c>
      <c r="D115" s="47">
        <v>14064</v>
      </c>
      <c r="E115" s="48">
        <v>80000</v>
      </c>
      <c r="F115" s="49" t="s">
        <v>271</v>
      </c>
      <c r="G115" s="50" t="s">
        <v>183</v>
      </c>
      <c r="H115" s="50"/>
      <c r="I115" s="50"/>
    </row>
    <row r="116" spans="1:9" s="51" customFormat="1" ht="21.75" customHeight="1" x14ac:dyDescent="0.15">
      <c r="A116" s="46" t="s">
        <v>503</v>
      </c>
      <c r="B116" s="29" t="s">
        <v>73</v>
      </c>
      <c r="C116" s="21" t="s">
        <v>74</v>
      </c>
      <c r="D116" s="47">
        <v>14065</v>
      </c>
      <c r="E116" s="48">
        <v>80000</v>
      </c>
      <c r="F116" s="49" t="s">
        <v>271</v>
      </c>
      <c r="G116" s="50" t="s">
        <v>183</v>
      </c>
      <c r="H116" s="50"/>
      <c r="I116" s="50"/>
    </row>
    <row r="117" spans="1:9" s="51" customFormat="1" ht="21.75" customHeight="1" x14ac:dyDescent="0.15">
      <c r="A117" s="46" t="s">
        <v>503</v>
      </c>
      <c r="B117" s="11" t="s">
        <v>80</v>
      </c>
      <c r="C117" s="88" t="s">
        <v>220</v>
      </c>
      <c r="D117" s="47">
        <v>14066</v>
      </c>
      <c r="E117" s="48">
        <v>80000</v>
      </c>
      <c r="F117" s="49" t="s">
        <v>271</v>
      </c>
      <c r="G117" s="50" t="s">
        <v>183</v>
      </c>
      <c r="H117" s="50"/>
      <c r="I117" s="50"/>
    </row>
    <row r="118" spans="1:9" s="51" customFormat="1" ht="21.75" customHeight="1" x14ac:dyDescent="0.15">
      <c r="A118" s="46" t="s">
        <v>503</v>
      </c>
      <c r="B118" s="29" t="s">
        <v>75</v>
      </c>
      <c r="C118" s="21" t="s">
        <v>76</v>
      </c>
      <c r="D118" s="47">
        <v>14067</v>
      </c>
      <c r="E118" s="48">
        <v>80000</v>
      </c>
      <c r="F118" s="49" t="s">
        <v>271</v>
      </c>
      <c r="G118" s="50" t="s">
        <v>183</v>
      </c>
      <c r="H118" s="50"/>
      <c r="I118" s="50"/>
    </row>
    <row r="119" spans="1:9" s="51" customFormat="1" ht="21.75" customHeight="1" x14ac:dyDescent="0.15">
      <c r="A119" s="46" t="s">
        <v>505</v>
      </c>
      <c r="B119" s="32" t="s">
        <v>254</v>
      </c>
      <c r="C119" s="88" t="s">
        <v>506</v>
      </c>
      <c r="D119" s="47">
        <v>15032</v>
      </c>
      <c r="E119" s="48">
        <v>85000</v>
      </c>
      <c r="F119" s="49" t="s">
        <v>271</v>
      </c>
      <c r="G119" s="50" t="s">
        <v>162</v>
      </c>
      <c r="H119" s="50"/>
      <c r="I119" s="50"/>
    </row>
    <row r="120" spans="1:9" s="51" customFormat="1" ht="21.75" customHeight="1" x14ac:dyDescent="0.15">
      <c r="A120" s="46" t="s">
        <v>505</v>
      </c>
      <c r="B120" s="44" t="s">
        <v>10</v>
      </c>
      <c r="C120" s="42" t="s">
        <v>11</v>
      </c>
      <c r="D120" s="47">
        <v>15035</v>
      </c>
      <c r="E120" s="48">
        <v>85000</v>
      </c>
      <c r="F120" s="49" t="s">
        <v>271</v>
      </c>
      <c r="G120" s="50" t="s">
        <v>162</v>
      </c>
      <c r="H120" s="50"/>
      <c r="I120" s="50"/>
    </row>
    <row r="121" spans="1:9" s="51" customFormat="1" ht="21.75" customHeight="1" x14ac:dyDescent="0.15">
      <c r="A121" s="46" t="s">
        <v>507</v>
      </c>
      <c r="B121" s="40" t="s">
        <v>192</v>
      </c>
      <c r="C121" s="58" t="s">
        <v>97</v>
      </c>
      <c r="D121" s="47">
        <v>14023</v>
      </c>
      <c r="E121" s="48">
        <v>85000</v>
      </c>
      <c r="F121" s="49" t="s">
        <v>271</v>
      </c>
      <c r="G121" s="50" t="s">
        <v>165</v>
      </c>
      <c r="H121" s="50"/>
      <c r="I121" s="50"/>
    </row>
    <row r="122" spans="1:9" s="51" customFormat="1" ht="21.75" customHeight="1" x14ac:dyDescent="0.15">
      <c r="A122" s="46" t="s">
        <v>1074</v>
      </c>
      <c r="B122" s="32" t="s">
        <v>1075</v>
      </c>
      <c r="C122" s="58" t="s">
        <v>1076</v>
      </c>
      <c r="D122" s="47">
        <v>14001</v>
      </c>
      <c r="E122" s="48">
        <v>100000</v>
      </c>
      <c r="F122" s="49" t="s">
        <v>388</v>
      </c>
      <c r="G122" s="50" t="s">
        <v>1077</v>
      </c>
      <c r="H122" s="50"/>
      <c r="I122" s="50"/>
    </row>
    <row r="123" spans="1:9" s="51" customFormat="1" ht="21.75" customHeight="1" x14ac:dyDescent="0.15">
      <c r="A123" s="46" t="s">
        <v>1078</v>
      </c>
      <c r="B123" s="11" t="s">
        <v>44</v>
      </c>
      <c r="C123" s="58" t="s">
        <v>1079</v>
      </c>
      <c r="D123" s="47">
        <v>12062</v>
      </c>
      <c r="E123" s="48">
        <v>150000</v>
      </c>
      <c r="F123" s="49" t="s">
        <v>388</v>
      </c>
      <c r="G123" s="50" t="s">
        <v>1080</v>
      </c>
      <c r="H123" s="50"/>
      <c r="I123" s="50"/>
    </row>
    <row r="124" spans="1:9" s="51" customFormat="1" ht="21.75" customHeight="1" x14ac:dyDescent="0.15">
      <c r="A124" s="46" t="s">
        <v>1081</v>
      </c>
      <c r="B124" s="11" t="s">
        <v>1082</v>
      </c>
      <c r="C124" s="58" t="s">
        <v>1083</v>
      </c>
      <c r="D124" s="47">
        <v>12061</v>
      </c>
      <c r="E124" s="48">
        <v>150000</v>
      </c>
      <c r="F124" s="49" t="s">
        <v>388</v>
      </c>
      <c r="G124" s="50" t="s">
        <v>1084</v>
      </c>
      <c r="H124" s="50"/>
      <c r="I124" s="50"/>
    </row>
    <row r="125" spans="1:9" s="51" customFormat="1" ht="21.75" customHeight="1" x14ac:dyDescent="0.15">
      <c r="A125" s="46" t="s">
        <v>1085</v>
      </c>
      <c r="B125" s="40" t="s">
        <v>20</v>
      </c>
      <c r="C125" s="42" t="s">
        <v>21</v>
      </c>
      <c r="D125" s="52">
        <v>14019</v>
      </c>
      <c r="E125" s="48">
        <v>150000</v>
      </c>
      <c r="F125" s="49" t="s">
        <v>388</v>
      </c>
      <c r="G125" s="50" t="s">
        <v>1084</v>
      </c>
      <c r="H125" s="50"/>
      <c r="I125" s="50"/>
    </row>
    <row r="126" spans="1:9" s="51" customFormat="1" ht="21.75" customHeight="1" x14ac:dyDescent="0.15">
      <c r="A126" s="46" t="s">
        <v>1085</v>
      </c>
      <c r="B126" s="20" t="s">
        <v>1086</v>
      </c>
      <c r="C126" s="58" t="s">
        <v>98</v>
      </c>
      <c r="D126" s="52">
        <v>15021</v>
      </c>
      <c r="E126" s="48">
        <v>100000</v>
      </c>
      <c r="F126" s="49" t="s">
        <v>388</v>
      </c>
      <c r="G126" s="50" t="s">
        <v>1087</v>
      </c>
      <c r="H126" s="50"/>
      <c r="I126" s="50"/>
    </row>
    <row r="127" spans="1:9" s="51" customFormat="1" ht="21.75" customHeight="1" x14ac:dyDescent="0.15">
      <c r="A127" s="46" t="s">
        <v>1085</v>
      </c>
      <c r="B127" s="29" t="s">
        <v>79</v>
      </c>
      <c r="C127" s="42" t="s">
        <v>1088</v>
      </c>
      <c r="D127" s="52">
        <v>15022</v>
      </c>
      <c r="E127" s="48">
        <v>100000</v>
      </c>
      <c r="F127" s="49" t="s">
        <v>388</v>
      </c>
      <c r="G127" s="50" t="s">
        <v>1087</v>
      </c>
      <c r="H127" s="50"/>
      <c r="I127" s="50"/>
    </row>
    <row r="128" spans="1:9" s="51" customFormat="1" ht="21.75" customHeight="1" x14ac:dyDescent="0.15">
      <c r="A128" s="46" t="s">
        <v>1089</v>
      </c>
      <c r="B128" s="32" t="s">
        <v>1090</v>
      </c>
      <c r="C128" s="42" t="s">
        <v>1091</v>
      </c>
      <c r="D128" s="52">
        <v>15043</v>
      </c>
      <c r="E128" s="48">
        <v>120000</v>
      </c>
      <c r="F128" s="49" t="s">
        <v>388</v>
      </c>
      <c r="G128" s="50" t="s">
        <v>1092</v>
      </c>
      <c r="H128" s="50"/>
      <c r="I128" s="50"/>
    </row>
    <row r="129" spans="1:9" s="51" customFormat="1" ht="21.75" customHeight="1" x14ac:dyDescent="0.15">
      <c r="A129" s="46" t="s">
        <v>1089</v>
      </c>
      <c r="B129" s="32" t="s">
        <v>1090</v>
      </c>
      <c r="C129" s="42" t="s">
        <v>1091</v>
      </c>
      <c r="D129" s="52">
        <v>15044</v>
      </c>
      <c r="E129" s="48">
        <v>10000</v>
      </c>
      <c r="F129" s="49" t="s">
        <v>1093</v>
      </c>
      <c r="G129" s="50" t="s">
        <v>1092</v>
      </c>
      <c r="H129" s="50"/>
      <c r="I129" s="50"/>
    </row>
    <row r="130" spans="1:9" s="51" customFormat="1" ht="21.75" customHeight="1" x14ac:dyDescent="0.15">
      <c r="A130" s="46" t="s">
        <v>1094</v>
      </c>
      <c r="B130" s="32" t="s">
        <v>1075</v>
      </c>
      <c r="C130" s="58" t="s">
        <v>1095</v>
      </c>
      <c r="D130" s="52">
        <v>14068</v>
      </c>
      <c r="E130" s="48">
        <v>20000</v>
      </c>
      <c r="F130" s="49" t="s">
        <v>1096</v>
      </c>
      <c r="G130" s="50" t="s">
        <v>1097</v>
      </c>
      <c r="H130" s="50"/>
      <c r="I130" s="50"/>
    </row>
    <row r="131" spans="1:9" s="51" customFormat="1" ht="21.75" customHeight="1" x14ac:dyDescent="0.15">
      <c r="A131" s="46" t="s">
        <v>1094</v>
      </c>
      <c r="B131" s="11" t="s">
        <v>42</v>
      </c>
      <c r="C131" s="42" t="s">
        <v>43</v>
      </c>
      <c r="D131" s="52">
        <v>14056</v>
      </c>
      <c r="E131" s="48">
        <v>100000</v>
      </c>
      <c r="F131" s="49" t="s">
        <v>388</v>
      </c>
      <c r="G131" s="50" t="s">
        <v>1097</v>
      </c>
      <c r="H131" s="50"/>
      <c r="I131" s="50"/>
    </row>
    <row r="132" spans="1:9" s="51" customFormat="1" ht="21.75" customHeight="1" x14ac:dyDescent="0.15">
      <c r="A132" s="46" t="s">
        <v>1094</v>
      </c>
      <c r="B132" s="11" t="s">
        <v>42</v>
      </c>
      <c r="C132" s="42" t="s">
        <v>43</v>
      </c>
      <c r="D132" s="47">
        <v>15050</v>
      </c>
      <c r="E132" s="48">
        <v>100000</v>
      </c>
      <c r="F132" s="49" t="s">
        <v>388</v>
      </c>
      <c r="G132" s="50" t="s">
        <v>1097</v>
      </c>
      <c r="H132" s="50"/>
      <c r="I132" s="50"/>
    </row>
    <row r="133" spans="1:9" s="51" customFormat="1" ht="21.75" customHeight="1" x14ac:dyDescent="0.15">
      <c r="A133" s="46" t="s">
        <v>1098</v>
      </c>
      <c r="B133" s="11" t="s">
        <v>1099</v>
      </c>
      <c r="C133" s="9" t="s">
        <v>1100</v>
      </c>
      <c r="D133" s="47">
        <v>13048</v>
      </c>
      <c r="E133" s="48">
        <v>286356</v>
      </c>
      <c r="F133" s="49" t="s">
        <v>1101</v>
      </c>
      <c r="G133" s="50" t="s">
        <v>1102</v>
      </c>
      <c r="H133" s="50"/>
      <c r="I133" s="50"/>
    </row>
    <row r="134" spans="1:9" s="51" customFormat="1" ht="21.75" customHeight="1" x14ac:dyDescent="0.15">
      <c r="A134" s="46" t="s">
        <v>1103</v>
      </c>
      <c r="B134" s="11" t="s">
        <v>1104</v>
      </c>
      <c r="C134" s="55" t="s">
        <v>1105</v>
      </c>
      <c r="D134" s="47">
        <v>14037</v>
      </c>
      <c r="E134" s="48">
        <v>421200</v>
      </c>
      <c r="F134" s="49" t="s">
        <v>1106</v>
      </c>
      <c r="G134" s="50" t="s">
        <v>1107</v>
      </c>
      <c r="H134" s="50"/>
      <c r="I134" s="50"/>
    </row>
    <row r="135" spans="1:9" s="51" customFormat="1" ht="21.75" customHeight="1" x14ac:dyDescent="0.15">
      <c r="A135" s="46" t="s">
        <v>1108</v>
      </c>
      <c r="B135" s="32" t="s">
        <v>1109</v>
      </c>
      <c r="C135" s="58" t="s">
        <v>99</v>
      </c>
      <c r="D135" s="47">
        <v>15041</v>
      </c>
      <c r="E135" s="48">
        <v>145000</v>
      </c>
      <c r="F135" s="49" t="s">
        <v>388</v>
      </c>
      <c r="G135" s="50" t="s">
        <v>1110</v>
      </c>
      <c r="H135" s="50"/>
      <c r="I135" s="50"/>
    </row>
    <row r="136" spans="1:9" s="51" customFormat="1" ht="21.75" customHeight="1" x14ac:dyDescent="0.15">
      <c r="A136" s="46" t="s">
        <v>1108</v>
      </c>
      <c r="B136" s="32" t="s">
        <v>1109</v>
      </c>
      <c r="C136" s="58" t="s">
        <v>99</v>
      </c>
      <c r="D136" s="47">
        <v>15042</v>
      </c>
      <c r="E136" s="48">
        <v>38000</v>
      </c>
      <c r="F136" s="49" t="s">
        <v>1111</v>
      </c>
      <c r="G136" s="50" t="s">
        <v>1110</v>
      </c>
      <c r="H136" s="50"/>
      <c r="I136" s="50"/>
    </row>
    <row r="137" spans="1:9" s="51" customFormat="1" ht="21.75" customHeight="1" x14ac:dyDescent="0.15">
      <c r="A137" s="46" t="s">
        <v>1112</v>
      </c>
      <c r="B137" s="32" t="s">
        <v>1113</v>
      </c>
      <c r="C137" s="58" t="s">
        <v>1114</v>
      </c>
      <c r="D137" s="47"/>
      <c r="E137" s="48">
        <v>2400</v>
      </c>
      <c r="F137" s="49" t="s">
        <v>1115</v>
      </c>
      <c r="G137" s="50" t="s">
        <v>1116</v>
      </c>
      <c r="H137" s="50"/>
      <c r="I137" s="50"/>
    </row>
    <row r="138" spans="1:9" s="51" customFormat="1" ht="21.75" customHeight="1" x14ac:dyDescent="0.15">
      <c r="A138" s="46" t="s">
        <v>1117</v>
      </c>
      <c r="B138" s="32" t="s">
        <v>1118</v>
      </c>
      <c r="C138" s="58" t="s">
        <v>1119</v>
      </c>
      <c r="D138" s="47">
        <v>15051</v>
      </c>
      <c r="E138" s="48">
        <v>100000</v>
      </c>
      <c r="F138" s="49" t="s">
        <v>388</v>
      </c>
      <c r="G138" s="50" t="s">
        <v>1120</v>
      </c>
      <c r="H138" s="50"/>
      <c r="I138" s="50"/>
    </row>
    <row r="139" spans="1:9" s="51" customFormat="1" ht="21.75" customHeight="1" x14ac:dyDescent="0.15">
      <c r="A139" s="46" t="s">
        <v>1117</v>
      </c>
      <c r="B139" s="32" t="s">
        <v>1121</v>
      </c>
      <c r="C139" s="42" t="s">
        <v>1122</v>
      </c>
      <c r="D139" s="47">
        <v>15061</v>
      </c>
      <c r="E139" s="48">
        <v>150000</v>
      </c>
      <c r="F139" s="49" t="s">
        <v>388</v>
      </c>
      <c r="G139" s="50" t="s">
        <v>1123</v>
      </c>
      <c r="H139" s="50"/>
      <c r="I139" s="50"/>
    </row>
    <row r="140" spans="1:9" s="51" customFormat="1" ht="21.75" customHeight="1" x14ac:dyDescent="0.15">
      <c r="A140" s="46" t="s">
        <v>1117</v>
      </c>
      <c r="B140" s="32" t="s">
        <v>1124</v>
      </c>
      <c r="C140" s="9" t="s">
        <v>1125</v>
      </c>
      <c r="D140" s="47">
        <v>14051</v>
      </c>
      <c r="E140" s="63">
        <v>408000</v>
      </c>
      <c r="F140" s="49" t="s">
        <v>1126</v>
      </c>
      <c r="G140" s="50" t="s">
        <v>1127</v>
      </c>
      <c r="H140" s="50"/>
      <c r="I140" s="50"/>
    </row>
    <row r="141" spans="1:9" s="51" customFormat="1" ht="21.75" customHeight="1" x14ac:dyDescent="0.15">
      <c r="A141" s="46" t="s">
        <v>1128</v>
      </c>
      <c r="B141" s="32" t="s">
        <v>1129</v>
      </c>
      <c r="C141" s="42" t="s">
        <v>1130</v>
      </c>
      <c r="D141" s="47">
        <v>15062</v>
      </c>
      <c r="E141" s="48">
        <v>189050</v>
      </c>
      <c r="F141" s="49" t="s">
        <v>1131</v>
      </c>
      <c r="G141" s="50" t="s">
        <v>1132</v>
      </c>
      <c r="H141" s="50"/>
      <c r="I141" s="50"/>
    </row>
    <row r="142" spans="1:9" s="51" customFormat="1" ht="21.75" customHeight="1" x14ac:dyDescent="0.15">
      <c r="A142" s="46" t="s">
        <v>1128</v>
      </c>
      <c r="B142" s="32" t="s">
        <v>1129</v>
      </c>
      <c r="C142" s="42" t="s">
        <v>1130</v>
      </c>
      <c r="D142" s="47">
        <v>15059</v>
      </c>
      <c r="E142" s="150">
        <v>94905</v>
      </c>
      <c r="F142" s="49" t="s">
        <v>1133</v>
      </c>
      <c r="G142" s="50" t="s">
        <v>1132</v>
      </c>
      <c r="H142" s="50"/>
      <c r="I142" s="50"/>
    </row>
    <row r="143" spans="1:9" ht="21.75" customHeight="1" x14ac:dyDescent="0.15">
      <c r="A143" s="46" t="s">
        <v>1128</v>
      </c>
      <c r="B143" s="29" t="s">
        <v>1134</v>
      </c>
      <c r="C143" s="42" t="s">
        <v>67</v>
      </c>
      <c r="D143" s="47">
        <v>15060</v>
      </c>
      <c r="E143" s="48">
        <v>150000</v>
      </c>
      <c r="F143" s="49" t="s">
        <v>388</v>
      </c>
      <c r="G143" s="50" t="s">
        <v>1123</v>
      </c>
      <c r="H143" s="50"/>
      <c r="I143" s="50"/>
    </row>
    <row r="144" spans="1:9" ht="21.75" customHeight="1" x14ac:dyDescent="0.15">
      <c r="A144" s="1180" t="s">
        <v>446</v>
      </c>
      <c r="B144" s="1181"/>
      <c r="C144" s="1181"/>
      <c r="D144" s="1182"/>
      <c r="E144" s="76">
        <f>SUM(E3:E143)</f>
        <v>22273755.93</v>
      </c>
      <c r="F144" s="13"/>
      <c r="G144" s="13"/>
      <c r="H144" s="13"/>
      <c r="I144" s="13"/>
    </row>
    <row r="145" spans="5:6" ht="21.75" customHeight="1" x14ac:dyDescent="0.15">
      <c r="E145" s="77"/>
      <c r="F145" s="14" t="s">
        <v>134</v>
      </c>
    </row>
    <row r="146" spans="5:6" ht="21.75" customHeight="1" x14ac:dyDescent="0.15">
      <c r="E146" s="76">
        <f>E144-E90-E66-E67-E63-E5</f>
        <v>20607195.93</v>
      </c>
    </row>
  </sheetData>
  <autoFilter ref="C1:C146" xr:uid="{00000000-0009-0000-0000-000004000000}"/>
  <mergeCells count="6">
    <mergeCell ref="A1:G1"/>
    <mergeCell ref="A144:D144"/>
    <mergeCell ref="H19:H20"/>
    <mergeCell ref="I19:I20"/>
    <mergeCell ref="H66:H67"/>
    <mergeCell ref="I66:I67"/>
  </mergeCells>
  <phoneticPr fontId="11" type="noConversion"/>
  <pageMargins left="0.69930555555555596" right="0.69930555555555596" top="0.75" bottom="0.75" header="0.3" footer="0.3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5"/>
  <sheetViews>
    <sheetView workbookViewId="0">
      <selection sqref="A1:G1"/>
    </sheetView>
  </sheetViews>
  <sheetFormatPr defaultColWidth="13.625" defaultRowHeight="21.75" customHeight="1" x14ac:dyDescent="0.15"/>
  <cols>
    <col min="1" max="1" width="11.375" style="14" customWidth="1"/>
    <col min="2" max="2" width="23.5" style="14" customWidth="1"/>
    <col min="3" max="3" width="11" style="14" customWidth="1"/>
    <col min="4" max="4" width="11.25" style="14" bestFit="1" customWidth="1"/>
    <col min="5" max="5" width="19.625" style="15" customWidth="1"/>
    <col min="6" max="6" width="18.25" style="14" customWidth="1"/>
    <col min="7" max="7" width="8.875" style="14" customWidth="1"/>
    <col min="8" max="8" width="25.25" style="14" customWidth="1"/>
    <col min="9" max="16384" width="13.625" style="14"/>
  </cols>
  <sheetData>
    <row r="1" spans="1:8" ht="40.5" customHeight="1" x14ac:dyDescent="0.15">
      <c r="A1" s="1176" t="s">
        <v>508</v>
      </c>
      <c r="B1" s="1176"/>
      <c r="C1" s="1176"/>
      <c r="D1" s="1176"/>
      <c r="E1" s="1176"/>
      <c r="F1" s="1176"/>
      <c r="G1" s="1176"/>
    </row>
    <row r="2" spans="1:8" ht="21.75" customHeight="1" x14ac:dyDescent="0.15">
      <c r="A2" s="16" t="s">
        <v>127</v>
      </c>
      <c r="B2" s="16" t="s">
        <v>128</v>
      </c>
      <c r="C2" s="16" t="s">
        <v>129</v>
      </c>
      <c r="D2" s="16" t="s">
        <v>130</v>
      </c>
      <c r="E2" s="17" t="s">
        <v>131</v>
      </c>
      <c r="F2" s="16" t="s">
        <v>132</v>
      </c>
      <c r="G2" s="16" t="s">
        <v>133</v>
      </c>
      <c r="H2" s="13" t="s">
        <v>509</v>
      </c>
    </row>
    <row r="3" spans="1:8" ht="21.75" customHeight="1" x14ac:dyDescent="0.15">
      <c r="A3" s="18" t="s">
        <v>510</v>
      </c>
      <c r="B3" s="9" t="s">
        <v>113</v>
      </c>
      <c r="C3" s="9" t="s">
        <v>114</v>
      </c>
      <c r="D3" s="13">
        <v>13031</v>
      </c>
      <c r="E3" s="19">
        <v>335000</v>
      </c>
      <c r="F3" s="13" t="s">
        <v>511</v>
      </c>
      <c r="G3" s="13" t="s">
        <v>165</v>
      </c>
      <c r="H3" s="13"/>
    </row>
    <row r="4" spans="1:8" ht="21.75" customHeight="1" x14ac:dyDescent="0.15">
      <c r="A4" s="18" t="s">
        <v>512</v>
      </c>
      <c r="B4" s="20" t="s">
        <v>51</v>
      </c>
      <c r="C4" s="21" t="s">
        <v>52</v>
      </c>
      <c r="D4" s="13">
        <v>11040</v>
      </c>
      <c r="E4" s="19">
        <v>129000</v>
      </c>
      <c r="F4" s="22" t="s">
        <v>513</v>
      </c>
      <c r="G4" s="13" t="s">
        <v>514</v>
      </c>
      <c r="H4" s="13"/>
    </row>
    <row r="5" spans="1:8" ht="21.75" customHeight="1" x14ac:dyDescent="0.15">
      <c r="A5" s="18" t="s">
        <v>512</v>
      </c>
      <c r="B5" s="7" t="s">
        <v>515</v>
      </c>
      <c r="C5" s="21" t="s">
        <v>78</v>
      </c>
      <c r="D5" s="13">
        <v>12055</v>
      </c>
      <c r="E5" s="19">
        <v>180000</v>
      </c>
      <c r="F5" s="13" t="s">
        <v>516</v>
      </c>
      <c r="G5" s="13" t="s">
        <v>2</v>
      </c>
      <c r="H5" s="13"/>
    </row>
    <row r="6" spans="1:8" ht="21.75" customHeight="1" x14ac:dyDescent="0.15">
      <c r="A6" s="18" t="s">
        <v>517</v>
      </c>
      <c r="B6" s="7" t="s">
        <v>515</v>
      </c>
      <c r="C6" s="21" t="s">
        <v>62</v>
      </c>
      <c r="D6" s="13">
        <v>12056</v>
      </c>
      <c r="E6" s="19">
        <v>180000</v>
      </c>
      <c r="F6" s="13" t="s">
        <v>516</v>
      </c>
      <c r="G6" s="13" t="s">
        <v>2</v>
      </c>
      <c r="H6" s="13"/>
    </row>
    <row r="7" spans="1:8" ht="21.75" customHeight="1" x14ac:dyDescent="0.15">
      <c r="A7" s="18" t="s">
        <v>518</v>
      </c>
      <c r="B7" s="9" t="s">
        <v>119</v>
      </c>
      <c r="C7" s="9" t="s">
        <v>120</v>
      </c>
      <c r="D7" s="23">
        <v>13042</v>
      </c>
      <c r="E7" s="19">
        <v>194600</v>
      </c>
      <c r="F7" s="22" t="s">
        <v>519</v>
      </c>
      <c r="G7" s="13" t="s">
        <v>65</v>
      </c>
      <c r="H7" s="22"/>
    </row>
    <row r="8" spans="1:8" ht="21.75" customHeight="1" x14ac:dyDescent="0.15">
      <c r="A8" s="18" t="s">
        <v>520</v>
      </c>
      <c r="B8" s="8" t="s">
        <v>106</v>
      </c>
      <c r="C8" s="24" t="s">
        <v>107</v>
      </c>
      <c r="D8" s="23">
        <v>13023</v>
      </c>
      <c r="E8" s="19">
        <v>108000</v>
      </c>
      <c r="F8" s="22" t="s">
        <v>521</v>
      </c>
      <c r="G8" s="13" t="s">
        <v>65</v>
      </c>
      <c r="H8" s="13"/>
    </row>
    <row r="9" spans="1:8" ht="21.75" customHeight="1" x14ac:dyDescent="0.15">
      <c r="A9" s="18" t="s">
        <v>522</v>
      </c>
      <c r="B9" s="91" t="s">
        <v>310</v>
      </c>
      <c r="C9" s="1" t="s">
        <v>39</v>
      </c>
      <c r="D9" s="23">
        <v>12021</v>
      </c>
      <c r="E9" s="19">
        <v>76700</v>
      </c>
      <c r="F9" s="13" t="s">
        <v>320</v>
      </c>
      <c r="G9" s="13" t="s">
        <v>172</v>
      </c>
      <c r="H9" s="13"/>
    </row>
    <row r="10" spans="1:8" ht="21.75" customHeight="1" x14ac:dyDescent="0.15">
      <c r="A10" s="18" t="s">
        <v>522</v>
      </c>
      <c r="B10" s="25" t="s">
        <v>38</v>
      </c>
      <c r="C10" s="1" t="s">
        <v>71</v>
      </c>
      <c r="D10" s="23">
        <v>13036</v>
      </c>
      <c r="E10" s="19">
        <v>72500</v>
      </c>
      <c r="F10" s="13" t="s">
        <v>524</v>
      </c>
      <c r="G10" s="13" t="s">
        <v>172</v>
      </c>
      <c r="H10" s="13"/>
    </row>
    <row r="11" spans="1:8" ht="21.75" customHeight="1" x14ac:dyDescent="0.15">
      <c r="A11" s="18" t="s">
        <v>522</v>
      </c>
      <c r="B11" s="6" t="s">
        <v>69</v>
      </c>
      <c r="C11" s="1" t="s">
        <v>70</v>
      </c>
      <c r="D11" s="23">
        <v>13037</v>
      </c>
      <c r="E11" s="19">
        <v>72500</v>
      </c>
      <c r="F11" s="13" t="s">
        <v>524</v>
      </c>
      <c r="G11" s="13" t="s">
        <v>172</v>
      </c>
      <c r="H11" s="13"/>
    </row>
    <row r="12" spans="1:8" ht="21.75" customHeight="1" x14ac:dyDescent="0.15">
      <c r="A12" s="18" t="s">
        <v>525</v>
      </c>
      <c r="B12" s="6" t="s">
        <v>38</v>
      </c>
      <c r="C12" s="1" t="s">
        <v>71</v>
      </c>
      <c r="D12" s="23">
        <v>13036</v>
      </c>
      <c r="E12" s="19">
        <v>72500</v>
      </c>
      <c r="F12" s="13" t="s">
        <v>524</v>
      </c>
      <c r="G12" s="13" t="s">
        <v>172</v>
      </c>
      <c r="H12" s="13"/>
    </row>
    <row r="13" spans="1:8" ht="21.75" customHeight="1" x14ac:dyDescent="0.15">
      <c r="A13" s="18" t="s">
        <v>525</v>
      </c>
      <c r="B13" s="6" t="s">
        <v>69</v>
      </c>
      <c r="C13" s="1" t="s">
        <v>70</v>
      </c>
      <c r="D13" s="23">
        <v>13037</v>
      </c>
      <c r="E13" s="19">
        <v>72500</v>
      </c>
      <c r="F13" s="13" t="s">
        <v>524</v>
      </c>
      <c r="G13" s="13" t="s">
        <v>172</v>
      </c>
      <c r="H13" s="13"/>
    </row>
    <row r="14" spans="1:8" ht="21.75" customHeight="1" x14ac:dyDescent="0.15">
      <c r="A14" s="18" t="s">
        <v>525</v>
      </c>
      <c r="B14" s="2" t="s">
        <v>32</v>
      </c>
      <c r="C14" s="5" t="s">
        <v>97</v>
      </c>
      <c r="D14" s="23">
        <v>13006</v>
      </c>
      <c r="E14" s="19">
        <v>85000</v>
      </c>
      <c r="F14" s="13" t="s">
        <v>524</v>
      </c>
      <c r="G14" s="13" t="s">
        <v>165</v>
      </c>
      <c r="H14" s="13"/>
    </row>
    <row r="15" spans="1:8" ht="21.75" customHeight="1" x14ac:dyDescent="0.15">
      <c r="A15" s="18" t="s">
        <v>526</v>
      </c>
      <c r="B15" s="2" t="s">
        <v>192</v>
      </c>
      <c r="C15" s="1" t="s">
        <v>141</v>
      </c>
      <c r="D15" s="23">
        <v>12053</v>
      </c>
      <c r="E15" s="19">
        <v>50000</v>
      </c>
      <c r="F15" s="22" t="s">
        <v>263</v>
      </c>
      <c r="G15" s="13" t="s">
        <v>165</v>
      </c>
      <c r="H15" s="13"/>
    </row>
    <row r="16" spans="1:8" ht="21.75" customHeight="1" x14ac:dyDescent="0.15">
      <c r="A16" s="18" t="s">
        <v>526</v>
      </c>
      <c r="B16" s="2" t="s">
        <v>32</v>
      </c>
      <c r="C16" s="1" t="s">
        <v>141</v>
      </c>
      <c r="D16" s="23">
        <v>12053</v>
      </c>
      <c r="E16" s="19">
        <v>50000</v>
      </c>
      <c r="F16" s="22" t="s">
        <v>263</v>
      </c>
      <c r="G16" s="13" t="s">
        <v>165</v>
      </c>
      <c r="H16" s="13"/>
    </row>
    <row r="17" spans="1:8" ht="21.75" customHeight="1" x14ac:dyDescent="0.15">
      <c r="A17" s="18" t="s">
        <v>527</v>
      </c>
      <c r="B17" s="29" t="s">
        <v>161</v>
      </c>
      <c r="C17" s="21" t="s">
        <v>78</v>
      </c>
      <c r="D17" s="23">
        <v>12023</v>
      </c>
      <c r="E17" s="19">
        <v>29700</v>
      </c>
      <c r="F17" s="22" t="s">
        <v>320</v>
      </c>
      <c r="G17" s="13" t="s">
        <v>2</v>
      </c>
      <c r="H17" s="13"/>
    </row>
    <row r="18" spans="1:8" ht="21.75" customHeight="1" x14ac:dyDescent="0.15">
      <c r="A18" s="18" t="s">
        <v>527</v>
      </c>
      <c r="B18" s="29" t="s">
        <v>77</v>
      </c>
      <c r="C18" s="21" t="s">
        <v>78</v>
      </c>
      <c r="D18" s="23">
        <v>12028</v>
      </c>
      <c r="E18" s="19">
        <v>59300</v>
      </c>
      <c r="F18" s="22" t="s">
        <v>320</v>
      </c>
      <c r="G18" s="13" t="s">
        <v>2</v>
      </c>
      <c r="H18" s="13"/>
    </row>
    <row r="19" spans="1:8" ht="21.75" customHeight="1" x14ac:dyDescent="0.15">
      <c r="A19" s="18" t="s">
        <v>156</v>
      </c>
      <c r="B19" s="20" t="s">
        <v>61</v>
      </c>
      <c r="C19" s="21" t="s">
        <v>62</v>
      </c>
      <c r="D19" s="23">
        <v>12027</v>
      </c>
      <c r="E19" s="19">
        <v>56800</v>
      </c>
      <c r="F19" s="22" t="s">
        <v>320</v>
      </c>
      <c r="G19" s="13" t="s">
        <v>2</v>
      </c>
      <c r="H19" s="13"/>
    </row>
    <row r="20" spans="1:8" ht="21.75" customHeight="1" x14ac:dyDescent="0.15">
      <c r="A20" s="18" t="s">
        <v>156</v>
      </c>
      <c r="B20" s="20" t="s">
        <v>61</v>
      </c>
      <c r="C20" s="21" t="s">
        <v>62</v>
      </c>
      <c r="D20" s="23">
        <v>12002</v>
      </c>
      <c r="E20" s="19">
        <v>29700</v>
      </c>
      <c r="F20" s="22" t="s">
        <v>320</v>
      </c>
      <c r="G20" s="13" t="s">
        <v>2</v>
      </c>
      <c r="H20" s="13"/>
    </row>
    <row r="21" spans="1:8" ht="21.75" customHeight="1" x14ac:dyDescent="0.15">
      <c r="A21" s="18" t="s">
        <v>528</v>
      </c>
      <c r="B21" s="10" t="s">
        <v>28</v>
      </c>
      <c r="C21" s="1" t="s">
        <v>115</v>
      </c>
      <c r="D21" s="23">
        <v>13032</v>
      </c>
      <c r="E21" s="19">
        <v>180000</v>
      </c>
      <c r="F21" s="22" t="s">
        <v>266</v>
      </c>
      <c r="G21" s="13" t="s">
        <v>165</v>
      </c>
      <c r="H21" s="13"/>
    </row>
    <row r="22" spans="1:8" ht="21.75" customHeight="1" x14ac:dyDescent="0.15">
      <c r="A22" s="18" t="s">
        <v>528</v>
      </c>
      <c r="B22" s="10" t="s">
        <v>28</v>
      </c>
      <c r="C22" s="9" t="s">
        <v>116</v>
      </c>
      <c r="D22" s="23">
        <v>13033</v>
      </c>
      <c r="E22" s="19">
        <v>180000</v>
      </c>
      <c r="F22" s="22" t="s">
        <v>266</v>
      </c>
      <c r="G22" s="13" t="s">
        <v>165</v>
      </c>
      <c r="H22" s="13"/>
    </row>
    <row r="23" spans="1:8" ht="21.75" customHeight="1" x14ac:dyDescent="0.15">
      <c r="A23" s="18" t="s">
        <v>529</v>
      </c>
      <c r="B23" s="33" t="s">
        <v>113</v>
      </c>
      <c r="C23" s="33" t="s">
        <v>114</v>
      </c>
      <c r="D23" s="23">
        <v>13031</v>
      </c>
      <c r="E23" s="19">
        <v>268000</v>
      </c>
      <c r="F23" s="22" t="s">
        <v>530</v>
      </c>
      <c r="G23" s="13" t="s">
        <v>165</v>
      </c>
      <c r="H23" s="13"/>
    </row>
    <row r="24" spans="1:8" ht="21.75" customHeight="1" x14ac:dyDescent="0.15">
      <c r="A24" s="18" t="s">
        <v>531</v>
      </c>
      <c r="B24" s="11" t="s">
        <v>94</v>
      </c>
      <c r="C24" s="21" t="s">
        <v>142</v>
      </c>
      <c r="D24" s="23">
        <v>13002</v>
      </c>
      <c r="E24" s="19">
        <v>201120</v>
      </c>
      <c r="F24" s="22" t="s">
        <v>278</v>
      </c>
      <c r="G24" s="13" t="s">
        <v>172</v>
      </c>
      <c r="H24" s="13"/>
    </row>
    <row r="25" spans="1:8" ht="21.75" customHeight="1" x14ac:dyDescent="0.15">
      <c r="A25" s="18" t="s">
        <v>531</v>
      </c>
      <c r="B25" s="11" t="s">
        <v>300</v>
      </c>
      <c r="C25" s="26" t="s">
        <v>88</v>
      </c>
      <c r="D25" s="23">
        <v>13038</v>
      </c>
      <c r="E25" s="19">
        <v>62500</v>
      </c>
      <c r="F25" s="22" t="s">
        <v>524</v>
      </c>
      <c r="G25" s="13" t="s">
        <v>172</v>
      </c>
      <c r="H25" s="13"/>
    </row>
    <row r="26" spans="1:8" ht="21.75" customHeight="1" x14ac:dyDescent="0.15">
      <c r="A26" s="18" t="s">
        <v>532</v>
      </c>
      <c r="B26" s="20" t="s">
        <v>12</v>
      </c>
      <c r="C26" s="21" t="s">
        <v>13</v>
      </c>
      <c r="D26" s="23">
        <v>11044</v>
      </c>
      <c r="E26" s="19">
        <v>224000</v>
      </c>
      <c r="F26" s="22" t="s">
        <v>266</v>
      </c>
      <c r="G26" s="13" t="s">
        <v>2</v>
      </c>
      <c r="H26" s="13"/>
    </row>
    <row r="27" spans="1:8" ht="21.75" customHeight="1" x14ac:dyDescent="0.15">
      <c r="A27" s="18" t="s">
        <v>532</v>
      </c>
      <c r="B27" s="20" t="s">
        <v>3</v>
      </c>
      <c r="C27" s="1" t="s">
        <v>533</v>
      </c>
      <c r="D27" s="23" t="s">
        <v>534</v>
      </c>
      <c r="E27" s="19">
        <v>456000</v>
      </c>
      <c r="F27" s="22" t="s">
        <v>266</v>
      </c>
      <c r="G27" s="13" t="s">
        <v>2</v>
      </c>
      <c r="H27" s="13"/>
    </row>
    <row r="28" spans="1:8" ht="21.75" customHeight="1" x14ac:dyDescent="0.15">
      <c r="A28" s="18" t="s">
        <v>535</v>
      </c>
      <c r="B28" s="27" t="s">
        <v>364</v>
      </c>
      <c r="C28" s="1" t="s">
        <v>81</v>
      </c>
      <c r="D28" s="23">
        <v>12030</v>
      </c>
      <c r="E28" s="19">
        <v>225150</v>
      </c>
      <c r="F28" s="22" t="s">
        <v>259</v>
      </c>
      <c r="G28" s="13" t="s">
        <v>172</v>
      </c>
      <c r="H28" s="13"/>
    </row>
    <row r="29" spans="1:8" ht="21.75" customHeight="1" x14ac:dyDescent="0.15">
      <c r="A29" s="18" t="s">
        <v>535</v>
      </c>
      <c r="B29" s="20" t="s">
        <v>536</v>
      </c>
      <c r="C29" s="21" t="s">
        <v>66</v>
      </c>
      <c r="D29" s="23">
        <v>12007</v>
      </c>
      <c r="E29" s="19">
        <v>1188000</v>
      </c>
      <c r="F29" s="22" t="s">
        <v>234</v>
      </c>
      <c r="G29" s="13" t="s">
        <v>154</v>
      </c>
      <c r="H29" s="13"/>
    </row>
    <row r="30" spans="1:8" s="51" customFormat="1" ht="21.75" customHeight="1" x14ac:dyDescent="0.15">
      <c r="A30" s="46" t="s">
        <v>537</v>
      </c>
      <c r="B30" s="11" t="s">
        <v>300</v>
      </c>
      <c r="C30" s="26" t="s">
        <v>168</v>
      </c>
      <c r="D30" s="47">
        <v>13019</v>
      </c>
      <c r="E30" s="48">
        <v>772092</v>
      </c>
      <c r="F30" s="49" t="s">
        <v>299</v>
      </c>
      <c r="G30" s="50" t="s">
        <v>172</v>
      </c>
      <c r="H30" s="50"/>
    </row>
    <row r="31" spans="1:8" s="51" customFormat="1" ht="21.75" customHeight="1" x14ac:dyDescent="0.15">
      <c r="A31" s="46" t="s">
        <v>538</v>
      </c>
      <c r="B31" s="11" t="s">
        <v>160</v>
      </c>
      <c r="C31" s="92" t="s">
        <v>124</v>
      </c>
      <c r="D31" s="47">
        <v>14002</v>
      </c>
      <c r="E31" s="48">
        <v>45330</v>
      </c>
      <c r="F31" s="49" t="s">
        <v>230</v>
      </c>
      <c r="G31" s="50" t="s">
        <v>157</v>
      </c>
      <c r="H31" s="50"/>
    </row>
    <row r="32" spans="1:8" s="51" customFormat="1" ht="21.75" customHeight="1" x14ac:dyDescent="0.15">
      <c r="A32" s="46" t="s">
        <v>539</v>
      </c>
      <c r="B32" s="39" t="s">
        <v>540</v>
      </c>
      <c r="C32" s="39" t="s">
        <v>120</v>
      </c>
      <c r="D32" s="47">
        <v>13042</v>
      </c>
      <c r="E32" s="48">
        <v>55600</v>
      </c>
      <c r="F32" s="49" t="s">
        <v>541</v>
      </c>
      <c r="G32" s="50" t="s">
        <v>158</v>
      </c>
      <c r="H32" s="50" t="s">
        <v>542</v>
      </c>
    </row>
    <row r="33" spans="1:8" s="51" customFormat="1" ht="21.75" customHeight="1" x14ac:dyDescent="0.15">
      <c r="A33" s="46" t="s">
        <v>539</v>
      </c>
      <c r="B33" s="20" t="s">
        <v>6</v>
      </c>
      <c r="C33" s="20" t="s">
        <v>216</v>
      </c>
      <c r="D33" s="47" t="s">
        <v>543</v>
      </c>
      <c r="E33" s="48">
        <v>10850</v>
      </c>
      <c r="F33" s="49" t="s">
        <v>544</v>
      </c>
      <c r="G33" s="50" t="s">
        <v>172</v>
      </c>
      <c r="H33" s="50"/>
    </row>
    <row r="34" spans="1:8" s="51" customFormat="1" ht="21.75" customHeight="1" x14ac:dyDescent="0.15">
      <c r="A34" s="46" t="s">
        <v>137</v>
      </c>
      <c r="B34" s="20" t="s">
        <v>254</v>
      </c>
      <c r="C34" s="21" t="s">
        <v>5</v>
      </c>
      <c r="D34" s="47">
        <v>11041</v>
      </c>
      <c r="E34" s="48">
        <v>58000</v>
      </c>
      <c r="F34" s="49" t="s">
        <v>320</v>
      </c>
      <c r="G34" s="50" t="s">
        <v>2</v>
      </c>
      <c r="H34" s="50"/>
    </row>
    <row r="35" spans="1:8" s="51" customFormat="1" ht="21.75" customHeight="1" x14ac:dyDescent="0.15">
      <c r="A35" s="46" t="s">
        <v>546</v>
      </c>
      <c r="B35" s="32" t="s">
        <v>176</v>
      </c>
      <c r="C35" s="26" t="s">
        <v>350</v>
      </c>
      <c r="D35" s="47">
        <v>14007</v>
      </c>
      <c r="E35" s="48">
        <v>54895</v>
      </c>
      <c r="F35" s="49" t="s">
        <v>547</v>
      </c>
      <c r="G35" s="50" t="s">
        <v>349</v>
      </c>
      <c r="H35" s="50"/>
    </row>
    <row r="36" spans="1:8" s="51" customFormat="1" ht="21.75" customHeight="1" x14ac:dyDescent="0.15">
      <c r="A36" s="46" t="s">
        <v>548</v>
      </c>
      <c r="B36" s="11" t="s">
        <v>87</v>
      </c>
      <c r="C36" s="26" t="s">
        <v>88</v>
      </c>
      <c r="D36" s="52">
        <v>13038</v>
      </c>
      <c r="E36" s="48">
        <v>62500</v>
      </c>
      <c r="F36" s="49" t="s">
        <v>524</v>
      </c>
      <c r="G36" s="50" t="s">
        <v>172</v>
      </c>
      <c r="H36" s="50"/>
    </row>
    <row r="37" spans="1:8" s="51" customFormat="1" ht="21.75" customHeight="1" x14ac:dyDescent="0.15">
      <c r="A37" s="46" t="s">
        <v>549</v>
      </c>
      <c r="B37" s="20" t="s">
        <v>51</v>
      </c>
      <c r="C37" s="21" t="s">
        <v>52</v>
      </c>
      <c r="D37" s="47">
        <v>11040</v>
      </c>
      <c r="E37" s="48">
        <v>43000</v>
      </c>
      <c r="F37" s="49" t="s">
        <v>320</v>
      </c>
      <c r="G37" s="50" t="s">
        <v>157</v>
      </c>
      <c r="H37" s="50"/>
    </row>
    <row r="38" spans="1:8" s="51" customFormat="1" ht="21.75" customHeight="1" x14ac:dyDescent="0.15">
      <c r="A38" s="46" t="s">
        <v>550</v>
      </c>
      <c r="B38" s="20" t="s">
        <v>389</v>
      </c>
      <c r="C38" s="20" t="s">
        <v>377</v>
      </c>
      <c r="D38" s="47">
        <v>13022</v>
      </c>
      <c r="E38" s="48">
        <v>60000</v>
      </c>
      <c r="F38" s="49" t="s">
        <v>271</v>
      </c>
      <c r="G38" s="50" t="s">
        <v>172</v>
      </c>
      <c r="H38" s="50"/>
    </row>
    <row r="39" spans="1:8" s="51" customFormat="1" ht="21.75" customHeight="1" x14ac:dyDescent="0.15">
      <c r="A39" s="46" t="s">
        <v>551</v>
      </c>
      <c r="B39" s="11" t="s">
        <v>85</v>
      </c>
      <c r="C39" s="21" t="s">
        <v>86</v>
      </c>
      <c r="D39" s="47">
        <v>13044</v>
      </c>
      <c r="E39" s="48">
        <v>280350</v>
      </c>
      <c r="F39" s="49" t="s">
        <v>379</v>
      </c>
      <c r="G39" s="50" t="s">
        <v>154</v>
      </c>
      <c r="H39" s="50"/>
    </row>
    <row r="40" spans="1:8" s="51" customFormat="1" ht="21.75" customHeight="1" x14ac:dyDescent="0.15">
      <c r="A40" s="46" t="s">
        <v>551</v>
      </c>
      <c r="B40" s="11" t="s">
        <v>16</v>
      </c>
      <c r="C40" s="21" t="s">
        <v>175</v>
      </c>
      <c r="D40" s="47">
        <v>14015</v>
      </c>
      <c r="E40" s="48">
        <v>150000</v>
      </c>
      <c r="F40" s="53" t="s">
        <v>273</v>
      </c>
      <c r="G40" s="50" t="s">
        <v>172</v>
      </c>
      <c r="H40" s="50"/>
    </row>
    <row r="41" spans="1:8" s="51" customFormat="1" ht="21.75" customHeight="1" x14ac:dyDescent="0.15">
      <c r="A41" s="46" t="s">
        <v>552</v>
      </c>
      <c r="B41" s="11" t="s">
        <v>48</v>
      </c>
      <c r="C41" s="21" t="s">
        <v>8</v>
      </c>
      <c r="D41" s="47">
        <v>14011</v>
      </c>
      <c r="E41" s="48">
        <v>150000</v>
      </c>
      <c r="F41" s="53" t="s">
        <v>273</v>
      </c>
      <c r="G41" s="50" t="s">
        <v>172</v>
      </c>
      <c r="H41" s="50"/>
    </row>
    <row r="42" spans="1:8" s="51" customFormat="1" ht="21.75" customHeight="1" x14ac:dyDescent="0.15">
      <c r="A42" s="46" t="s">
        <v>552</v>
      </c>
      <c r="B42" s="11" t="s">
        <v>26</v>
      </c>
      <c r="C42" s="21" t="s">
        <v>27</v>
      </c>
      <c r="D42" s="47">
        <v>14012</v>
      </c>
      <c r="E42" s="48">
        <v>150000</v>
      </c>
      <c r="F42" s="53" t="s">
        <v>273</v>
      </c>
      <c r="G42" s="50" t="s">
        <v>172</v>
      </c>
      <c r="H42" s="50"/>
    </row>
    <row r="43" spans="1:8" s="51" customFormat="1" ht="21.75" customHeight="1" x14ac:dyDescent="0.15">
      <c r="A43" s="46" t="s">
        <v>552</v>
      </c>
      <c r="B43" s="11" t="s">
        <v>49</v>
      </c>
      <c r="C43" s="21" t="s">
        <v>9</v>
      </c>
      <c r="D43" s="47">
        <v>14013</v>
      </c>
      <c r="E43" s="48">
        <v>150000</v>
      </c>
      <c r="F43" s="53" t="s">
        <v>273</v>
      </c>
      <c r="G43" s="50" t="s">
        <v>172</v>
      </c>
      <c r="H43" s="50"/>
    </row>
    <row r="44" spans="1:8" s="51" customFormat="1" ht="21.75" customHeight="1" x14ac:dyDescent="0.15">
      <c r="A44" s="46" t="s">
        <v>552</v>
      </c>
      <c r="B44" s="11" t="s">
        <v>554</v>
      </c>
      <c r="C44" s="21" t="s">
        <v>15</v>
      </c>
      <c r="D44" s="47">
        <v>14014</v>
      </c>
      <c r="E44" s="48">
        <v>150000</v>
      </c>
      <c r="F44" s="53" t="s">
        <v>273</v>
      </c>
      <c r="G44" s="50" t="s">
        <v>172</v>
      </c>
      <c r="H44" s="50"/>
    </row>
    <row r="45" spans="1:8" s="51" customFormat="1" ht="21.75" customHeight="1" x14ac:dyDescent="0.15">
      <c r="A45" s="46" t="s">
        <v>552</v>
      </c>
      <c r="B45" s="11" t="s">
        <v>18</v>
      </c>
      <c r="C45" s="21" t="s">
        <v>19</v>
      </c>
      <c r="D45" s="47">
        <v>14010</v>
      </c>
      <c r="E45" s="48">
        <v>150000</v>
      </c>
      <c r="F45" s="53" t="s">
        <v>273</v>
      </c>
      <c r="G45" s="50" t="s">
        <v>172</v>
      </c>
      <c r="H45" s="50"/>
    </row>
    <row r="46" spans="1:8" s="51" customFormat="1" ht="21.75" customHeight="1" x14ac:dyDescent="0.15">
      <c r="A46" s="46" t="s">
        <v>552</v>
      </c>
      <c r="B46" s="11" t="s">
        <v>22</v>
      </c>
      <c r="C46" s="21" t="s">
        <v>23</v>
      </c>
      <c r="D46" s="47">
        <v>14016</v>
      </c>
      <c r="E46" s="48">
        <v>150000</v>
      </c>
      <c r="F46" s="53" t="s">
        <v>273</v>
      </c>
      <c r="G46" s="50" t="s">
        <v>172</v>
      </c>
      <c r="H46" s="50"/>
    </row>
    <row r="47" spans="1:8" s="51" customFormat="1" ht="21.75" customHeight="1" x14ac:dyDescent="0.15">
      <c r="A47" s="46" t="s">
        <v>552</v>
      </c>
      <c r="B47" s="11" t="s">
        <v>24</v>
      </c>
      <c r="C47" s="21" t="s">
        <v>25</v>
      </c>
      <c r="D47" s="47">
        <v>14017</v>
      </c>
      <c r="E47" s="48">
        <v>150000</v>
      </c>
      <c r="F47" s="53" t="s">
        <v>273</v>
      </c>
      <c r="G47" s="50" t="s">
        <v>172</v>
      </c>
      <c r="H47" s="50"/>
    </row>
    <row r="48" spans="1:8" s="51" customFormat="1" ht="21.75" customHeight="1" x14ac:dyDescent="0.15">
      <c r="A48" s="46" t="s">
        <v>555</v>
      </c>
      <c r="B48" s="11" t="s">
        <v>121</v>
      </c>
      <c r="C48" s="21" t="s">
        <v>556</v>
      </c>
      <c r="D48" s="50">
        <v>13043</v>
      </c>
      <c r="E48" s="48">
        <v>270000</v>
      </c>
      <c r="F48" s="53" t="s">
        <v>557</v>
      </c>
      <c r="G48" s="50" t="s">
        <v>190</v>
      </c>
      <c r="H48" s="50"/>
    </row>
    <row r="49" spans="1:8" s="51" customFormat="1" ht="21.75" customHeight="1" x14ac:dyDescent="0.15">
      <c r="A49" s="46" t="s">
        <v>558</v>
      </c>
      <c r="B49" s="33" t="s">
        <v>559</v>
      </c>
      <c r="C49" s="33" t="s">
        <v>110</v>
      </c>
      <c r="D49" s="50">
        <v>13028</v>
      </c>
      <c r="E49" s="48">
        <v>385000</v>
      </c>
      <c r="F49" s="53" t="s">
        <v>238</v>
      </c>
      <c r="G49" s="50" t="s">
        <v>158</v>
      </c>
      <c r="H49" s="50"/>
    </row>
    <row r="50" spans="1:8" s="51" customFormat="1" ht="21.75" customHeight="1" x14ac:dyDescent="0.15">
      <c r="A50" s="46" t="s">
        <v>560</v>
      </c>
      <c r="B50" s="29" t="s">
        <v>358</v>
      </c>
      <c r="C50" s="39" t="s">
        <v>112</v>
      </c>
      <c r="D50" s="50">
        <v>13030</v>
      </c>
      <c r="E50" s="48">
        <v>1504000</v>
      </c>
      <c r="F50" s="49" t="s">
        <v>230</v>
      </c>
      <c r="G50" s="50" t="s">
        <v>2</v>
      </c>
      <c r="H50" s="50"/>
    </row>
    <row r="51" spans="1:8" s="51" customFormat="1" ht="21.75" customHeight="1" x14ac:dyDescent="0.15">
      <c r="A51" s="46" t="s">
        <v>561</v>
      </c>
      <c r="B51" s="11" t="s">
        <v>291</v>
      </c>
      <c r="C51" s="21" t="s">
        <v>117</v>
      </c>
      <c r="D51" s="50">
        <v>13039</v>
      </c>
      <c r="E51" s="48">
        <v>110000</v>
      </c>
      <c r="F51" s="53" t="s">
        <v>273</v>
      </c>
      <c r="G51" s="50" t="s">
        <v>172</v>
      </c>
      <c r="H51" s="50"/>
    </row>
    <row r="52" spans="1:8" s="51" customFormat="1" ht="21.75" customHeight="1" x14ac:dyDescent="0.15">
      <c r="A52" s="46" t="s">
        <v>561</v>
      </c>
      <c r="B52" s="11" t="s">
        <v>292</v>
      </c>
      <c r="C52" s="21" t="s">
        <v>82</v>
      </c>
      <c r="D52" s="50">
        <v>13040</v>
      </c>
      <c r="E52" s="48">
        <v>110000</v>
      </c>
      <c r="F52" s="53" t="s">
        <v>273</v>
      </c>
      <c r="G52" s="50" t="s">
        <v>172</v>
      </c>
      <c r="H52" s="50"/>
    </row>
    <row r="53" spans="1:8" s="51" customFormat="1" ht="21.75" customHeight="1" x14ac:dyDescent="0.15">
      <c r="A53" s="46" t="s">
        <v>561</v>
      </c>
      <c r="B53" s="11" t="s">
        <v>293</v>
      </c>
      <c r="C53" s="21" t="s">
        <v>118</v>
      </c>
      <c r="D53" s="50">
        <v>13041</v>
      </c>
      <c r="E53" s="48">
        <v>110000</v>
      </c>
      <c r="F53" s="53" t="s">
        <v>273</v>
      </c>
      <c r="G53" s="50" t="s">
        <v>172</v>
      </c>
      <c r="H53" s="50"/>
    </row>
    <row r="54" spans="1:8" s="51" customFormat="1" ht="21.75" customHeight="1" x14ac:dyDescent="0.15">
      <c r="A54" s="46" t="s">
        <v>562</v>
      </c>
      <c r="B54" s="11" t="s">
        <v>563</v>
      </c>
      <c r="C54" s="11" t="s">
        <v>83</v>
      </c>
      <c r="D54" s="50">
        <v>12050</v>
      </c>
      <c r="E54" s="48">
        <v>100000</v>
      </c>
      <c r="F54" s="49" t="s">
        <v>230</v>
      </c>
      <c r="G54" s="50" t="s">
        <v>165</v>
      </c>
      <c r="H54" s="50"/>
    </row>
    <row r="55" spans="1:8" s="51" customFormat="1" ht="21.75" customHeight="1" x14ac:dyDescent="0.15">
      <c r="A55" s="46" t="s">
        <v>564</v>
      </c>
      <c r="B55" s="11" t="s">
        <v>565</v>
      </c>
      <c r="C55" s="39" t="s">
        <v>123</v>
      </c>
      <c r="D55" s="50">
        <v>13047</v>
      </c>
      <c r="E55" s="48">
        <v>43260</v>
      </c>
      <c r="F55" s="49" t="s">
        <v>566</v>
      </c>
      <c r="G55" s="50" t="s">
        <v>158</v>
      </c>
      <c r="H55" s="50"/>
    </row>
    <row r="56" spans="1:8" s="51" customFormat="1" ht="21.75" customHeight="1" x14ac:dyDescent="0.15">
      <c r="A56" s="46" t="s">
        <v>567</v>
      </c>
      <c r="B56" s="20" t="s">
        <v>569</v>
      </c>
      <c r="C56" s="21" t="s">
        <v>40</v>
      </c>
      <c r="D56" s="50">
        <v>12025</v>
      </c>
      <c r="E56" s="48">
        <v>15980</v>
      </c>
      <c r="F56" s="49" t="s">
        <v>320</v>
      </c>
      <c r="G56" s="50" t="s">
        <v>172</v>
      </c>
      <c r="H56" s="50"/>
    </row>
    <row r="57" spans="1:8" s="51" customFormat="1" ht="21.75" customHeight="1" x14ac:dyDescent="0.15">
      <c r="A57" s="46" t="s">
        <v>185</v>
      </c>
      <c r="B57" s="20" t="s">
        <v>411</v>
      </c>
      <c r="C57" s="21" t="s">
        <v>408</v>
      </c>
      <c r="D57" s="50">
        <v>13021</v>
      </c>
      <c r="E57" s="48">
        <v>710889</v>
      </c>
      <c r="F57" s="49" t="s">
        <v>230</v>
      </c>
      <c r="G57" s="50" t="s">
        <v>2</v>
      </c>
      <c r="H57" s="50"/>
    </row>
    <row r="58" spans="1:8" s="51" customFormat="1" ht="21.75" customHeight="1" x14ac:dyDescent="0.15">
      <c r="A58" s="46" t="s">
        <v>185</v>
      </c>
      <c r="B58" s="11" t="s">
        <v>570</v>
      </c>
      <c r="C58" s="21" t="s">
        <v>101</v>
      </c>
      <c r="D58" s="50">
        <v>13011</v>
      </c>
      <c r="E58" s="48">
        <v>528885</v>
      </c>
      <c r="F58" s="49" t="s">
        <v>571</v>
      </c>
      <c r="G58" s="50" t="s">
        <v>152</v>
      </c>
      <c r="H58" s="50"/>
    </row>
    <row r="59" spans="1:8" s="51" customFormat="1" ht="21.75" customHeight="1" x14ac:dyDescent="0.15">
      <c r="A59" s="46" t="s">
        <v>572</v>
      </c>
      <c r="B59" s="11" t="s">
        <v>159</v>
      </c>
      <c r="C59" s="33" t="s">
        <v>125</v>
      </c>
      <c r="D59" s="50">
        <v>14004</v>
      </c>
      <c r="E59" s="48">
        <v>603000</v>
      </c>
      <c r="F59" s="49" t="s">
        <v>299</v>
      </c>
      <c r="G59" s="50" t="s">
        <v>158</v>
      </c>
      <c r="H59" s="50"/>
    </row>
    <row r="60" spans="1:8" s="51" customFormat="1" ht="21.75" customHeight="1" x14ac:dyDescent="0.15">
      <c r="A60" s="46" t="s">
        <v>572</v>
      </c>
      <c r="B60" s="11" t="s">
        <v>159</v>
      </c>
      <c r="C60" s="92" t="s">
        <v>573</v>
      </c>
      <c r="D60" s="50">
        <v>14003</v>
      </c>
      <c r="E60" s="48">
        <v>126000</v>
      </c>
      <c r="F60" s="49" t="s">
        <v>299</v>
      </c>
      <c r="G60" s="50" t="s">
        <v>158</v>
      </c>
      <c r="H60" s="50"/>
    </row>
    <row r="61" spans="1:8" s="97" customFormat="1" ht="21.75" customHeight="1" x14ac:dyDescent="0.15">
      <c r="A61" s="93" t="s">
        <v>574</v>
      </c>
      <c r="B61" s="56" t="s">
        <v>575</v>
      </c>
      <c r="C61" s="42" t="s">
        <v>58</v>
      </c>
      <c r="D61" s="94">
        <v>11049</v>
      </c>
      <c r="E61" s="95">
        <v>655800</v>
      </c>
      <c r="F61" s="96" t="s">
        <v>259</v>
      </c>
      <c r="G61" s="94" t="s">
        <v>154</v>
      </c>
      <c r="H61" s="94"/>
    </row>
    <row r="62" spans="1:8" s="97" customFormat="1" ht="21.75" customHeight="1" x14ac:dyDescent="0.15">
      <c r="A62" s="93" t="s">
        <v>576</v>
      </c>
      <c r="B62" s="40" t="s">
        <v>577</v>
      </c>
      <c r="C62" s="55" t="s">
        <v>105</v>
      </c>
      <c r="D62" s="94">
        <v>13016</v>
      </c>
      <c r="E62" s="95">
        <v>138063</v>
      </c>
      <c r="F62" s="96" t="s">
        <v>259</v>
      </c>
      <c r="G62" s="94" t="s">
        <v>158</v>
      </c>
      <c r="H62" s="94"/>
    </row>
    <row r="63" spans="1:8" s="51" customFormat="1" ht="21.75" customHeight="1" x14ac:dyDescent="0.15">
      <c r="A63" s="93" t="s">
        <v>578</v>
      </c>
      <c r="B63" s="32" t="s">
        <v>579</v>
      </c>
      <c r="C63" s="55" t="s">
        <v>580</v>
      </c>
      <c r="D63" s="50">
        <v>14040</v>
      </c>
      <c r="E63" s="48">
        <v>14200</v>
      </c>
      <c r="F63" s="49" t="s">
        <v>581</v>
      </c>
      <c r="G63" s="94" t="s">
        <v>158</v>
      </c>
      <c r="H63" s="50"/>
    </row>
    <row r="64" spans="1:8" s="51" customFormat="1" ht="21.75" customHeight="1" x14ac:dyDescent="0.15">
      <c r="A64" s="93" t="s">
        <v>582</v>
      </c>
      <c r="B64" s="11" t="s">
        <v>565</v>
      </c>
      <c r="C64" s="9" t="s">
        <v>123</v>
      </c>
      <c r="D64" s="50">
        <v>13047</v>
      </c>
      <c r="E64" s="48">
        <v>200000</v>
      </c>
      <c r="F64" s="49" t="s">
        <v>230</v>
      </c>
      <c r="G64" s="50" t="s">
        <v>158</v>
      </c>
      <c r="H64" s="50"/>
    </row>
    <row r="65" spans="1:8" s="51" customFormat="1" ht="21.75" customHeight="1" x14ac:dyDescent="0.15">
      <c r="A65" s="46" t="s">
        <v>583</v>
      </c>
      <c r="B65" s="11" t="s">
        <v>219</v>
      </c>
      <c r="C65" s="9" t="s">
        <v>220</v>
      </c>
      <c r="D65" s="50"/>
      <c r="E65" s="48">
        <v>19110</v>
      </c>
      <c r="F65" s="53" t="s">
        <v>238</v>
      </c>
      <c r="G65" s="50" t="s">
        <v>172</v>
      </c>
      <c r="H65" s="50"/>
    </row>
    <row r="66" spans="1:8" s="51" customFormat="1" ht="21.75" customHeight="1" x14ac:dyDescent="0.15">
      <c r="A66" s="46" t="s">
        <v>584</v>
      </c>
      <c r="B66" s="32" t="s">
        <v>176</v>
      </c>
      <c r="C66" s="21" t="s">
        <v>169</v>
      </c>
      <c r="D66" s="50">
        <v>14007</v>
      </c>
      <c r="E66" s="48">
        <v>274475</v>
      </c>
      <c r="F66" s="53" t="s">
        <v>585</v>
      </c>
      <c r="G66" s="50" t="s">
        <v>349</v>
      </c>
      <c r="H66" s="50"/>
    </row>
    <row r="67" spans="1:8" s="51" customFormat="1" ht="21.75" customHeight="1" x14ac:dyDescent="0.15">
      <c r="A67" s="46" t="s">
        <v>586</v>
      </c>
      <c r="B67" s="11" t="s">
        <v>188</v>
      </c>
      <c r="C67" s="4" t="s">
        <v>587</v>
      </c>
      <c r="D67" s="50">
        <v>14036</v>
      </c>
      <c r="E67" s="48">
        <v>339000</v>
      </c>
      <c r="F67" s="96" t="s">
        <v>363</v>
      </c>
      <c r="G67" s="50" t="s">
        <v>172</v>
      </c>
      <c r="H67" s="50"/>
    </row>
    <row r="68" spans="1:8" s="51" customFormat="1" ht="21.75" customHeight="1" x14ac:dyDescent="0.15">
      <c r="A68" s="46" t="s">
        <v>139</v>
      </c>
      <c r="B68" s="11" t="s">
        <v>570</v>
      </c>
      <c r="C68" s="1" t="s">
        <v>122</v>
      </c>
      <c r="D68" s="50">
        <v>13045</v>
      </c>
      <c r="E68" s="48">
        <v>345816</v>
      </c>
      <c r="F68" s="49" t="s">
        <v>299</v>
      </c>
      <c r="G68" s="50" t="s">
        <v>190</v>
      </c>
      <c r="H68" s="50"/>
    </row>
    <row r="69" spans="1:8" s="51" customFormat="1" ht="21.75" customHeight="1" x14ac:dyDescent="0.15">
      <c r="A69" s="46" t="s">
        <v>198</v>
      </c>
      <c r="B69" s="29" t="s">
        <v>221</v>
      </c>
      <c r="C69" s="1" t="s">
        <v>76</v>
      </c>
      <c r="D69" s="50">
        <v>12017</v>
      </c>
      <c r="E69" s="48">
        <v>219588</v>
      </c>
      <c r="F69" s="49" t="s">
        <v>259</v>
      </c>
      <c r="G69" s="50" t="s">
        <v>172</v>
      </c>
      <c r="H69" s="50"/>
    </row>
    <row r="70" spans="1:8" s="51" customFormat="1" ht="21.75" customHeight="1" x14ac:dyDescent="0.15">
      <c r="A70" s="46" t="s">
        <v>198</v>
      </c>
      <c r="B70" s="11" t="s">
        <v>80</v>
      </c>
      <c r="C70" s="39" t="s">
        <v>220</v>
      </c>
      <c r="D70" s="50">
        <v>12026</v>
      </c>
      <c r="E70" s="48">
        <v>63100</v>
      </c>
      <c r="F70" s="49" t="s">
        <v>320</v>
      </c>
      <c r="G70" s="50" t="s">
        <v>172</v>
      </c>
      <c r="H70" s="50"/>
    </row>
    <row r="71" spans="1:8" s="51" customFormat="1" ht="21.75" customHeight="1" x14ac:dyDescent="0.15">
      <c r="A71" s="46" t="s">
        <v>588</v>
      </c>
      <c r="B71" s="25" t="s">
        <v>217</v>
      </c>
      <c r="C71" s="21" t="s">
        <v>74</v>
      </c>
      <c r="D71" s="50">
        <v>12016</v>
      </c>
      <c r="E71" s="48">
        <v>207000</v>
      </c>
      <c r="F71" s="49" t="s">
        <v>259</v>
      </c>
      <c r="G71" s="50" t="s">
        <v>172</v>
      </c>
      <c r="H71" s="50"/>
    </row>
    <row r="72" spans="1:8" s="51" customFormat="1" ht="21.75" customHeight="1" x14ac:dyDescent="0.15">
      <c r="A72" s="46" t="s">
        <v>588</v>
      </c>
      <c r="B72" s="20" t="s">
        <v>6</v>
      </c>
      <c r="C72" s="21" t="s">
        <v>7</v>
      </c>
      <c r="D72" s="50">
        <v>10005</v>
      </c>
      <c r="E72" s="48">
        <v>80000</v>
      </c>
      <c r="F72" s="49" t="s">
        <v>271</v>
      </c>
      <c r="G72" s="50" t="s">
        <v>172</v>
      </c>
      <c r="H72" s="50"/>
    </row>
    <row r="73" spans="1:8" s="51" customFormat="1" ht="21.75" customHeight="1" x14ac:dyDescent="0.15">
      <c r="A73" s="46" t="s">
        <v>588</v>
      </c>
      <c r="B73" s="20" t="s">
        <v>215</v>
      </c>
      <c r="C73" s="21" t="s">
        <v>7</v>
      </c>
      <c r="D73" s="50">
        <v>12018</v>
      </c>
      <c r="E73" s="48">
        <v>40000</v>
      </c>
      <c r="F73" s="49" t="s">
        <v>320</v>
      </c>
      <c r="G73" s="50" t="s">
        <v>172</v>
      </c>
      <c r="H73" s="50"/>
    </row>
    <row r="74" spans="1:8" s="51" customFormat="1" ht="21.75" customHeight="1" x14ac:dyDescent="0.15">
      <c r="A74" s="46" t="s">
        <v>589</v>
      </c>
      <c r="B74" s="11" t="s">
        <v>201</v>
      </c>
      <c r="C74" s="9" t="s">
        <v>590</v>
      </c>
      <c r="D74" s="50">
        <v>14049</v>
      </c>
      <c r="E74" s="48">
        <v>110000</v>
      </c>
      <c r="F74" s="49" t="s">
        <v>263</v>
      </c>
      <c r="G74" s="50" t="s">
        <v>153</v>
      </c>
      <c r="H74" s="50"/>
    </row>
    <row r="75" spans="1:8" s="51" customFormat="1" ht="21.75" customHeight="1" x14ac:dyDescent="0.15">
      <c r="A75" s="46" t="s">
        <v>591</v>
      </c>
      <c r="B75" s="44" t="s">
        <v>6</v>
      </c>
      <c r="C75" s="21" t="s">
        <v>7</v>
      </c>
      <c r="D75" s="50"/>
      <c r="E75" s="48">
        <f>4200+19300</f>
        <v>23500</v>
      </c>
      <c r="F75" s="49" t="s">
        <v>592</v>
      </c>
      <c r="G75" s="50" t="s">
        <v>172</v>
      </c>
      <c r="H75" s="50"/>
    </row>
    <row r="76" spans="1:8" s="51" customFormat="1" ht="21.75" customHeight="1" x14ac:dyDescent="0.15">
      <c r="A76" s="46" t="s">
        <v>593</v>
      </c>
      <c r="B76" s="44" t="s">
        <v>6</v>
      </c>
      <c r="C76" s="21" t="s">
        <v>7</v>
      </c>
      <c r="D76" s="50"/>
      <c r="E76" s="48">
        <v>22300</v>
      </c>
      <c r="F76" s="49" t="s">
        <v>592</v>
      </c>
      <c r="G76" s="50" t="s">
        <v>172</v>
      </c>
      <c r="H76" s="50"/>
    </row>
    <row r="77" spans="1:8" s="51" customFormat="1" ht="21.75" customHeight="1" x14ac:dyDescent="0.15">
      <c r="A77" s="46" t="s">
        <v>594</v>
      </c>
      <c r="B77" s="11" t="s">
        <v>167</v>
      </c>
      <c r="C77" s="21" t="s">
        <v>597</v>
      </c>
      <c r="D77" s="50">
        <v>11019</v>
      </c>
      <c r="E77" s="48">
        <v>120000</v>
      </c>
      <c r="F77" s="49" t="s">
        <v>230</v>
      </c>
      <c r="G77" s="50" t="s">
        <v>172</v>
      </c>
      <c r="H77" s="50"/>
    </row>
    <row r="78" spans="1:8" s="51" customFormat="1" ht="21.75" customHeight="1" x14ac:dyDescent="0.15">
      <c r="A78" s="46" t="s">
        <v>594</v>
      </c>
      <c r="B78" s="20" t="s">
        <v>282</v>
      </c>
      <c r="C78" s="21" t="s">
        <v>186</v>
      </c>
      <c r="D78" s="50">
        <v>12005</v>
      </c>
      <c r="E78" s="48">
        <v>47500</v>
      </c>
      <c r="F78" s="49" t="s">
        <v>598</v>
      </c>
      <c r="G78" s="50" t="s">
        <v>158</v>
      </c>
      <c r="H78" s="50" t="s">
        <v>599</v>
      </c>
    </row>
    <row r="79" spans="1:8" s="51" customFormat="1" ht="21.75" customHeight="1" x14ac:dyDescent="0.15">
      <c r="A79" s="46" t="s">
        <v>452</v>
      </c>
      <c r="B79" s="11" t="s">
        <v>455</v>
      </c>
      <c r="C79" s="9" t="s">
        <v>600</v>
      </c>
      <c r="D79" s="50">
        <v>13046</v>
      </c>
      <c r="E79" s="48">
        <v>79800</v>
      </c>
      <c r="F79" s="96" t="s">
        <v>581</v>
      </c>
      <c r="G79" s="50" t="s">
        <v>172</v>
      </c>
      <c r="H79" s="50"/>
    </row>
    <row r="80" spans="1:8" s="51" customFormat="1" ht="21.75" customHeight="1" x14ac:dyDescent="0.15">
      <c r="A80" s="46" t="s">
        <v>601</v>
      </c>
      <c r="B80" s="32" t="s">
        <v>194</v>
      </c>
      <c r="C80" s="4" t="s">
        <v>193</v>
      </c>
      <c r="D80" s="50">
        <v>14040</v>
      </c>
      <c r="E80" s="48">
        <v>50000</v>
      </c>
      <c r="F80" s="49" t="s">
        <v>230</v>
      </c>
      <c r="G80" s="50" t="s">
        <v>158</v>
      </c>
      <c r="H80" s="50"/>
    </row>
    <row r="81" spans="1:8" s="51" customFormat="1" ht="21.75" customHeight="1" x14ac:dyDescent="0.15">
      <c r="A81" s="46" t="s">
        <v>601</v>
      </c>
      <c r="B81" s="56" t="s">
        <v>307</v>
      </c>
      <c r="C81" s="21" t="s">
        <v>301</v>
      </c>
      <c r="D81" s="50">
        <v>14046</v>
      </c>
      <c r="E81" s="48">
        <v>57500</v>
      </c>
      <c r="F81" s="49" t="s">
        <v>271</v>
      </c>
      <c r="G81" s="50" t="s">
        <v>172</v>
      </c>
      <c r="H81" s="50"/>
    </row>
    <row r="82" spans="1:8" s="51" customFormat="1" ht="21.75" customHeight="1" x14ac:dyDescent="0.15">
      <c r="A82" s="46" t="s">
        <v>602</v>
      </c>
      <c r="B82" s="20" t="s">
        <v>429</v>
      </c>
      <c r="C82" s="21" t="s">
        <v>86</v>
      </c>
      <c r="D82" s="50">
        <v>13044</v>
      </c>
      <c r="E82" s="48">
        <v>80100</v>
      </c>
      <c r="F82" s="49" t="s">
        <v>541</v>
      </c>
      <c r="G82" s="94" t="s">
        <v>154</v>
      </c>
      <c r="H82" s="50"/>
    </row>
    <row r="83" spans="1:8" s="51" customFormat="1" ht="21.75" customHeight="1" x14ac:dyDescent="0.15">
      <c r="A83" s="46" t="s">
        <v>602</v>
      </c>
      <c r="B83" s="8" t="s">
        <v>603</v>
      </c>
      <c r="C83" s="24" t="s">
        <v>107</v>
      </c>
      <c r="D83" s="50">
        <v>13023</v>
      </c>
      <c r="E83" s="48">
        <v>36000</v>
      </c>
      <c r="F83" s="49" t="s">
        <v>541</v>
      </c>
      <c r="G83" s="50" t="s">
        <v>158</v>
      </c>
      <c r="H83" s="50"/>
    </row>
    <row r="84" spans="1:8" s="51" customFormat="1" ht="21.75" customHeight="1" x14ac:dyDescent="0.15">
      <c r="A84" s="46" t="s">
        <v>604</v>
      </c>
      <c r="B84" s="56" t="s">
        <v>38</v>
      </c>
      <c r="C84" s="42" t="s">
        <v>71</v>
      </c>
      <c r="D84" s="50">
        <v>14047</v>
      </c>
      <c r="E84" s="48">
        <v>57500</v>
      </c>
      <c r="F84" s="49" t="s">
        <v>271</v>
      </c>
      <c r="G84" s="50" t="s">
        <v>172</v>
      </c>
      <c r="H84" s="50"/>
    </row>
    <row r="85" spans="1:8" s="51" customFormat="1" ht="21.75" customHeight="1" x14ac:dyDescent="0.15">
      <c r="A85" s="46" t="s">
        <v>605</v>
      </c>
      <c r="B85" s="25" t="s">
        <v>575</v>
      </c>
      <c r="C85" s="21" t="s">
        <v>58</v>
      </c>
      <c r="D85" s="50">
        <v>11049</v>
      </c>
      <c r="E85" s="48">
        <v>655800</v>
      </c>
      <c r="F85" s="49" t="s">
        <v>259</v>
      </c>
      <c r="G85" s="50" t="s">
        <v>154</v>
      </c>
      <c r="H85" s="50"/>
    </row>
    <row r="86" spans="1:8" s="51" customFormat="1" ht="21.75" customHeight="1" x14ac:dyDescent="0.15">
      <c r="A86" s="46" t="s">
        <v>605</v>
      </c>
      <c r="B86" s="11" t="s">
        <v>606</v>
      </c>
      <c r="C86" s="26" t="s">
        <v>98</v>
      </c>
      <c r="D86" s="50">
        <v>13007</v>
      </c>
      <c r="E86" s="48">
        <v>126000</v>
      </c>
      <c r="F86" s="49" t="s">
        <v>607</v>
      </c>
      <c r="G86" s="50" t="s">
        <v>157</v>
      </c>
      <c r="H86" s="50"/>
    </row>
    <row r="87" spans="1:8" s="51" customFormat="1" ht="21.75" customHeight="1" x14ac:dyDescent="0.15">
      <c r="A87" s="46" t="s">
        <v>608</v>
      </c>
      <c r="B87" s="40" t="s">
        <v>291</v>
      </c>
      <c r="C87" s="42" t="s">
        <v>117</v>
      </c>
      <c r="D87" s="50">
        <v>14041</v>
      </c>
      <c r="E87" s="48">
        <v>57500</v>
      </c>
      <c r="F87" s="49" t="s">
        <v>271</v>
      </c>
      <c r="G87" s="50" t="s">
        <v>172</v>
      </c>
      <c r="H87" s="50"/>
    </row>
    <row r="88" spans="1:8" s="51" customFormat="1" ht="21.75" customHeight="1" x14ac:dyDescent="0.15">
      <c r="A88" s="46" t="s">
        <v>608</v>
      </c>
      <c r="B88" s="40" t="s">
        <v>293</v>
      </c>
      <c r="C88" s="42" t="s">
        <v>118</v>
      </c>
      <c r="D88" s="50">
        <v>14043</v>
      </c>
      <c r="E88" s="48">
        <v>57500</v>
      </c>
      <c r="F88" s="49" t="s">
        <v>271</v>
      </c>
      <c r="G88" s="50" t="s">
        <v>172</v>
      </c>
      <c r="H88" s="50"/>
    </row>
    <row r="89" spans="1:8" s="51" customFormat="1" ht="21.75" customHeight="1" x14ac:dyDescent="0.15">
      <c r="A89" s="46" t="s">
        <v>609</v>
      </c>
      <c r="B89" s="11" t="s">
        <v>610</v>
      </c>
      <c r="C89" s="21" t="s">
        <v>207</v>
      </c>
      <c r="D89" s="50">
        <v>12015</v>
      </c>
      <c r="E89" s="48">
        <v>220000</v>
      </c>
      <c r="F89" s="49" t="s">
        <v>320</v>
      </c>
      <c r="G89" s="94" t="s">
        <v>154</v>
      </c>
      <c r="H89" s="50"/>
    </row>
    <row r="90" spans="1:8" s="51" customFormat="1" ht="21.75" customHeight="1" x14ac:dyDescent="0.15">
      <c r="A90" s="46" t="s">
        <v>611</v>
      </c>
      <c r="B90" s="44" t="s">
        <v>254</v>
      </c>
      <c r="C90" s="4" t="s">
        <v>163</v>
      </c>
      <c r="D90" s="50">
        <v>14031</v>
      </c>
      <c r="E90" s="48">
        <v>45000</v>
      </c>
      <c r="F90" s="49" t="s">
        <v>263</v>
      </c>
      <c r="G90" s="50" t="s">
        <v>178</v>
      </c>
      <c r="H90" s="50"/>
    </row>
    <row r="91" spans="1:8" s="51" customFormat="1" ht="21.75" customHeight="1" x14ac:dyDescent="0.15">
      <c r="A91" s="46" t="s">
        <v>611</v>
      </c>
      <c r="B91" s="44" t="s">
        <v>3</v>
      </c>
      <c r="C91" s="4" t="s">
        <v>164</v>
      </c>
      <c r="D91" s="50">
        <v>14032</v>
      </c>
      <c r="E91" s="48">
        <v>45000</v>
      </c>
      <c r="F91" s="49" t="s">
        <v>263</v>
      </c>
      <c r="G91" s="50" t="s">
        <v>178</v>
      </c>
      <c r="H91" s="50"/>
    </row>
    <row r="92" spans="1:8" s="51" customFormat="1" ht="21.75" customHeight="1" x14ac:dyDescent="0.15">
      <c r="A92" s="46" t="s">
        <v>611</v>
      </c>
      <c r="B92" s="44" t="s">
        <v>180</v>
      </c>
      <c r="C92" s="26" t="s">
        <v>181</v>
      </c>
      <c r="D92" s="50">
        <v>14033</v>
      </c>
      <c r="E92" s="48">
        <v>47500</v>
      </c>
      <c r="F92" s="49" t="s">
        <v>263</v>
      </c>
      <c r="G92" s="50" t="s">
        <v>178</v>
      </c>
      <c r="H92" s="50"/>
    </row>
    <row r="93" spans="1:8" s="51" customFormat="1" ht="21.75" customHeight="1" x14ac:dyDescent="0.15">
      <c r="A93" s="46" t="s">
        <v>613</v>
      </c>
      <c r="B93" s="44" t="s">
        <v>390</v>
      </c>
      <c r="C93" s="26" t="s">
        <v>377</v>
      </c>
      <c r="D93" s="50">
        <v>14055</v>
      </c>
      <c r="E93" s="48">
        <v>30000</v>
      </c>
      <c r="F93" s="49" t="s">
        <v>263</v>
      </c>
      <c r="G93" s="50" t="s">
        <v>172</v>
      </c>
      <c r="H93" s="50"/>
    </row>
    <row r="94" spans="1:8" s="51" customFormat="1" ht="21.75" customHeight="1" x14ac:dyDescent="0.15">
      <c r="A94" s="46" t="s">
        <v>614</v>
      </c>
      <c r="B94" s="44" t="s">
        <v>391</v>
      </c>
      <c r="C94" s="26" t="s">
        <v>377</v>
      </c>
      <c r="D94" s="50">
        <v>14055</v>
      </c>
      <c r="E94" s="48">
        <v>30000</v>
      </c>
      <c r="F94" s="49" t="s">
        <v>263</v>
      </c>
      <c r="G94" s="50" t="s">
        <v>172</v>
      </c>
      <c r="H94" s="50"/>
    </row>
    <row r="95" spans="1:8" s="51" customFormat="1" ht="21.75" customHeight="1" x14ac:dyDescent="0.15">
      <c r="A95" s="46" t="s">
        <v>615</v>
      </c>
      <c r="B95" s="44" t="s">
        <v>254</v>
      </c>
      <c r="C95" s="42" t="s">
        <v>5</v>
      </c>
      <c r="D95" s="50">
        <v>14026</v>
      </c>
      <c r="E95" s="48">
        <v>90000</v>
      </c>
      <c r="F95" s="49" t="s">
        <v>271</v>
      </c>
      <c r="G95" s="50" t="s">
        <v>178</v>
      </c>
      <c r="H95" s="50"/>
    </row>
    <row r="96" spans="1:8" s="51" customFormat="1" ht="21.75" customHeight="1" x14ac:dyDescent="0.15">
      <c r="A96" s="46" t="s">
        <v>615</v>
      </c>
      <c r="B96" s="44" t="s">
        <v>3</v>
      </c>
      <c r="C96" s="42" t="s">
        <v>4</v>
      </c>
      <c r="D96" s="50">
        <v>14027</v>
      </c>
      <c r="E96" s="48">
        <v>90000</v>
      </c>
      <c r="F96" s="49" t="s">
        <v>271</v>
      </c>
      <c r="G96" s="50" t="s">
        <v>178</v>
      </c>
      <c r="H96" s="50"/>
    </row>
    <row r="97" spans="1:8" s="51" customFormat="1" ht="21.75" customHeight="1" x14ac:dyDescent="0.15">
      <c r="A97" s="46" t="s">
        <v>615</v>
      </c>
      <c r="B97" s="44" t="s">
        <v>180</v>
      </c>
      <c r="C97" s="42" t="s">
        <v>1</v>
      </c>
      <c r="D97" s="50">
        <v>14028</v>
      </c>
      <c r="E97" s="48">
        <v>90000</v>
      </c>
      <c r="F97" s="49" t="s">
        <v>271</v>
      </c>
      <c r="G97" s="50" t="s">
        <v>178</v>
      </c>
      <c r="H97" s="50"/>
    </row>
    <row r="98" spans="1:8" s="51" customFormat="1" ht="21.75" customHeight="1" x14ac:dyDescent="0.15">
      <c r="A98" s="46" t="s">
        <v>615</v>
      </c>
      <c r="B98" s="44" t="s">
        <v>10</v>
      </c>
      <c r="C98" s="42" t="s">
        <v>11</v>
      </c>
      <c r="D98" s="50">
        <v>14030</v>
      </c>
      <c r="E98" s="48">
        <v>90000</v>
      </c>
      <c r="F98" s="49" t="s">
        <v>271</v>
      </c>
      <c r="G98" s="50" t="s">
        <v>178</v>
      </c>
      <c r="H98" s="50"/>
    </row>
    <row r="99" spans="1:8" s="51" customFormat="1" ht="21.75" customHeight="1" x14ac:dyDescent="0.15">
      <c r="A99" s="46" t="s">
        <v>615</v>
      </c>
      <c r="B99" s="44" t="s">
        <v>179</v>
      </c>
      <c r="C99" s="42" t="s">
        <v>13</v>
      </c>
      <c r="D99" s="50">
        <v>14029</v>
      </c>
      <c r="E99" s="48">
        <v>90000</v>
      </c>
      <c r="F99" s="49" t="s">
        <v>271</v>
      </c>
      <c r="G99" s="50" t="s">
        <v>178</v>
      </c>
      <c r="H99" s="50"/>
    </row>
    <row r="100" spans="1:8" s="51" customFormat="1" ht="21.75" customHeight="1" x14ac:dyDescent="0.15">
      <c r="A100" s="46" t="s">
        <v>617</v>
      </c>
      <c r="B100" s="10" t="s">
        <v>184</v>
      </c>
      <c r="C100" s="42" t="s">
        <v>99</v>
      </c>
      <c r="D100" s="50">
        <v>14035</v>
      </c>
      <c r="E100" s="48">
        <v>130500</v>
      </c>
      <c r="F100" s="49" t="s">
        <v>299</v>
      </c>
      <c r="G100" s="50" t="s">
        <v>165</v>
      </c>
      <c r="H100" s="50"/>
    </row>
    <row r="101" spans="1:8" s="51" customFormat="1" ht="21.75" customHeight="1" x14ac:dyDescent="0.15">
      <c r="A101" s="46" t="s">
        <v>615</v>
      </c>
      <c r="B101" s="40" t="s">
        <v>199</v>
      </c>
      <c r="C101" s="42" t="s">
        <v>200</v>
      </c>
      <c r="D101" s="50">
        <v>14048</v>
      </c>
      <c r="E101" s="48">
        <v>57500</v>
      </c>
      <c r="F101" s="49" t="s">
        <v>271</v>
      </c>
      <c r="G101" s="50" t="s">
        <v>172</v>
      </c>
      <c r="H101" s="50"/>
    </row>
    <row r="102" spans="1:8" s="51" customFormat="1" ht="21.75" customHeight="1" x14ac:dyDescent="0.15">
      <c r="A102" s="46" t="s">
        <v>615</v>
      </c>
      <c r="B102" s="40" t="s">
        <v>292</v>
      </c>
      <c r="C102" s="42" t="s">
        <v>82</v>
      </c>
      <c r="D102" s="50">
        <v>14042</v>
      </c>
      <c r="E102" s="48">
        <v>57500</v>
      </c>
      <c r="F102" s="49" t="s">
        <v>271</v>
      </c>
      <c r="G102" s="50" t="s">
        <v>172</v>
      </c>
      <c r="H102" s="50"/>
    </row>
    <row r="103" spans="1:8" s="51" customFormat="1" ht="21.75" customHeight="1" x14ac:dyDescent="0.15">
      <c r="A103" s="46" t="s">
        <v>618</v>
      </c>
      <c r="B103" s="40" t="s">
        <v>620</v>
      </c>
      <c r="C103" s="42" t="s">
        <v>67</v>
      </c>
      <c r="D103" s="50">
        <v>12008</v>
      </c>
      <c r="E103" s="48">
        <v>150000</v>
      </c>
      <c r="F103" s="49" t="s">
        <v>273</v>
      </c>
      <c r="G103" s="50" t="s">
        <v>172</v>
      </c>
      <c r="H103" s="50"/>
    </row>
    <row r="104" spans="1:8" s="51" customFormat="1" ht="21.75" customHeight="1" x14ac:dyDescent="0.15">
      <c r="A104" s="46" t="s">
        <v>618</v>
      </c>
      <c r="B104" s="11" t="s">
        <v>300</v>
      </c>
      <c r="C104" s="42" t="s">
        <v>88</v>
      </c>
      <c r="D104" s="50">
        <v>14045</v>
      </c>
      <c r="E104" s="48">
        <v>72500</v>
      </c>
      <c r="F104" s="49" t="s">
        <v>271</v>
      </c>
      <c r="G104" s="50" t="s">
        <v>172</v>
      </c>
      <c r="H104" s="50"/>
    </row>
    <row r="105" spans="1:8" s="51" customFormat="1" ht="21.75" customHeight="1" x14ac:dyDescent="0.15">
      <c r="A105" s="46" t="s">
        <v>621</v>
      </c>
      <c r="B105" s="56" t="s">
        <v>307</v>
      </c>
      <c r="C105" s="42" t="s">
        <v>301</v>
      </c>
      <c r="D105" s="50">
        <v>14046</v>
      </c>
      <c r="E105" s="48">
        <v>57500</v>
      </c>
      <c r="F105" s="49" t="s">
        <v>271</v>
      </c>
      <c r="G105" s="50" t="s">
        <v>172</v>
      </c>
      <c r="H105" s="50"/>
    </row>
    <row r="106" spans="1:8" s="51" customFormat="1" ht="21.75" customHeight="1" x14ac:dyDescent="0.15">
      <c r="A106" s="46" t="s">
        <v>623</v>
      </c>
      <c r="B106" s="11" t="s">
        <v>624</v>
      </c>
      <c r="C106" s="42" t="s">
        <v>89</v>
      </c>
      <c r="D106" s="50">
        <v>12061</v>
      </c>
      <c r="E106" s="48">
        <v>150000</v>
      </c>
      <c r="F106" s="49" t="s">
        <v>273</v>
      </c>
      <c r="G106" s="50" t="s">
        <v>172</v>
      </c>
      <c r="H106" s="50"/>
    </row>
    <row r="107" spans="1:8" s="51" customFormat="1" ht="21.75" customHeight="1" x14ac:dyDescent="0.15">
      <c r="A107" s="46" t="s">
        <v>623</v>
      </c>
      <c r="B107" s="20" t="s">
        <v>625</v>
      </c>
      <c r="C107" s="42" t="s">
        <v>626</v>
      </c>
      <c r="D107" s="50">
        <v>12009</v>
      </c>
      <c r="E107" s="48">
        <v>150000</v>
      </c>
      <c r="F107" s="49" t="s">
        <v>273</v>
      </c>
      <c r="G107" s="50" t="s">
        <v>172</v>
      </c>
      <c r="H107" s="50"/>
    </row>
    <row r="108" spans="1:8" s="51" customFormat="1" ht="21.75" customHeight="1" x14ac:dyDescent="0.15">
      <c r="A108" s="46" t="s">
        <v>623</v>
      </c>
      <c r="B108" s="11" t="s">
        <v>195</v>
      </c>
      <c r="C108" s="42" t="s">
        <v>84</v>
      </c>
      <c r="D108" s="50">
        <v>14059</v>
      </c>
      <c r="E108" s="48">
        <v>50000</v>
      </c>
      <c r="F108" s="49" t="s">
        <v>273</v>
      </c>
      <c r="G108" s="50" t="s">
        <v>153</v>
      </c>
      <c r="H108" s="50"/>
    </row>
    <row r="109" spans="1:8" s="51" customFormat="1" ht="21.75" customHeight="1" x14ac:dyDescent="0.15">
      <c r="A109" s="46" t="s">
        <v>623</v>
      </c>
      <c r="B109" s="29" t="s">
        <v>627</v>
      </c>
      <c r="C109" s="42" t="s">
        <v>480</v>
      </c>
      <c r="D109" s="50">
        <v>12024</v>
      </c>
      <c r="E109" s="48">
        <v>127590</v>
      </c>
      <c r="F109" s="49" t="s">
        <v>259</v>
      </c>
      <c r="G109" s="50" t="s">
        <v>157</v>
      </c>
      <c r="H109" s="12"/>
    </row>
    <row r="110" spans="1:8" s="51" customFormat="1" ht="21.75" customHeight="1" x14ac:dyDescent="0.15">
      <c r="A110" s="46" t="s">
        <v>144</v>
      </c>
      <c r="B110" s="11" t="s">
        <v>211</v>
      </c>
      <c r="C110" s="57" t="s">
        <v>208</v>
      </c>
      <c r="D110" s="50">
        <v>14057</v>
      </c>
      <c r="E110" s="48">
        <v>100000</v>
      </c>
      <c r="F110" s="49" t="s">
        <v>263</v>
      </c>
      <c r="G110" s="50" t="s">
        <v>158</v>
      </c>
      <c r="H110" s="12"/>
    </row>
    <row r="111" spans="1:8" s="51" customFormat="1" ht="24" x14ac:dyDescent="0.15">
      <c r="A111" s="46" t="s">
        <v>144</v>
      </c>
      <c r="B111" s="32" t="s">
        <v>343</v>
      </c>
      <c r="C111" s="7" t="s">
        <v>45</v>
      </c>
      <c r="D111" s="50">
        <v>11024</v>
      </c>
      <c r="E111" s="48">
        <v>450000</v>
      </c>
      <c r="F111" s="49" t="s">
        <v>273</v>
      </c>
      <c r="G111" s="50" t="s">
        <v>172</v>
      </c>
      <c r="H111" s="12"/>
    </row>
    <row r="112" spans="1:8" s="51" customFormat="1" ht="21.75" customHeight="1" x14ac:dyDescent="0.15">
      <c r="A112" s="46" t="s">
        <v>144</v>
      </c>
      <c r="B112" s="32" t="s">
        <v>343</v>
      </c>
      <c r="C112" s="7" t="s">
        <v>90</v>
      </c>
      <c r="D112" s="50">
        <v>12062</v>
      </c>
      <c r="E112" s="48">
        <v>150000</v>
      </c>
      <c r="F112" s="49" t="s">
        <v>273</v>
      </c>
      <c r="G112" s="50" t="s">
        <v>172</v>
      </c>
      <c r="H112" s="12"/>
    </row>
    <row r="113" spans="1:8" s="51" customFormat="1" ht="21.75" customHeight="1" x14ac:dyDescent="0.15">
      <c r="A113" s="46" t="s">
        <v>629</v>
      </c>
      <c r="B113" s="20" t="s">
        <v>340</v>
      </c>
      <c r="C113" s="26" t="s">
        <v>341</v>
      </c>
      <c r="D113" s="50">
        <v>11025</v>
      </c>
      <c r="E113" s="48">
        <v>150000</v>
      </c>
      <c r="F113" s="49" t="s">
        <v>273</v>
      </c>
      <c r="G113" s="50" t="s">
        <v>172</v>
      </c>
      <c r="H113" s="98"/>
    </row>
    <row r="114" spans="1:8" s="51" customFormat="1" ht="24" x14ac:dyDescent="0.15">
      <c r="A114" s="46" t="s">
        <v>629</v>
      </c>
      <c r="B114" s="20" t="s">
        <v>202</v>
      </c>
      <c r="C114" s="7" t="s">
        <v>203</v>
      </c>
      <c r="D114" s="50">
        <v>14050</v>
      </c>
      <c r="E114" s="48">
        <v>57500</v>
      </c>
      <c r="F114" s="49" t="s">
        <v>271</v>
      </c>
      <c r="G114" s="50" t="s">
        <v>172</v>
      </c>
      <c r="H114" s="98"/>
    </row>
    <row r="115" spans="1:8" s="51" customFormat="1" ht="21.75" customHeight="1" x14ac:dyDescent="0.15">
      <c r="A115" s="46" t="s">
        <v>629</v>
      </c>
      <c r="B115" s="54" t="s">
        <v>226</v>
      </c>
      <c r="C115" s="39" t="s">
        <v>182</v>
      </c>
      <c r="D115" s="50">
        <v>14034</v>
      </c>
      <c r="E115" s="48">
        <v>261000</v>
      </c>
      <c r="F115" s="49" t="s">
        <v>299</v>
      </c>
      <c r="G115" s="30" t="s">
        <v>165</v>
      </c>
      <c r="H115" s="12"/>
    </row>
    <row r="116" spans="1:8" s="51" customFormat="1" ht="21.75" customHeight="1" x14ac:dyDescent="0.15">
      <c r="A116" s="46" t="s">
        <v>632</v>
      </c>
      <c r="B116" s="20" t="s">
        <v>342</v>
      </c>
      <c r="C116" s="21" t="s">
        <v>47</v>
      </c>
      <c r="D116" s="50">
        <v>11026</v>
      </c>
      <c r="E116" s="48">
        <v>150000</v>
      </c>
      <c r="F116" s="49" t="s">
        <v>273</v>
      </c>
      <c r="G116" s="50" t="s">
        <v>172</v>
      </c>
      <c r="H116" s="12"/>
    </row>
    <row r="117" spans="1:8" s="51" customFormat="1" ht="21.75" customHeight="1" x14ac:dyDescent="0.15">
      <c r="A117" s="46" t="s">
        <v>632</v>
      </c>
      <c r="B117" s="11" t="s">
        <v>633</v>
      </c>
      <c r="C117" s="4" t="s">
        <v>205</v>
      </c>
      <c r="D117" s="50">
        <v>14053</v>
      </c>
      <c r="E117" s="48">
        <v>36000</v>
      </c>
      <c r="F117" s="49" t="s">
        <v>581</v>
      </c>
      <c r="G117" s="50" t="s">
        <v>153</v>
      </c>
      <c r="H117" s="99"/>
    </row>
    <row r="118" spans="1:8" s="51" customFormat="1" ht="21.75" customHeight="1" x14ac:dyDescent="0.15">
      <c r="A118" s="46" t="s">
        <v>634</v>
      </c>
      <c r="B118" s="11" t="s">
        <v>248</v>
      </c>
      <c r="C118" s="21" t="s">
        <v>34</v>
      </c>
      <c r="D118" s="50">
        <v>14068</v>
      </c>
      <c r="E118" s="48">
        <v>84000</v>
      </c>
      <c r="F118" s="49" t="s">
        <v>379</v>
      </c>
      <c r="G118" s="50" t="s">
        <v>153</v>
      </c>
      <c r="H118" s="99"/>
    </row>
    <row r="119" spans="1:8" s="51" customFormat="1" ht="21.75" customHeight="1" x14ac:dyDescent="0.15">
      <c r="A119" s="46" t="s">
        <v>634</v>
      </c>
      <c r="B119" s="40" t="s">
        <v>199</v>
      </c>
      <c r="C119" s="59" t="s">
        <v>200</v>
      </c>
      <c r="D119" s="50">
        <v>14048</v>
      </c>
      <c r="E119" s="48">
        <v>57500</v>
      </c>
      <c r="F119" s="49" t="s">
        <v>271</v>
      </c>
      <c r="G119" s="50" t="s">
        <v>172</v>
      </c>
      <c r="H119" s="50"/>
    </row>
    <row r="120" spans="1:8" s="51" customFormat="1" ht="21.75" customHeight="1" x14ac:dyDescent="0.15">
      <c r="A120" s="46" t="s">
        <v>634</v>
      </c>
      <c r="B120" s="40" t="s">
        <v>199</v>
      </c>
      <c r="C120" s="9" t="s">
        <v>214</v>
      </c>
      <c r="D120" s="50">
        <v>14024</v>
      </c>
      <c r="E120" s="48">
        <v>241200</v>
      </c>
      <c r="F120" s="49" t="s">
        <v>299</v>
      </c>
      <c r="G120" s="50" t="s">
        <v>172</v>
      </c>
      <c r="H120" s="50"/>
    </row>
    <row r="121" spans="1:8" s="51" customFormat="1" ht="21.75" customHeight="1" x14ac:dyDescent="0.15">
      <c r="A121" s="46" t="s">
        <v>634</v>
      </c>
      <c r="B121" s="100" t="s">
        <v>310</v>
      </c>
      <c r="C121" s="9" t="s">
        <v>302</v>
      </c>
      <c r="D121" s="50">
        <v>14047</v>
      </c>
      <c r="E121" s="48">
        <v>57500</v>
      </c>
      <c r="F121" s="49" t="s">
        <v>271</v>
      </c>
      <c r="G121" s="50" t="s">
        <v>172</v>
      </c>
      <c r="H121" s="50"/>
    </row>
    <row r="122" spans="1:8" s="51" customFormat="1" ht="21.75" customHeight="1" x14ac:dyDescent="0.15">
      <c r="A122" s="46" t="s">
        <v>636</v>
      </c>
      <c r="B122" s="60" t="s">
        <v>192</v>
      </c>
      <c r="C122" s="26" t="s">
        <v>97</v>
      </c>
      <c r="D122" s="50">
        <v>14023</v>
      </c>
      <c r="E122" s="48">
        <v>85000</v>
      </c>
      <c r="F122" s="49" t="s">
        <v>271</v>
      </c>
      <c r="G122" s="30" t="s">
        <v>165</v>
      </c>
      <c r="H122" s="50"/>
    </row>
    <row r="123" spans="1:8" s="51" customFormat="1" ht="21.75" customHeight="1" x14ac:dyDescent="0.15">
      <c r="A123" s="46" t="s">
        <v>638</v>
      </c>
      <c r="B123" s="60" t="s">
        <v>197</v>
      </c>
      <c r="C123" s="9" t="s">
        <v>186</v>
      </c>
      <c r="D123" s="50">
        <v>14044</v>
      </c>
      <c r="E123" s="48">
        <v>120000</v>
      </c>
      <c r="F123" s="49" t="s">
        <v>273</v>
      </c>
      <c r="G123" s="50" t="s">
        <v>158</v>
      </c>
      <c r="H123" s="50"/>
    </row>
    <row r="124" spans="1:8" s="51" customFormat="1" ht="21.75" customHeight="1" x14ac:dyDescent="0.15">
      <c r="A124" s="46" t="s">
        <v>638</v>
      </c>
      <c r="B124" s="60" t="s">
        <v>202</v>
      </c>
      <c r="C124" s="9" t="s">
        <v>203</v>
      </c>
      <c r="D124" s="50">
        <v>14050</v>
      </c>
      <c r="E124" s="48">
        <v>57500</v>
      </c>
      <c r="F124" s="49" t="s">
        <v>271</v>
      </c>
      <c r="G124" s="50" t="s">
        <v>172</v>
      </c>
      <c r="H124" s="50"/>
    </row>
    <row r="125" spans="1:8" s="51" customFormat="1" ht="21.75" customHeight="1" x14ac:dyDescent="0.15">
      <c r="A125" s="46" t="s">
        <v>639</v>
      </c>
      <c r="B125" s="11" t="s">
        <v>161</v>
      </c>
      <c r="C125" s="26" t="s">
        <v>78</v>
      </c>
      <c r="D125" s="50">
        <v>14060</v>
      </c>
      <c r="E125" s="48">
        <v>63000</v>
      </c>
      <c r="F125" s="49" t="s">
        <v>299</v>
      </c>
      <c r="G125" s="50" t="s">
        <v>178</v>
      </c>
      <c r="H125" s="50"/>
    </row>
    <row r="126" spans="1:8" s="51" customFormat="1" ht="21.75" customHeight="1" x14ac:dyDescent="0.15">
      <c r="A126" s="46" t="s">
        <v>639</v>
      </c>
      <c r="B126" s="3" t="s">
        <v>640</v>
      </c>
      <c r="C126" s="26" t="s">
        <v>93</v>
      </c>
      <c r="D126" s="50">
        <v>13001</v>
      </c>
      <c r="E126" s="48">
        <v>43300</v>
      </c>
      <c r="F126" s="49" t="s">
        <v>641</v>
      </c>
      <c r="G126" s="50" t="s">
        <v>157</v>
      </c>
      <c r="H126" s="50"/>
    </row>
    <row r="127" spans="1:8" s="51" customFormat="1" ht="21.75" customHeight="1" x14ac:dyDescent="0.15">
      <c r="A127" s="46" t="s">
        <v>642</v>
      </c>
      <c r="B127" s="60" t="s">
        <v>455</v>
      </c>
      <c r="C127" s="9" t="s">
        <v>223</v>
      </c>
      <c r="D127" s="50">
        <v>13046</v>
      </c>
      <c r="E127" s="48">
        <v>399000</v>
      </c>
      <c r="F127" s="49" t="s">
        <v>263</v>
      </c>
      <c r="G127" s="50" t="s">
        <v>172</v>
      </c>
      <c r="H127" s="50"/>
    </row>
    <row r="128" spans="1:8" s="51" customFormat="1" ht="21.75" customHeight="1" x14ac:dyDescent="0.15">
      <c r="A128" s="46" t="s">
        <v>642</v>
      </c>
      <c r="B128" s="11" t="s">
        <v>87</v>
      </c>
      <c r="C128" s="9" t="s">
        <v>168</v>
      </c>
      <c r="D128" s="50">
        <v>12054</v>
      </c>
      <c r="E128" s="48">
        <v>31500</v>
      </c>
      <c r="F128" s="49" t="s">
        <v>320</v>
      </c>
      <c r="G128" s="50" t="s">
        <v>172</v>
      </c>
      <c r="H128" s="50"/>
    </row>
    <row r="129" spans="1:8" s="51" customFormat="1" ht="21.75" customHeight="1" x14ac:dyDescent="0.15">
      <c r="A129" s="46" t="s">
        <v>148</v>
      </c>
      <c r="B129" s="60" t="s">
        <v>643</v>
      </c>
      <c r="C129" s="42" t="s">
        <v>21</v>
      </c>
      <c r="D129" s="50">
        <v>14019</v>
      </c>
      <c r="E129" s="48">
        <v>150000</v>
      </c>
      <c r="F129" s="49" t="s">
        <v>273</v>
      </c>
      <c r="G129" s="50" t="s">
        <v>172</v>
      </c>
      <c r="H129" s="50"/>
    </row>
    <row r="130" spans="1:8" s="51" customFormat="1" ht="21.75" customHeight="1" x14ac:dyDescent="0.15">
      <c r="A130" s="46" t="s">
        <v>148</v>
      </c>
      <c r="B130" s="11" t="s">
        <v>227</v>
      </c>
      <c r="C130" s="39" t="s">
        <v>123</v>
      </c>
      <c r="D130" s="50">
        <v>13047</v>
      </c>
      <c r="E130" s="48">
        <v>146080</v>
      </c>
      <c r="F130" s="49" t="s">
        <v>230</v>
      </c>
      <c r="G130" s="50" t="s">
        <v>158</v>
      </c>
      <c r="H130" s="50"/>
    </row>
    <row r="131" spans="1:8" s="51" customFormat="1" ht="21.75" customHeight="1" x14ac:dyDescent="0.15">
      <c r="A131" s="46" t="s">
        <v>135</v>
      </c>
      <c r="B131" s="60" t="s">
        <v>358</v>
      </c>
      <c r="C131" s="9" t="s">
        <v>146</v>
      </c>
      <c r="D131" s="50">
        <v>14005</v>
      </c>
      <c r="E131" s="48">
        <v>120000</v>
      </c>
      <c r="F131" s="49" t="s">
        <v>644</v>
      </c>
      <c r="G131" s="50" t="s">
        <v>178</v>
      </c>
      <c r="H131" s="50"/>
    </row>
    <row r="132" spans="1:8" s="51" customFormat="1" ht="21.75" customHeight="1" x14ac:dyDescent="0.15">
      <c r="A132" s="46" t="s">
        <v>135</v>
      </c>
      <c r="B132" s="60" t="s">
        <v>269</v>
      </c>
      <c r="C132" s="21" t="s">
        <v>31</v>
      </c>
      <c r="D132" s="50">
        <v>14006</v>
      </c>
      <c r="E132" s="48">
        <v>120000</v>
      </c>
      <c r="F132" s="49" t="s">
        <v>644</v>
      </c>
      <c r="G132" s="50" t="s">
        <v>178</v>
      </c>
      <c r="H132" s="50"/>
    </row>
    <row r="133" spans="1:8" s="51" customFormat="1" ht="21.75" customHeight="1" x14ac:dyDescent="0.15">
      <c r="A133" s="46" t="s">
        <v>135</v>
      </c>
      <c r="B133" s="11" t="s">
        <v>87</v>
      </c>
      <c r="C133" s="9" t="s">
        <v>168</v>
      </c>
      <c r="D133" s="47">
        <v>13019</v>
      </c>
      <c r="E133" s="48">
        <v>85788</v>
      </c>
      <c r="F133" s="49" t="s">
        <v>320</v>
      </c>
      <c r="G133" s="50" t="s">
        <v>172</v>
      </c>
      <c r="H133" s="50"/>
    </row>
    <row r="134" spans="1:8" ht="21.75" customHeight="1" x14ac:dyDescent="0.15">
      <c r="A134" s="1180" t="s">
        <v>126</v>
      </c>
      <c r="B134" s="1181"/>
      <c r="C134" s="1181"/>
      <c r="D134" s="1182"/>
      <c r="E134" s="101">
        <f>SUM(E3:E133)</f>
        <v>21361811</v>
      </c>
      <c r="F134" s="13"/>
      <c r="G134" s="13"/>
      <c r="H134" s="13"/>
    </row>
    <row r="135" spans="1:8" ht="21.75" customHeight="1" x14ac:dyDescent="0.15">
      <c r="E135" s="102"/>
      <c r="F135" s="14" t="s">
        <v>134</v>
      </c>
    </row>
  </sheetData>
  <autoFilter ref="C1:C135" xr:uid="{00000000-0009-0000-0000-000005000000}"/>
  <mergeCells count="2">
    <mergeCell ref="A1:G1"/>
    <mergeCell ref="A134:D134"/>
  </mergeCells>
  <phoneticPr fontId="1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2"/>
  <sheetViews>
    <sheetView workbookViewId="0">
      <selection sqref="A1:G1"/>
    </sheetView>
  </sheetViews>
  <sheetFormatPr defaultColWidth="13.625" defaultRowHeight="27" customHeight="1" x14ac:dyDescent="0.15"/>
  <cols>
    <col min="1" max="1" width="11.375" style="126" customWidth="1"/>
    <col min="2" max="2" width="23.5" style="126" customWidth="1"/>
    <col min="3" max="3" width="19.875" style="126" customWidth="1"/>
    <col min="4" max="4" width="9.625" style="126" customWidth="1"/>
    <col min="5" max="5" width="16.375" style="132" customWidth="1"/>
    <col min="6" max="6" width="18.25" style="126" customWidth="1"/>
    <col min="7" max="7" width="8.875" style="126" customWidth="1"/>
    <col min="8" max="16384" width="13.625" style="126"/>
  </cols>
  <sheetData>
    <row r="1" spans="1:7" ht="27" customHeight="1" x14ac:dyDescent="0.15">
      <c r="A1" s="1187" t="s">
        <v>645</v>
      </c>
      <c r="B1" s="1187"/>
      <c r="C1" s="1187"/>
      <c r="D1" s="1187"/>
      <c r="E1" s="1187"/>
      <c r="F1" s="1187"/>
      <c r="G1" s="1187"/>
    </row>
    <row r="2" spans="1:7" s="114" customFormat="1" ht="27" customHeight="1" x14ac:dyDescent="0.15">
      <c r="A2" s="127" t="s">
        <v>646</v>
      </c>
      <c r="B2" s="127" t="s">
        <v>647</v>
      </c>
      <c r="C2" s="127" t="s">
        <v>648</v>
      </c>
      <c r="D2" s="127" t="s">
        <v>649</v>
      </c>
      <c r="E2" s="128" t="s">
        <v>650</v>
      </c>
      <c r="F2" s="127" t="s">
        <v>651</v>
      </c>
      <c r="G2" s="127" t="s">
        <v>652</v>
      </c>
    </row>
    <row r="3" spans="1:7" s="114" customFormat="1" ht="27" customHeight="1" x14ac:dyDescent="0.15">
      <c r="A3" s="110" t="s">
        <v>653</v>
      </c>
      <c r="B3" s="86" t="s">
        <v>654</v>
      </c>
      <c r="C3" s="58" t="s">
        <v>655</v>
      </c>
      <c r="D3" s="112">
        <v>12051</v>
      </c>
      <c r="E3" s="113">
        <v>172500</v>
      </c>
      <c r="F3" s="112" t="s">
        <v>656</v>
      </c>
      <c r="G3" s="112" t="s">
        <v>657</v>
      </c>
    </row>
    <row r="4" spans="1:7" s="114" customFormat="1" ht="27" customHeight="1" x14ac:dyDescent="0.15">
      <c r="A4" s="110" t="s">
        <v>658</v>
      </c>
      <c r="B4" s="58" t="s">
        <v>659</v>
      </c>
      <c r="C4" s="42" t="s">
        <v>660</v>
      </c>
      <c r="D4" s="112">
        <v>12055</v>
      </c>
      <c r="E4" s="113">
        <v>180000</v>
      </c>
      <c r="F4" s="112" t="s">
        <v>661</v>
      </c>
      <c r="G4" s="112" t="s">
        <v>662</v>
      </c>
    </row>
    <row r="5" spans="1:7" s="114" customFormat="1" ht="27" customHeight="1" x14ac:dyDescent="0.15">
      <c r="A5" s="110" t="s">
        <v>658</v>
      </c>
      <c r="B5" s="117" t="s">
        <v>663</v>
      </c>
      <c r="C5" s="42" t="s">
        <v>664</v>
      </c>
      <c r="D5" s="112">
        <v>12056</v>
      </c>
      <c r="E5" s="113">
        <v>180000</v>
      </c>
      <c r="F5" s="112" t="s">
        <v>661</v>
      </c>
      <c r="G5" s="112" t="s">
        <v>662</v>
      </c>
    </row>
    <row r="6" spans="1:7" s="114" customFormat="1" ht="27" customHeight="1" x14ac:dyDescent="0.15">
      <c r="A6" s="110" t="s">
        <v>665</v>
      </c>
      <c r="B6" s="58" t="s">
        <v>666</v>
      </c>
      <c r="C6" s="42" t="s">
        <v>667</v>
      </c>
      <c r="D6" s="112">
        <v>12024</v>
      </c>
      <c r="E6" s="113">
        <v>255180</v>
      </c>
      <c r="F6" s="112" t="s">
        <v>668</v>
      </c>
      <c r="G6" s="112" t="s">
        <v>669</v>
      </c>
    </row>
    <row r="7" spans="1:7" s="114" customFormat="1" ht="27" customHeight="1" x14ac:dyDescent="0.15">
      <c r="A7" s="110" t="s">
        <v>671</v>
      </c>
      <c r="B7" s="111" t="s">
        <v>672</v>
      </c>
      <c r="C7" s="112" t="s">
        <v>673</v>
      </c>
      <c r="D7" s="112">
        <v>12010</v>
      </c>
      <c r="E7" s="113">
        <v>298000</v>
      </c>
      <c r="F7" s="112" t="s">
        <v>674</v>
      </c>
      <c r="G7" s="112" t="s">
        <v>662</v>
      </c>
    </row>
    <row r="8" spans="1:7" s="114" customFormat="1" ht="27" customHeight="1" x14ac:dyDescent="0.15">
      <c r="A8" s="110" t="s">
        <v>671</v>
      </c>
      <c r="B8" s="44" t="s">
        <v>675</v>
      </c>
      <c r="C8" s="42" t="s">
        <v>676</v>
      </c>
      <c r="D8" s="122">
        <v>12003</v>
      </c>
      <c r="E8" s="113">
        <v>597600</v>
      </c>
      <c r="F8" s="115" t="s">
        <v>677</v>
      </c>
      <c r="G8" s="112" t="s">
        <v>678</v>
      </c>
    </row>
    <row r="9" spans="1:7" s="114" customFormat="1" ht="27" customHeight="1" x14ac:dyDescent="0.15">
      <c r="A9" s="110" t="s">
        <v>671</v>
      </c>
      <c r="B9" s="116" t="s">
        <v>679</v>
      </c>
      <c r="C9" s="42" t="s">
        <v>680</v>
      </c>
      <c r="D9" s="122">
        <v>11041</v>
      </c>
      <c r="E9" s="113">
        <v>174000</v>
      </c>
      <c r="F9" s="112" t="s">
        <v>681</v>
      </c>
      <c r="G9" s="112" t="s">
        <v>662</v>
      </c>
    </row>
    <row r="10" spans="1:7" s="114" customFormat="1" ht="27" customHeight="1" x14ac:dyDescent="0.15">
      <c r="A10" s="110" t="s">
        <v>671</v>
      </c>
      <c r="B10" s="133" t="s">
        <v>3</v>
      </c>
      <c r="C10" s="42" t="s">
        <v>4</v>
      </c>
      <c r="D10" s="122">
        <v>11042</v>
      </c>
      <c r="E10" s="113">
        <v>168000</v>
      </c>
      <c r="F10" s="112" t="s">
        <v>681</v>
      </c>
      <c r="G10" s="112" t="s">
        <v>662</v>
      </c>
    </row>
    <row r="11" spans="1:7" s="114" customFormat="1" ht="27" customHeight="1" x14ac:dyDescent="0.15">
      <c r="A11" s="110" t="s">
        <v>671</v>
      </c>
      <c r="B11" s="117" t="s">
        <v>682</v>
      </c>
      <c r="C11" s="42" t="s">
        <v>683</v>
      </c>
      <c r="D11" s="122">
        <v>11045</v>
      </c>
      <c r="E11" s="113">
        <v>125100</v>
      </c>
      <c r="F11" s="112" t="s">
        <v>681</v>
      </c>
      <c r="G11" s="112" t="s">
        <v>662</v>
      </c>
    </row>
    <row r="12" spans="1:7" s="114" customFormat="1" ht="27" customHeight="1" x14ac:dyDescent="0.15">
      <c r="A12" s="110" t="s">
        <v>671</v>
      </c>
      <c r="B12" s="117" t="s">
        <v>612</v>
      </c>
      <c r="C12" s="42" t="s">
        <v>684</v>
      </c>
      <c r="D12" s="122">
        <v>11043</v>
      </c>
      <c r="E12" s="113">
        <v>210000</v>
      </c>
      <c r="F12" s="112" t="s">
        <v>681</v>
      </c>
      <c r="G12" s="112" t="s">
        <v>662</v>
      </c>
    </row>
    <row r="13" spans="1:7" s="114" customFormat="1" ht="27" customHeight="1" x14ac:dyDescent="0.15">
      <c r="A13" s="110" t="s">
        <v>671</v>
      </c>
      <c r="B13" s="117" t="s">
        <v>616</v>
      </c>
      <c r="C13" s="42" t="s">
        <v>685</v>
      </c>
      <c r="D13" s="122">
        <v>11044</v>
      </c>
      <c r="E13" s="113">
        <v>168000</v>
      </c>
      <c r="F13" s="112" t="s">
        <v>681</v>
      </c>
      <c r="G13" s="112" t="s">
        <v>662</v>
      </c>
    </row>
    <row r="14" spans="1:7" s="114" customFormat="1" ht="27" customHeight="1" x14ac:dyDescent="0.15">
      <c r="A14" s="110" t="s">
        <v>671</v>
      </c>
      <c r="B14" s="86" t="s">
        <v>616</v>
      </c>
      <c r="C14" s="42" t="s">
        <v>685</v>
      </c>
      <c r="D14" s="122">
        <v>11036</v>
      </c>
      <c r="E14" s="113">
        <v>90000</v>
      </c>
      <c r="F14" s="115" t="s">
        <v>686</v>
      </c>
      <c r="G14" s="112" t="s">
        <v>662</v>
      </c>
    </row>
    <row r="15" spans="1:7" s="114" customFormat="1" ht="27" customHeight="1" x14ac:dyDescent="0.15">
      <c r="A15" s="110" t="s">
        <v>671</v>
      </c>
      <c r="B15" s="86" t="s">
        <v>682</v>
      </c>
      <c r="C15" s="42" t="s">
        <v>683</v>
      </c>
      <c r="D15" s="122">
        <v>11037</v>
      </c>
      <c r="E15" s="113">
        <v>90000</v>
      </c>
      <c r="F15" s="115" t="s">
        <v>686</v>
      </c>
      <c r="G15" s="112" t="s">
        <v>662</v>
      </c>
    </row>
    <row r="16" spans="1:7" s="114" customFormat="1" ht="27" customHeight="1" x14ac:dyDescent="0.15">
      <c r="A16" s="110" t="s">
        <v>671</v>
      </c>
      <c r="B16" s="58" t="s">
        <v>3</v>
      </c>
      <c r="C16" s="42" t="s">
        <v>687</v>
      </c>
      <c r="D16" s="122">
        <v>11010</v>
      </c>
      <c r="E16" s="113">
        <v>90000</v>
      </c>
      <c r="F16" s="115" t="s">
        <v>688</v>
      </c>
      <c r="G16" s="112" t="s">
        <v>662</v>
      </c>
    </row>
    <row r="17" spans="1:7" s="114" customFormat="1" ht="27" customHeight="1" x14ac:dyDescent="0.15">
      <c r="A17" s="110" t="s">
        <v>671</v>
      </c>
      <c r="B17" s="58" t="s">
        <v>0</v>
      </c>
      <c r="C17" s="42" t="s">
        <v>684</v>
      </c>
      <c r="D17" s="122">
        <v>11011</v>
      </c>
      <c r="E17" s="113">
        <v>90000</v>
      </c>
      <c r="F17" s="115" t="s">
        <v>688</v>
      </c>
      <c r="G17" s="112" t="s">
        <v>662</v>
      </c>
    </row>
    <row r="18" spans="1:7" s="114" customFormat="1" ht="27" customHeight="1" x14ac:dyDescent="0.15">
      <c r="A18" s="110" t="s">
        <v>671</v>
      </c>
      <c r="B18" s="58" t="s">
        <v>3</v>
      </c>
      <c r="C18" s="42" t="s">
        <v>680</v>
      </c>
      <c r="D18" s="122">
        <v>11012</v>
      </c>
      <c r="E18" s="113">
        <v>90000</v>
      </c>
      <c r="F18" s="115" t="s">
        <v>688</v>
      </c>
      <c r="G18" s="112" t="s">
        <v>662</v>
      </c>
    </row>
    <row r="19" spans="1:7" s="114" customFormat="1" ht="27" customHeight="1" x14ac:dyDescent="0.15">
      <c r="A19" s="110" t="s">
        <v>671</v>
      </c>
      <c r="B19" s="86" t="s">
        <v>689</v>
      </c>
      <c r="C19" s="42" t="s">
        <v>690</v>
      </c>
      <c r="D19" s="122">
        <v>12052</v>
      </c>
      <c r="E19" s="113">
        <v>503880</v>
      </c>
      <c r="F19" s="115" t="s">
        <v>681</v>
      </c>
      <c r="G19" s="112" t="s">
        <v>678</v>
      </c>
    </row>
    <row r="20" spans="1:7" s="114" customFormat="1" ht="27" customHeight="1" x14ac:dyDescent="0.15">
      <c r="A20" s="110" t="s">
        <v>671</v>
      </c>
      <c r="B20" s="117" t="s">
        <v>637</v>
      </c>
      <c r="C20" s="58" t="s">
        <v>691</v>
      </c>
      <c r="D20" s="122">
        <v>12004</v>
      </c>
      <c r="E20" s="113">
        <v>85000</v>
      </c>
      <c r="F20" s="115" t="s">
        <v>692</v>
      </c>
      <c r="G20" s="112" t="s">
        <v>693</v>
      </c>
    </row>
    <row r="21" spans="1:7" s="114" customFormat="1" ht="27" customHeight="1" x14ac:dyDescent="0.15">
      <c r="A21" s="110" t="s">
        <v>671</v>
      </c>
      <c r="B21" s="86" t="s">
        <v>637</v>
      </c>
      <c r="C21" s="42" t="s">
        <v>694</v>
      </c>
      <c r="D21" s="122">
        <v>12031</v>
      </c>
      <c r="E21" s="113">
        <v>90000</v>
      </c>
      <c r="F21" s="115" t="s">
        <v>674</v>
      </c>
      <c r="G21" s="112" t="s">
        <v>693</v>
      </c>
    </row>
    <row r="22" spans="1:7" s="114" customFormat="1" ht="27" customHeight="1" x14ac:dyDescent="0.15">
      <c r="A22" s="110" t="s">
        <v>695</v>
      </c>
      <c r="B22" s="40" t="s">
        <v>696</v>
      </c>
      <c r="C22" s="42" t="s">
        <v>697</v>
      </c>
      <c r="D22" s="122">
        <v>12057</v>
      </c>
      <c r="E22" s="113">
        <v>100000</v>
      </c>
      <c r="F22" s="115" t="s">
        <v>698</v>
      </c>
      <c r="G22" s="112" t="s">
        <v>657</v>
      </c>
    </row>
    <row r="23" spans="1:7" s="114" customFormat="1" ht="27" customHeight="1" x14ac:dyDescent="0.15">
      <c r="A23" s="110" t="s">
        <v>695</v>
      </c>
      <c r="B23" s="40" t="s">
        <v>635</v>
      </c>
      <c r="C23" s="42" t="s">
        <v>699</v>
      </c>
      <c r="D23" s="122">
        <v>12058</v>
      </c>
      <c r="E23" s="113">
        <v>100000</v>
      </c>
      <c r="F23" s="115" t="s">
        <v>698</v>
      </c>
      <c r="G23" s="112" t="s">
        <v>657</v>
      </c>
    </row>
    <row r="24" spans="1:7" s="114" customFormat="1" ht="27" customHeight="1" x14ac:dyDescent="0.15">
      <c r="A24" s="110" t="s">
        <v>695</v>
      </c>
      <c r="B24" s="44" t="s">
        <v>700</v>
      </c>
      <c r="C24" s="42" t="s">
        <v>701</v>
      </c>
      <c r="D24" s="122">
        <v>10005</v>
      </c>
      <c r="E24" s="113">
        <v>160000</v>
      </c>
      <c r="F24" s="115" t="s">
        <v>698</v>
      </c>
      <c r="G24" s="112" t="s">
        <v>693</v>
      </c>
    </row>
    <row r="25" spans="1:7" s="114" customFormat="1" ht="27" customHeight="1" x14ac:dyDescent="0.15">
      <c r="A25" s="110" t="s">
        <v>695</v>
      </c>
      <c r="B25" s="40" t="s">
        <v>64</v>
      </c>
      <c r="C25" s="42" t="s">
        <v>702</v>
      </c>
      <c r="D25" s="122">
        <v>12005</v>
      </c>
      <c r="E25" s="113">
        <v>200000</v>
      </c>
      <c r="F25" s="115" t="s">
        <v>703</v>
      </c>
      <c r="G25" s="112" t="s">
        <v>704</v>
      </c>
    </row>
    <row r="26" spans="1:7" s="114" customFormat="1" ht="27" customHeight="1" x14ac:dyDescent="0.15">
      <c r="A26" s="110" t="s">
        <v>705</v>
      </c>
      <c r="B26" s="134" t="s">
        <v>706</v>
      </c>
      <c r="C26" s="42" t="s">
        <v>707</v>
      </c>
      <c r="D26" s="122">
        <v>12030</v>
      </c>
      <c r="E26" s="113">
        <v>225150</v>
      </c>
      <c r="F26" s="115" t="s">
        <v>681</v>
      </c>
      <c r="G26" s="112" t="s">
        <v>693</v>
      </c>
    </row>
    <row r="27" spans="1:7" s="114" customFormat="1" ht="27" customHeight="1" x14ac:dyDescent="0.15">
      <c r="A27" s="110" t="s">
        <v>708</v>
      </c>
      <c r="B27" s="40" t="s">
        <v>92</v>
      </c>
      <c r="C27" s="42" t="s">
        <v>93</v>
      </c>
      <c r="D27" s="122">
        <v>13001</v>
      </c>
      <c r="E27" s="113">
        <v>79400</v>
      </c>
      <c r="F27" s="115" t="s">
        <v>709</v>
      </c>
      <c r="G27" s="112" t="s">
        <v>669</v>
      </c>
    </row>
    <row r="28" spans="1:7" s="114" customFormat="1" ht="27" customHeight="1" x14ac:dyDescent="0.15">
      <c r="A28" s="110" t="s">
        <v>710</v>
      </c>
      <c r="B28" s="65" t="s">
        <v>711</v>
      </c>
      <c r="C28" s="42" t="s">
        <v>712</v>
      </c>
      <c r="D28" s="122">
        <v>12021</v>
      </c>
      <c r="E28" s="113">
        <v>153400</v>
      </c>
      <c r="F28" s="115" t="s">
        <v>713</v>
      </c>
      <c r="G28" s="112" t="s">
        <v>693</v>
      </c>
    </row>
    <row r="29" spans="1:7" s="114" customFormat="1" ht="27" customHeight="1" x14ac:dyDescent="0.15">
      <c r="A29" s="110" t="s">
        <v>714</v>
      </c>
      <c r="B29" s="40" t="s">
        <v>715</v>
      </c>
      <c r="C29" s="42" t="s">
        <v>716</v>
      </c>
      <c r="D29" s="122">
        <v>12047</v>
      </c>
      <c r="E29" s="113">
        <v>234000</v>
      </c>
      <c r="F29" s="115" t="s">
        <v>717</v>
      </c>
      <c r="G29" s="112" t="s">
        <v>693</v>
      </c>
    </row>
    <row r="30" spans="1:7" s="114" customFormat="1" ht="27" customHeight="1" x14ac:dyDescent="0.15">
      <c r="A30" s="110" t="s">
        <v>718</v>
      </c>
      <c r="B30" s="40" t="s">
        <v>719</v>
      </c>
      <c r="C30" s="42" t="s">
        <v>720</v>
      </c>
      <c r="D30" s="122">
        <v>13002</v>
      </c>
      <c r="E30" s="113">
        <v>33520</v>
      </c>
      <c r="F30" s="115" t="s">
        <v>721</v>
      </c>
      <c r="G30" s="112" t="s">
        <v>693</v>
      </c>
    </row>
    <row r="31" spans="1:7" s="114" customFormat="1" ht="27" customHeight="1" x14ac:dyDescent="0.15">
      <c r="A31" s="110" t="s">
        <v>722</v>
      </c>
      <c r="B31" s="40" t="s">
        <v>723</v>
      </c>
      <c r="C31" s="58" t="s">
        <v>724</v>
      </c>
      <c r="D31" s="122">
        <v>11024</v>
      </c>
      <c r="E31" s="113">
        <v>450000</v>
      </c>
      <c r="F31" s="115" t="s">
        <v>698</v>
      </c>
      <c r="G31" s="112" t="s">
        <v>693</v>
      </c>
    </row>
    <row r="32" spans="1:7" s="114" customFormat="1" ht="27" customHeight="1" x14ac:dyDescent="0.15">
      <c r="A32" s="110" t="s">
        <v>725</v>
      </c>
      <c r="B32" s="40" t="s">
        <v>726</v>
      </c>
      <c r="C32" s="58" t="s">
        <v>727</v>
      </c>
      <c r="D32" s="122">
        <v>11007</v>
      </c>
      <c r="E32" s="113">
        <v>200000</v>
      </c>
      <c r="F32" s="115" t="s">
        <v>698</v>
      </c>
      <c r="G32" s="112" t="s">
        <v>693</v>
      </c>
    </row>
    <row r="33" spans="1:7" s="114" customFormat="1" ht="27" customHeight="1" x14ac:dyDescent="0.15">
      <c r="A33" s="110" t="s">
        <v>728</v>
      </c>
      <c r="B33" s="40" t="s">
        <v>729</v>
      </c>
      <c r="C33" s="58" t="s">
        <v>730</v>
      </c>
      <c r="D33" s="122">
        <v>11009</v>
      </c>
      <c r="E33" s="113">
        <v>200000</v>
      </c>
      <c r="F33" s="115" t="s">
        <v>698</v>
      </c>
      <c r="G33" s="112" t="s">
        <v>693</v>
      </c>
    </row>
    <row r="34" spans="1:7" s="114" customFormat="1" ht="27" customHeight="1" x14ac:dyDescent="0.15">
      <c r="A34" s="110" t="s">
        <v>728</v>
      </c>
      <c r="B34" s="40" t="s">
        <v>731</v>
      </c>
      <c r="C34" s="42" t="s">
        <v>93</v>
      </c>
      <c r="D34" s="122">
        <v>13001</v>
      </c>
      <c r="E34" s="113">
        <v>198500</v>
      </c>
      <c r="F34" s="115" t="s">
        <v>732</v>
      </c>
      <c r="G34" s="112" t="s">
        <v>669</v>
      </c>
    </row>
    <row r="35" spans="1:7" s="114" customFormat="1" ht="27" customHeight="1" x14ac:dyDescent="0.15">
      <c r="A35" s="110" t="s">
        <v>733</v>
      </c>
      <c r="B35" s="40" t="s">
        <v>734</v>
      </c>
      <c r="C35" s="42" t="s">
        <v>735</v>
      </c>
      <c r="D35" s="122">
        <v>12022</v>
      </c>
      <c r="E35" s="113">
        <v>200000</v>
      </c>
      <c r="F35" s="115" t="s">
        <v>677</v>
      </c>
      <c r="G35" s="112" t="s">
        <v>693</v>
      </c>
    </row>
    <row r="36" spans="1:7" s="114" customFormat="1" ht="27" customHeight="1" x14ac:dyDescent="0.15">
      <c r="A36" s="110" t="s">
        <v>736</v>
      </c>
      <c r="B36" s="40" t="s">
        <v>737</v>
      </c>
      <c r="C36" s="58" t="s">
        <v>738</v>
      </c>
      <c r="D36" s="122">
        <v>11026</v>
      </c>
      <c r="E36" s="113">
        <v>150000</v>
      </c>
      <c r="F36" s="115" t="s">
        <v>698</v>
      </c>
      <c r="G36" s="112" t="s">
        <v>693</v>
      </c>
    </row>
    <row r="37" spans="1:7" s="114" customFormat="1" ht="27" customHeight="1" x14ac:dyDescent="0.15">
      <c r="A37" s="110" t="s">
        <v>739</v>
      </c>
      <c r="B37" s="40" t="s">
        <v>740</v>
      </c>
      <c r="C37" s="58" t="s">
        <v>741</v>
      </c>
      <c r="D37" s="122">
        <v>11025</v>
      </c>
      <c r="E37" s="113">
        <v>150000</v>
      </c>
      <c r="F37" s="115" t="s">
        <v>698</v>
      </c>
      <c r="G37" s="112" t="s">
        <v>693</v>
      </c>
    </row>
    <row r="38" spans="1:7" s="114" customFormat="1" ht="27" customHeight="1" x14ac:dyDescent="0.15">
      <c r="A38" s="110" t="s">
        <v>742</v>
      </c>
      <c r="B38" s="40" t="s">
        <v>743</v>
      </c>
      <c r="C38" s="58" t="s">
        <v>744</v>
      </c>
      <c r="D38" s="122">
        <v>11005</v>
      </c>
      <c r="E38" s="113">
        <v>200000</v>
      </c>
      <c r="F38" s="115" t="s">
        <v>698</v>
      </c>
      <c r="G38" s="112" t="s">
        <v>693</v>
      </c>
    </row>
    <row r="39" spans="1:7" s="114" customFormat="1" ht="27" customHeight="1" x14ac:dyDescent="0.15">
      <c r="A39" s="110" t="s">
        <v>150</v>
      </c>
      <c r="B39" s="40" t="s">
        <v>745</v>
      </c>
      <c r="C39" s="58" t="s">
        <v>746</v>
      </c>
      <c r="D39" s="122">
        <v>11004</v>
      </c>
      <c r="E39" s="113">
        <v>200000</v>
      </c>
      <c r="F39" s="115" t="s">
        <v>698</v>
      </c>
      <c r="G39" s="112" t="s">
        <v>693</v>
      </c>
    </row>
    <row r="40" spans="1:7" s="114" customFormat="1" ht="27" customHeight="1" x14ac:dyDescent="0.15">
      <c r="A40" s="110" t="s">
        <v>747</v>
      </c>
      <c r="B40" s="129" t="s">
        <v>748</v>
      </c>
      <c r="C40" s="42" t="s">
        <v>749</v>
      </c>
      <c r="D40" s="122">
        <v>12029</v>
      </c>
      <c r="E40" s="113">
        <v>792000</v>
      </c>
      <c r="F40" s="115" t="s">
        <v>750</v>
      </c>
      <c r="G40" s="112" t="s">
        <v>678</v>
      </c>
    </row>
    <row r="41" spans="1:7" s="114" customFormat="1" ht="27" customHeight="1" x14ac:dyDescent="0.15">
      <c r="A41" s="110" t="s">
        <v>751</v>
      </c>
      <c r="B41" s="40" t="s">
        <v>752</v>
      </c>
      <c r="C41" s="42" t="s">
        <v>753</v>
      </c>
      <c r="D41" s="122">
        <v>11038</v>
      </c>
      <c r="E41" s="119">
        <v>2512928.6</v>
      </c>
      <c r="F41" s="115" t="s">
        <v>754</v>
      </c>
      <c r="G41" s="112" t="s">
        <v>662</v>
      </c>
    </row>
    <row r="42" spans="1:7" s="114" customFormat="1" ht="27" customHeight="1" x14ac:dyDescent="0.15">
      <c r="A42" s="110" t="s">
        <v>755</v>
      </c>
      <c r="B42" s="40" t="s">
        <v>756</v>
      </c>
      <c r="C42" s="58" t="s">
        <v>757</v>
      </c>
      <c r="D42" s="122">
        <v>10007</v>
      </c>
      <c r="E42" s="113">
        <v>200000</v>
      </c>
      <c r="F42" s="115" t="s">
        <v>698</v>
      </c>
      <c r="G42" s="112" t="s">
        <v>693</v>
      </c>
    </row>
    <row r="43" spans="1:7" s="114" customFormat="1" ht="27" customHeight="1" x14ac:dyDescent="0.15">
      <c r="A43" s="110" t="s">
        <v>755</v>
      </c>
      <c r="B43" s="40" t="s">
        <v>758</v>
      </c>
      <c r="C43" s="58" t="s">
        <v>759</v>
      </c>
      <c r="D43" s="122">
        <v>10006</v>
      </c>
      <c r="E43" s="113">
        <v>200000</v>
      </c>
      <c r="F43" s="115" t="s">
        <v>698</v>
      </c>
      <c r="G43" s="112" t="s">
        <v>693</v>
      </c>
    </row>
    <row r="44" spans="1:7" s="114" customFormat="1" ht="27" customHeight="1" x14ac:dyDescent="0.15">
      <c r="A44" s="110" t="s">
        <v>755</v>
      </c>
      <c r="B44" s="58" t="s">
        <v>760</v>
      </c>
      <c r="C44" s="42" t="s">
        <v>761</v>
      </c>
      <c r="D44" s="112">
        <v>11048</v>
      </c>
      <c r="E44" s="113">
        <v>30000</v>
      </c>
      <c r="F44" s="120" t="s">
        <v>762</v>
      </c>
      <c r="G44" s="112" t="s">
        <v>693</v>
      </c>
    </row>
    <row r="45" spans="1:7" s="114" customFormat="1" ht="27" customHeight="1" x14ac:dyDescent="0.15">
      <c r="A45" s="110" t="s">
        <v>763</v>
      </c>
      <c r="B45" s="40" t="s">
        <v>764</v>
      </c>
      <c r="C45" s="42" t="s">
        <v>761</v>
      </c>
      <c r="D45" s="112">
        <v>11048</v>
      </c>
      <c r="E45" s="113">
        <v>30000</v>
      </c>
      <c r="F45" s="120" t="s">
        <v>762</v>
      </c>
      <c r="G45" s="112" t="s">
        <v>693</v>
      </c>
    </row>
    <row r="46" spans="1:7" s="114" customFormat="1" ht="27" customHeight="1" x14ac:dyDescent="0.15">
      <c r="A46" s="110" t="s">
        <v>765</v>
      </c>
      <c r="B46" s="40" t="s">
        <v>64</v>
      </c>
      <c r="C46" s="42" t="s">
        <v>702</v>
      </c>
      <c r="D46" s="122">
        <v>12005</v>
      </c>
      <c r="E46" s="113">
        <v>250000</v>
      </c>
      <c r="F46" s="115" t="s">
        <v>703</v>
      </c>
      <c r="G46" s="112" t="s">
        <v>704</v>
      </c>
    </row>
    <row r="47" spans="1:7" s="114" customFormat="1" ht="27" customHeight="1" x14ac:dyDescent="0.15">
      <c r="A47" s="110" t="s">
        <v>766</v>
      </c>
      <c r="B47" s="40" t="s">
        <v>767</v>
      </c>
      <c r="C47" s="58" t="s">
        <v>768</v>
      </c>
      <c r="D47" s="122">
        <v>13008</v>
      </c>
      <c r="E47" s="113">
        <v>227628</v>
      </c>
      <c r="F47" s="115" t="s">
        <v>668</v>
      </c>
      <c r="G47" s="112" t="s">
        <v>693</v>
      </c>
    </row>
    <row r="48" spans="1:7" s="114" customFormat="1" ht="27" customHeight="1" x14ac:dyDescent="0.15">
      <c r="A48" s="110" t="s">
        <v>769</v>
      </c>
      <c r="B48" s="40" t="s">
        <v>770</v>
      </c>
      <c r="C48" s="58" t="s">
        <v>655</v>
      </c>
      <c r="D48" s="122">
        <v>13003</v>
      </c>
      <c r="E48" s="121">
        <v>111600</v>
      </c>
      <c r="F48" s="115" t="s">
        <v>668</v>
      </c>
      <c r="G48" s="112" t="s">
        <v>657</v>
      </c>
    </row>
    <row r="49" spans="1:7" s="114" customFormat="1" ht="27" customHeight="1" x14ac:dyDescent="0.15">
      <c r="A49" s="110" t="s">
        <v>771</v>
      </c>
      <c r="B49" s="44" t="s">
        <v>772</v>
      </c>
      <c r="C49" s="42" t="s">
        <v>773</v>
      </c>
      <c r="D49" s="122">
        <v>12020</v>
      </c>
      <c r="E49" s="121">
        <v>70200</v>
      </c>
      <c r="F49" s="115" t="s">
        <v>774</v>
      </c>
      <c r="G49" s="112" t="s">
        <v>693</v>
      </c>
    </row>
    <row r="50" spans="1:7" s="114" customFormat="1" ht="27" customHeight="1" x14ac:dyDescent="0.15">
      <c r="A50" s="110" t="s">
        <v>775</v>
      </c>
      <c r="B50" s="40" t="s">
        <v>776</v>
      </c>
      <c r="C50" s="42" t="s">
        <v>777</v>
      </c>
      <c r="D50" s="122">
        <v>12050</v>
      </c>
      <c r="E50" s="121">
        <v>200000</v>
      </c>
      <c r="F50" s="115" t="s">
        <v>677</v>
      </c>
      <c r="G50" s="112" t="s">
        <v>693</v>
      </c>
    </row>
    <row r="51" spans="1:7" s="114" customFormat="1" ht="27" customHeight="1" x14ac:dyDescent="0.15">
      <c r="A51" s="110" t="s">
        <v>778</v>
      </c>
      <c r="B51" s="40" t="s">
        <v>779</v>
      </c>
      <c r="C51" s="58" t="s">
        <v>780</v>
      </c>
      <c r="D51" s="122">
        <v>12048</v>
      </c>
      <c r="E51" s="121">
        <v>675000</v>
      </c>
      <c r="F51" s="115" t="s">
        <v>774</v>
      </c>
      <c r="G51" s="112" t="s">
        <v>704</v>
      </c>
    </row>
    <row r="52" spans="1:7" s="114" customFormat="1" ht="27" customHeight="1" x14ac:dyDescent="0.15">
      <c r="A52" s="110" t="s">
        <v>781</v>
      </c>
      <c r="B52" s="134" t="s">
        <v>782</v>
      </c>
      <c r="C52" s="42" t="s">
        <v>783</v>
      </c>
      <c r="D52" s="122">
        <v>12022</v>
      </c>
      <c r="E52" s="121">
        <v>200000</v>
      </c>
      <c r="F52" s="115" t="s">
        <v>677</v>
      </c>
      <c r="G52" s="112" t="s">
        <v>693</v>
      </c>
    </row>
    <row r="53" spans="1:7" s="114" customFormat="1" ht="27" customHeight="1" x14ac:dyDescent="0.15">
      <c r="A53" s="110" t="s">
        <v>784</v>
      </c>
      <c r="B53" s="40" t="s">
        <v>696</v>
      </c>
      <c r="C53" s="58" t="s">
        <v>697</v>
      </c>
      <c r="D53" s="122">
        <v>11023</v>
      </c>
      <c r="E53" s="121">
        <v>51000</v>
      </c>
      <c r="F53" s="115" t="s">
        <v>785</v>
      </c>
      <c r="G53" s="112" t="s">
        <v>657</v>
      </c>
    </row>
    <row r="54" spans="1:7" s="114" customFormat="1" ht="27" customHeight="1" x14ac:dyDescent="0.15">
      <c r="A54" s="110" t="s">
        <v>786</v>
      </c>
      <c r="B54" s="44" t="s">
        <v>637</v>
      </c>
      <c r="C54" s="58" t="s">
        <v>691</v>
      </c>
      <c r="D54" s="122">
        <v>12004</v>
      </c>
      <c r="E54" s="121">
        <v>85000</v>
      </c>
      <c r="F54" s="115" t="s">
        <v>692</v>
      </c>
      <c r="G54" s="112" t="s">
        <v>693</v>
      </c>
    </row>
    <row r="55" spans="1:7" s="114" customFormat="1" ht="27" customHeight="1" x14ac:dyDescent="0.15">
      <c r="A55" s="110" t="s">
        <v>786</v>
      </c>
      <c r="B55" s="40" t="s">
        <v>637</v>
      </c>
      <c r="C55" s="58" t="s">
        <v>787</v>
      </c>
      <c r="D55" s="122">
        <v>13006</v>
      </c>
      <c r="E55" s="121">
        <v>85000</v>
      </c>
      <c r="F55" s="115" t="s">
        <v>692</v>
      </c>
      <c r="G55" s="112" t="s">
        <v>693</v>
      </c>
    </row>
    <row r="56" spans="1:7" s="114" customFormat="1" ht="27" customHeight="1" x14ac:dyDescent="0.15">
      <c r="A56" s="110" t="s">
        <v>788</v>
      </c>
      <c r="B56" s="40" t="s">
        <v>772</v>
      </c>
      <c r="C56" s="42" t="s">
        <v>789</v>
      </c>
      <c r="D56" s="122">
        <v>13010</v>
      </c>
      <c r="E56" s="121">
        <v>74000</v>
      </c>
      <c r="F56" s="115" t="s">
        <v>692</v>
      </c>
      <c r="G56" s="112" t="s">
        <v>693</v>
      </c>
    </row>
    <row r="57" spans="1:7" s="114" customFormat="1" ht="27" customHeight="1" x14ac:dyDescent="0.15">
      <c r="A57" s="110" t="s">
        <v>788</v>
      </c>
      <c r="B57" s="40" t="s">
        <v>790</v>
      </c>
      <c r="C57" s="58" t="s">
        <v>791</v>
      </c>
      <c r="D57" s="122">
        <v>13004</v>
      </c>
      <c r="E57" s="121">
        <v>250000</v>
      </c>
      <c r="F57" s="115" t="s">
        <v>703</v>
      </c>
      <c r="G57" s="112" t="s">
        <v>657</v>
      </c>
    </row>
    <row r="58" spans="1:7" s="114" customFormat="1" ht="27" customHeight="1" x14ac:dyDescent="0.15">
      <c r="A58" s="110" t="s">
        <v>792</v>
      </c>
      <c r="B58" s="40" t="s">
        <v>793</v>
      </c>
      <c r="C58" s="58" t="s">
        <v>794</v>
      </c>
      <c r="D58" s="122">
        <v>12054</v>
      </c>
      <c r="E58" s="121">
        <v>189000</v>
      </c>
      <c r="F58" s="115" t="s">
        <v>668</v>
      </c>
      <c r="G58" s="112" t="s">
        <v>693</v>
      </c>
    </row>
    <row r="59" spans="1:7" s="114" customFormat="1" ht="27" customHeight="1" x14ac:dyDescent="0.15">
      <c r="A59" s="110" t="s">
        <v>792</v>
      </c>
      <c r="B59" s="65" t="s">
        <v>38</v>
      </c>
      <c r="C59" s="58" t="s">
        <v>712</v>
      </c>
      <c r="D59" s="122">
        <v>11020</v>
      </c>
      <c r="E59" s="121">
        <v>24250</v>
      </c>
      <c r="F59" s="115" t="s">
        <v>785</v>
      </c>
      <c r="G59" s="112" t="s">
        <v>693</v>
      </c>
    </row>
    <row r="60" spans="1:7" s="114" customFormat="1" ht="27" customHeight="1" x14ac:dyDescent="0.15">
      <c r="A60" s="110" t="s">
        <v>795</v>
      </c>
      <c r="B60" s="65" t="s">
        <v>3</v>
      </c>
      <c r="C60" s="42" t="s">
        <v>687</v>
      </c>
      <c r="D60" s="122">
        <v>11010</v>
      </c>
      <c r="E60" s="121">
        <v>90000</v>
      </c>
      <c r="F60" s="115" t="s">
        <v>796</v>
      </c>
      <c r="G60" s="112" t="s">
        <v>662</v>
      </c>
    </row>
    <row r="61" spans="1:7" s="114" customFormat="1" ht="27" customHeight="1" x14ac:dyDescent="0.15">
      <c r="A61" s="110" t="s">
        <v>795</v>
      </c>
      <c r="B61" s="65" t="s">
        <v>0</v>
      </c>
      <c r="C61" s="42" t="s">
        <v>684</v>
      </c>
      <c r="D61" s="122">
        <v>11011</v>
      </c>
      <c r="E61" s="121">
        <v>90000</v>
      </c>
      <c r="F61" s="115" t="s">
        <v>796</v>
      </c>
      <c r="G61" s="112" t="s">
        <v>662</v>
      </c>
    </row>
    <row r="62" spans="1:7" s="114" customFormat="1" ht="27" customHeight="1" x14ac:dyDescent="0.15">
      <c r="A62" s="110" t="s">
        <v>795</v>
      </c>
      <c r="B62" s="65" t="s">
        <v>3</v>
      </c>
      <c r="C62" s="42" t="s">
        <v>680</v>
      </c>
      <c r="D62" s="122">
        <v>11012</v>
      </c>
      <c r="E62" s="121">
        <v>90000</v>
      </c>
      <c r="F62" s="115" t="s">
        <v>796</v>
      </c>
      <c r="G62" s="112" t="s">
        <v>662</v>
      </c>
    </row>
    <row r="63" spans="1:7" s="114" customFormat="1" ht="27" customHeight="1" x14ac:dyDescent="0.15">
      <c r="A63" s="110" t="s">
        <v>795</v>
      </c>
      <c r="B63" s="40" t="s">
        <v>616</v>
      </c>
      <c r="C63" s="42" t="s">
        <v>685</v>
      </c>
      <c r="D63" s="122">
        <v>11036</v>
      </c>
      <c r="E63" s="121">
        <v>90000</v>
      </c>
      <c r="F63" s="115" t="s">
        <v>796</v>
      </c>
      <c r="G63" s="112" t="s">
        <v>662</v>
      </c>
    </row>
    <row r="64" spans="1:7" s="114" customFormat="1" ht="27" customHeight="1" x14ac:dyDescent="0.15">
      <c r="A64" s="110" t="s">
        <v>795</v>
      </c>
      <c r="B64" s="40" t="s">
        <v>682</v>
      </c>
      <c r="C64" s="42" t="s">
        <v>683</v>
      </c>
      <c r="D64" s="122">
        <v>11037</v>
      </c>
      <c r="E64" s="121">
        <v>90000</v>
      </c>
      <c r="F64" s="115" t="s">
        <v>796</v>
      </c>
      <c r="G64" s="112" t="s">
        <v>662</v>
      </c>
    </row>
    <row r="65" spans="1:7" s="114" customFormat="1" ht="27" customHeight="1" x14ac:dyDescent="0.15">
      <c r="A65" s="110" t="s">
        <v>797</v>
      </c>
      <c r="B65" s="40" t="s">
        <v>6</v>
      </c>
      <c r="C65" s="42" t="s">
        <v>701</v>
      </c>
      <c r="D65" s="122">
        <v>10005</v>
      </c>
      <c r="E65" s="121">
        <v>80000</v>
      </c>
      <c r="F65" s="115" t="s">
        <v>798</v>
      </c>
      <c r="G65" s="112" t="s">
        <v>693</v>
      </c>
    </row>
    <row r="66" spans="1:7" s="114" customFormat="1" ht="27" customHeight="1" x14ac:dyDescent="0.15">
      <c r="A66" s="110" t="s">
        <v>799</v>
      </c>
      <c r="B66" s="44" t="s">
        <v>700</v>
      </c>
      <c r="C66" s="42" t="s">
        <v>701</v>
      </c>
      <c r="D66" s="122">
        <v>12018</v>
      </c>
      <c r="E66" s="121">
        <v>120000</v>
      </c>
      <c r="F66" s="115" t="s">
        <v>800</v>
      </c>
      <c r="G66" s="112" t="s">
        <v>693</v>
      </c>
    </row>
    <row r="67" spans="1:7" s="114" customFormat="1" ht="27" customHeight="1" x14ac:dyDescent="0.15">
      <c r="A67" s="110" t="s">
        <v>799</v>
      </c>
      <c r="B67" s="44" t="s">
        <v>700</v>
      </c>
      <c r="C67" s="42" t="s">
        <v>701</v>
      </c>
      <c r="D67" s="122">
        <v>12019</v>
      </c>
      <c r="E67" s="121">
        <v>10000</v>
      </c>
      <c r="F67" s="115" t="s">
        <v>785</v>
      </c>
      <c r="G67" s="112" t="s">
        <v>693</v>
      </c>
    </row>
    <row r="68" spans="1:7" s="114" customFormat="1" ht="27" customHeight="1" x14ac:dyDescent="0.15">
      <c r="A68" s="110" t="s">
        <v>801</v>
      </c>
      <c r="B68" s="40" t="s">
        <v>100</v>
      </c>
      <c r="C68" s="58" t="s">
        <v>768</v>
      </c>
      <c r="D68" s="122">
        <v>13009</v>
      </c>
      <c r="E68" s="121">
        <f>900000-8400</f>
        <v>891600</v>
      </c>
      <c r="F68" s="115" t="s">
        <v>802</v>
      </c>
      <c r="G68" s="112" t="s">
        <v>693</v>
      </c>
    </row>
    <row r="69" spans="1:7" s="114" customFormat="1" ht="27" customHeight="1" x14ac:dyDescent="0.15">
      <c r="A69" s="110" t="s">
        <v>803</v>
      </c>
      <c r="B69" s="134" t="s">
        <v>782</v>
      </c>
      <c r="C69" s="42" t="s">
        <v>783</v>
      </c>
      <c r="D69" s="122">
        <v>12022</v>
      </c>
      <c r="E69" s="121">
        <v>59000</v>
      </c>
      <c r="F69" s="115" t="s">
        <v>677</v>
      </c>
      <c r="G69" s="112" t="s">
        <v>693</v>
      </c>
    </row>
    <row r="70" spans="1:7" s="114" customFormat="1" ht="27" customHeight="1" x14ac:dyDescent="0.15">
      <c r="A70" s="110" t="s">
        <v>804</v>
      </c>
      <c r="B70" s="44" t="s">
        <v>675</v>
      </c>
      <c r="C70" s="42" t="s">
        <v>805</v>
      </c>
      <c r="D70" s="122">
        <v>12003</v>
      </c>
      <c r="E70" s="121">
        <v>820000</v>
      </c>
      <c r="F70" s="115" t="s">
        <v>806</v>
      </c>
      <c r="G70" s="112" t="s">
        <v>678</v>
      </c>
    </row>
    <row r="71" spans="1:7" s="114" customFormat="1" ht="27" customHeight="1" x14ac:dyDescent="0.15">
      <c r="A71" s="110" t="s">
        <v>804</v>
      </c>
      <c r="B71" s="40" t="s">
        <v>772</v>
      </c>
      <c r="C71" s="42" t="s">
        <v>789</v>
      </c>
      <c r="D71" s="122">
        <v>11022</v>
      </c>
      <c r="E71" s="121">
        <v>40800</v>
      </c>
      <c r="F71" s="115" t="s">
        <v>785</v>
      </c>
      <c r="G71" s="112" t="s">
        <v>693</v>
      </c>
    </row>
    <row r="72" spans="1:7" s="114" customFormat="1" ht="27" customHeight="1" x14ac:dyDescent="0.15">
      <c r="A72" s="110" t="s">
        <v>807</v>
      </c>
      <c r="B72" s="44" t="s">
        <v>682</v>
      </c>
      <c r="C72" s="42" t="s">
        <v>683</v>
      </c>
      <c r="D72" s="122">
        <v>11001</v>
      </c>
      <c r="E72" s="121">
        <v>29000</v>
      </c>
      <c r="F72" s="115" t="s">
        <v>785</v>
      </c>
      <c r="G72" s="112" t="s">
        <v>662</v>
      </c>
    </row>
    <row r="73" spans="1:7" s="114" customFormat="1" ht="27" customHeight="1" x14ac:dyDescent="0.15">
      <c r="A73" s="110" t="s">
        <v>808</v>
      </c>
      <c r="B73" s="40" t="s">
        <v>767</v>
      </c>
      <c r="C73" s="58" t="s">
        <v>768</v>
      </c>
      <c r="D73" s="122">
        <v>13008</v>
      </c>
      <c r="E73" s="121">
        <v>113814</v>
      </c>
      <c r="F73" s="115" t="s">
        <v>800</v>
      </c>
      <c r="G73" s="112" t="s">
        <v>693</v>
      </c>
    </row>
    <row r="74" spans="1:7" s="114" customFormat="1" ht="27" customHeight="1" x14ac:dyDescent="0.15">
      <c r="A74" s="110" t="s">
        <v>809</v>
      </c>
      <c r="B74" s="44" t="s">
        <v>810</v>
      </c>
      <c r="C74" s="58" t="s">
        <v>811</v>
      </c>
      <c r="D74" s="122">
        <v>13007</v>
      </c>
      <c r="E74" s="121">
        <v>252000</v>
      </c>
      <c r="F74" s="115" t="s">
        <v>812</v>
      </c>
      <c r="G74" s="112" t="s">
        <v>669</v>
      </c>
    </row>
    <row r="75" spans="1:7" s="114" customFormat="1" ht="27" customHeight="1" x14ac:dyDescent="0.15">
      <c r="A75" s="110" t="s">
        <v>813</v>
      </c>
      <c r="B75" s="40" t="s">
        <v>814</v>
      </c>
      <c r="C75" s="42" t="s">
        <v>815</v>
      </c>
      <c r="D75" s="122">
        <v>13012</v>
      </c>
      <c r="E75" s="121">
        <v>239550</v>
      </c>
      <c r="F75" s="115" t="s">
        <v>800</v>
      </c>
      <c r="G75" s="112" t="s">
        <v>693</v>
      </c>
    </row>
    <row r="76" spans="1:7" s="114" customFormat="1" ht="27" customHeight="1" x14ac:dyDescent="0.15">
      <c r="A76" s="110" t="s">
        <v>816</v>
      </c>
      <c r="B76" s="40" t="s">
        <v>817</v>
      </c>
      <c r="C76" s="40" t="s">
        <v>701</v>
      </c>
      <c r="D76" s="122">
        <v>13017</v>
      </c>
      <c r="E76" s="121">
        <v>200000</v>
      </c>
      <c r="F76" s="115" t="s">
        <v>802</v>
      </c>
      <c r="G76" s="112" t="s">
        <v>693</v>
      </c>
    </row>
    <row r="77" spans="1:7" s="114" customFormat="1" ht="27" customHeight="1" x14ac:dyDescent="0.15">
      <c r="A77" s="110" t="s">
        <v>818</v>
      </c>
      <c r="B77" s="40" t="s">
        <v>616</v>
      </c>
      <c r="C77" s="42" t="s">
        <v>685</v>
      </c>
      <c r="D77" s="122">
        <v>11002</v>
      </c>
      <c r="E77" s="121">
        <v>29000</v>
      </c>
      <c r="F77" s="115" t="s">
        <v>785</v>
      </c>
      <c r="G77" s="112" t="s">
        <v>662</v>
      </c>
    </row>
    <row r="78" spans="1:7" s="114" customFormat="1" ht="27" customHeight="1" x14ac:dyDescent="0.15">
      <c r="A78" s="110" t="s">
        <v>819</v>
      </c>
      <c r="B78" s="40" t="s">
        <v>595</v>
      </c>
      <c r="C78" s="42" t="s">
        <v>820</v>
      </c>
      <c r="D78" s="122">
        <v>11019</v>
      </c>
      <c r="E78" s="121">
        <v>100000</v>
      </c>
      <c r="F78" s="115" t="s">
        <v>677</v>
      </c>
      <c r="G78" s="112" t="s">
        <v>693</v>
      </c>
    </row>
    <row r="79" spans="1:7" s="114" customFormat="1" ht="27" customHeight="1" x14ac:dyDescent="0.15">
      <c r="A79" s="110" t="s">
        <v>821</v>
      </c>
      <c r="B79" s="40" t="s">
        <v>700</v>
      </c>
      <c r="C79" s="42" t="s">
        <v>701</v>
      </c>
      <c r="D79" s="122">
        <v>12018</v>
      </c>
      <c r="E79" s="121">
        <v>15000</v>
      </c>
      <c r="F79" s="115" t="s">
        <v>822</v>
      </c>
      <c r="G79" s="112" t="s">
        <v>693</v>
      </c>
    </row>
    <row r="80" spans="1:7" s="114" customFormat="1" ht="27" customHeight="1" x14ac:dyDescent="0.15">
      <c r="A80" s="110" t="s">
        <v>823</v>
      </c>
      <c r="B80" s="40" t="s">
        <v>824</v>
      </c>
      <c r="C80" s="42" t="s">
        <v>825</v>
      </c>
      <c r="D80" s="43">
        <v>13013</v>
      </c>
      <c r="E80" s="121">
        <v>165780</v>
      </c>
      <c r="F80" s="115" t="s">
        <v>800</v>
      </c>
      <c r="G80" s="112" t="s">
        <v>693</v>
      </c>
    </row>
    <row r="81" spans="1:7" s="114" customFormat="1" ht="27" customHeight="1" x14ac:dyDescent="0.15">
      <c r="A81" s="110" t="s">
        <v>823</v>
      </c>
      <c r="B81" s="40" t="s">
        <v>824</v>
      </c>
      <c r="C81" s="42" t="s">
        <v>825</v>
      </c>
      <c r="D81" s="43">
        <v>13014</v>
      </c>
      <c r="E81" s="121">
        <v>67500</v>
      </c>
      <c r="F81" s="115" t="s">
        <v>800</v>
      </c>
      <c r="G81" s="112" t="s">
        <v>693</v>
      </c>
    </row>
    <row r="82" spans="1:7" s="114" customFormat="1" ht="27" customHeight="1" x14ac:dyDescent="0.15">
      <c r="A82" s="110" t="s">
        <v>826</v>
      </c>
      <c r="B82" s="45" t="s">
        <v>764</v>
      </c>
      <c r="C82" s="42" t="s">
        <v>761</v>
      </c>
      <c r="D82" s="43">
        <v>11048</v>
      </c>
      <c r="E82" s="121">
        <v>12500</v>
      </c>
      <c r="F82" s="115" t="s">
        <v>827</v>
      </c>
      <c r="G82" s="112" t="s">
        <v>693</v>
      </c>
    </row>
    <row r="83" spans="1:7" s="114" customFormat="1" ht="27" customHeight="1" x14ac:dyDescent="0.15">
      <c r="A83" s="110" t="s">
        <v>826</v>
      </c>
      <c r="B83" s="40" t="s">
        <v>57</v>
      </c>
      <c r="C83" s="42" t="s">
        <v>761</v>
      </c>
      <c r="D83" s="43">
        <v>11048</v>
      </c>
      <c r="E83" s="121">
        <v>12500</v>
      </c>
      <c r="F83" s="115" t="s">
        <v>827</v>
      </c>
      <c r="G83" s="112" t="s">
        <v>693</v>
      </c>
    </row>
    <row r="84" spans="1:7" s="114" customFormat="1" ht="27" customHeight="1" x14ac:dyDescent="0.15">
      <c r="A84" s="110" t="s">
        <v>828</v>
      </c>
      <c r="B84" s="89" t="s">
        <v>829</v>
      </c>
      <c r="C84" s="42" t="s">
        <v>109</v>
      </c>
      <c r="D84" s="122">
        <v>13026</v>
      </c>
      <c r="E84" s="121">
        <v>167950</v>
      </c>
      <c r="F84" s="115" t="s">
        <v>848</v>
      </c>
      <c r="G84" s="112" t="s">
        <v>849</v>
      </c>
    </row>
    <row r="85" spans="1:7" s="114" customFormat="1" ht="27" customHeight="1" x14ac:dyDescent="0.15">
      <c r="A85" s="110" t="s">
        <v>850</v>
      </c>
      <c r="B85" s="89" t="s">
        <v>851</v>
      </c>
      <c r="C85" s="89" t="s">
        <v>852</v>
      </c>
      <c r="D85" s="122">
        <v>13001</v>
      </c>
      <c r="E85" s="121">
        <v>79400</v>
      </c>
      <c r="F85" s="115" t="s">
        <v>853</v>
      </c>
      <c r="G85" s="115" t="s">
        <v>854</v>
      </c>
    </row>
    <row r="86" spans="1:7" s="114" customFormat="1" ht="27" customHeight="1" x14ac:dyDescent="0.15">
      <c r="A86" s="110" t="s">
        <v>830</v>
      </c>
      <c r="B86" s="40" t="s">
        <v>855</v>
      </c>
      <c r="C86" s="42" t="s">
        <v>856</v>
      </c>
      <c r="D86" s="122">
        <v>11013</v>
      </c>
      <c r="E86" s="121">
        <v>190000</v>
      </c>
      <c r="F86" s="115" t="s">
        <v>857</v>
      </c>
      <c r="G86" s="112" t="s">
        <v>849</v>
      </c>
    </row>
    <row r="87" spans="1:7" s="114" customFormat="1" ht="27" customHeight="1" x14ac:dyDescent="0.15">
      <c r="A87" s="110" t="s">
        <v>858</v>
      </c>
      <c r="B87" s="89" t="s">
        <v>859</v>
      </c>
      <c r="C87" s="89" t="s">
        <v>860</v>
      </c>
      <c r="D87" s="122">
        <v>13025</v>
      </c>
      <c r="E87" s="121">
        <v>77000</v>
      </c>
      <c r="F87" s="115" t="s">
        <v>861</v>
      </c>
      <c r="G87" s="112" t="s">
        <v>849</v>
      </c>
    </row>
    <row r="88" spans="1:7" s="114" customFormat="1" ht="27" customHeight="1" x14ac:dyDescent="0.15">
      <c r="A88" s="110" t="s">
        <v>862</v>
      </c>
      <c r="B88" s="65" t="s">
        <v>863</v>
      </c>
      <c r="C88" s="42" t="s">
        <v>864</v>
      </c>
      <c r="D88" s="122">
        <v>12017</v>
      </c>
      <c r="E88" s="121">
        <v>292784</v>
      </c>
      <c r="F88" s="115" t="s">
        <v>865</v>
      </c>
      <c r="G88" s="112" t="s">
        <v>849</v>
      </c>
    </row>
    <row r="89" spans="1:7" s="114" customFormat="1" ht="27" customHeight="1" x14ac:dyDescent="0.15">
      <c r="A89" s="110" t="s">
        <v>834</v>
      </c>
      <c r="B89" s="40" t="s">
        <v>866</v>
      </c>
      <c r="C89" s="42" t="s">
        <v>867</v>
      </c>
      <c r="D89" s="122">
        <v>13015</v>
      </c>
      <c r="E89" s="121">
        <v>437400</v>
      </c>
      <c r="F89" s="115" t="s">
        <v>868</v>
      </c>
      <c r="G89" s="112" t="s">
        <v>849</v>
      </c>
    </row>
    <row r="90" spans="1:7" s="114" customFormat="1" ht="27" customHeight="1" x14ac:dyDescent="0.15">
      <c r="A90" s="110" t="s">
        <v>869</v>
      </c>
      <c r="B90" s="89" t="s">
        <v>851</v>
      </c>
      <c r="C90" s="89" t="s">
        <v>852</v>
      </c>
      <c r="D90" s="122">
        <v>13001</v>
      </c>
      <c r="E90" s="121">
        <v>365</v>
      </c>
      <c r="F90" s="115" t="s">
        <v>870</v>
      </c>
      <c r="G90" s="115" t="s">
        <v>854</v>
      </c>
    </row>
    <row r="91" spans="1:7" s="114" customFormat="1" ht="27" customHeight="1" x14ac:dyDescent="0.15">
      <c r="A91" s="110" t="s">
        <v>871</v>
      </c>
      <c r="B91" s="40" t="s">
        <v>872</v>
      </c>
      <c r="C91" s="89" t="s">
        <v>873</v>
      </c>
      <c r="D91" s="122">
        <v>13002</v>
      </c>
      <c r="E91" s="121">
        <v>67040</v>
      </c>
      <c r="F91" s="115" t="s">
        <v>874</v>
      </c>
      <c r="G91" s="112" t="s">
        <v>849</v>
      </c>
    </row>
    <row r="92" spans="1:7" s="114" customFormat="1" ht="27" customHeight="1" x14ac:dyDescent="0.15">
      <c r="A92" s="110" t="s">
        <v>871</v>
      </c>
      <c r="B92" s="135" t="s">
        <v>855</v>
      </c>
      <c r="C92" s="42" t="s">
        <v>875</v>
      </c>
      <c r="D92" s="122">
        <v>13032</v>
      </c>
      <c r="E92" s="121">
        <v>225000</v>
      </c>
      <c r="F92" s="115" t="s">
        <v>876</v>
      </c>
      <c r="G92" s="112" t="s">
        <v>849</v>
      </c>
    </row>
    <row r="93" spans="1:7" s="114" customFormat="1" ht="27" customHeight="1" x14ac:dyDescent="0.15">
      <c r="A93" s="110" t="s">
        <v>835</v>
      </c>
      <c r="B93" s="135" t="s">
        <v>855</v>
      </c>
      <c r="C93" s="42" t="s">
        <v>877</v>
      </c>
      <c r="D93" s="122">
        <v>13033</v>
      </c>
      <c r="E93" s="121">
        <v>225000</v>
      </c>
      <c r="F93" s="115" t="s">
        <v>876</v>
      </c>
      <c r="G93" s="112" t="s">
        <v>849</v>
      </c>
    </row>
    <row r="94" spans="1:7" s="114" customFormat="1" ht="27" customHeight="1" x14ac:dyDescent="0.15">
      <c r="A94" s="110" t="s">
        <v>143</v>
      </c>
      <c r="B94" s="89" t="s">
        <v>878</v>
      </c>
      <c r="C94" s="58" t="s">
        <v>879</v>
      </c>
      <c r="D94" s="122">
        <v>13024</v>
      </c>
      <c r="E94" s="121">
        <v>340000</v>
      </c>
      <c r="F94" s="115" t="s">
        <v>876</v>
      </c>
      <c r="G94" s="112" t="s">
        <v>849</v>
      </c>
    </row>
    <row r="95" spans="1:7" s="114" customFormat="1" ht="27" customHeight="1" x14ac:dyDescent="0.15">
      <c r="A95" s="110" t="s">
        <v>880</v>
      </c>
      <c r="B95" s="135" t="s">
        <v>42</v>
      </c>
      <c r="C95" s="42" t="s">
        <v>881</v>
      </c>
      <c r="D95" s="122">
        <v>13034</v>
      </c>
      <c r="E95" s="121">
        <v>100000</v>
      </c>
      <c r="F95" s="115" t="s">
        <v>882</v>
      </c>
      <c r="G95" s="115" t="s">
        <v>883</v>
      </c>
    </row>
    <row r="96" spans="1:7" s="114" customFormat="1" ht="27" customHeight="1" x14ac:dyDescent="0.15">
      <c r="A96" s="110" t="s">
        <v>836</v>
      </c>
      <c r="B96" s="40" t="s">
        <v>884</v>
      </c>
      <c r="C96" s="42" t="s">
        <v>885</v>
      </c>
      <c r="D96" s="122">
        <v>13035</v>
      </c>
      <c r="E96" s="121">
        <v>100000</v>
      </c>
      <c r="F96" s="115" t="s">
        <v>882</v>
      </c>
      <c r="G96" s="115" t="s">
        <v>883</v>
      </c>
    </row>
    <row r="97" spans="1:7" s="114" customFormat="1" ht="27" customHeight="1" x14ac:dyDescent="0.15">
      <c r="A97" s="110" t="s">
        <v>145</v>
      </c>
      <c r="B97" s="135" t="s">
        <v>886</v>
      </c>
      <c r="C97" s="42" t="s">
        <v>887</v>
      </c>
      <c r="D97" s="122">
        <v>13022</v>
      </c>
      <c r="E97" s="121">
        <v>30000</v>
      </c>
      <c r="F97" s="115" t="s">
        <v>888</v>
      </c>
      <c r="G97" s="112" t="s">
        <v>849</v>
      </c>
    </row>
    <row r="98" spans="1:7" s="114" customFormat="1" ht="27" customHeight="1" x14ac:dyDescent="0.15">
      <c r="A98" s="110" t="s">
        <v>889</v>
      </c>
      <c r="B98" s="135" t="s">
        <v>890</v>
      </c>
      <c r="C98" s="42" t="s">
        <v>887</v>
      </c>
      <c r="D98" s="122">
        <v>13022</v>
      </c>
      <c r="E98" s="121">
        <v>30000</v>
      </c>
      <c r="F98" s="115" t="s">
        <v>888</v>
      </c>
      <c r="G98" s="112" t="s">
        <v>849</v>
      </c>
    </row>
    <row r="99" spans="1:7" s="114" customFormat="1" ht="27" customHeight="1" x14ac:dyDescent="0.15">
      <c r="A99" s="110" t="s">
        <v>889</v>
      </c>
      <c r="B99" s="135" t="s">
        <v>32</v>
      </c>
      <c r="C99" s="58" t="s">
        <v>891</v>
      </c>
      <c r="D99" s="122">
        <v>13005</v>
      </c>
      <c r="E99" s="121">
        <v>100000</v>
      </c>
      <c r="F99" s="115" t="s">
        <v>882</v>
      </c>
      <c r="G99" s="112" t="s">
        <v>849</v>
      </c>
    </row>
    <row r="100" spans="1:7" s="114" customFormat="1" ht="27" customHeight="1" x14ac:dyDescent="0.15">
      <c r="A100" s="110" t="s">
        <v>892</v>
      </c>
      <c r="B100" s="44" t="s">
        <v>893</v>
      </c>
      <c r="C100" s="42" t="s">
        <v>894</v>
      </c>
      <c r="D100" s="122">
        <v>12001</v>
      </c>
      <c r="E100" s="121">
        <v>1025000</v>
      </c>
      <c r="F100" s="115" t="s">
        <v>876</v>
      </c>
      <c r="G100" s="115" t="s">
        <v>895</v>
      </c>
    </row>
    <row r="101" spans="1:7" s="114" customFormat="1" ht="27" customHeight="1" x14ac:dyDescent="0.15">
      <c r="A101" s="110" t="s">
        <v>892</v>
      </c>
      <c r="B101" s="65" t="s">
        <v>896</v>
      </c>
      <c r="C101" s="42" t="s">
        <v>897</v>
      </c>
      <c r="D101" s="122">
        <v>12016</v>
      </c>
      <c r="E101" s="121">
        <v>279000</v>
      </c>
      <c r="F101" s="115" t="s">
        <v>865</v>
      </c>
      <c r="G101" s="112" t="s">
        <v>849</v>
      </c>
    </row>
    <row r="102" spans="1:7" s="114" customFormat="1" ht="27" customHeight="1" x14ac:dyDescent="0.15">
      <c r="A102" s="110" t="s">
        <v>892</v>
      </c>
      <c r="B102" s="40" t="s">
        <v>72</v>
      </c>
      <c r="C102" s="42" t="s">
        <v>898</v>
      </c>
      <c r="D102" s="122">
        <v>12014</v>
      </c>
      <c r="E102" s="121">
        <v>269970</v>
      </c>
      <c r="F102" s="115" t="s">
        <v>899</v>
      </c>
      <c r="G102" s="115" t="s">
        <v>883</v>
      </c>
    </row>
    <row r="103" spans="1:7" s="114" customFormat="1" ht="27" customHeight="1" x14ac:dyDescent="0.15">
      <c r="A103" s="110" t="s">
        <v>149</v>
      </c>
      <c r="B103" s="44" t="s">
        <v>85</v>
      </c>
      <c r="C103" s="42" t="s">
        <v>900</v>
      </c>
      <c r="D103" s="122">
        <v>12052</v>
      </c>
      <c r="E103" s="121">
        <v>671840</v>
      </c>
      <c r="F103" s="115" t="s">
        <v>865</v>
      </c>
      <c r="G103" s="115" t="s">
        <v>895</v>
      </c>
    </row>
    <row r="104" spans="1:7" s="114" customFormat="1" ht="27" customHeight="1" x14ac:dyDescent="0.15">
      <c r="A104" s="110" t="s">
        <v>901</v>
      </c>
      <c r="B104" s="44" t="s">
        <v>902</v>
      </c>
      <c r="C104" s="42" t="s">
        <v>903</v>
      </c>
      <c r="D104" s="122">
        <v>12008</v>
      </c>
      <c r="E104" s="121">
        <v>150000</v>
      </c>
      <c r="F104" s="115" t="s">
        <v>904</v>
      </c>
      <c r="G104" s="112" t="s">
        <v>849</v>
      </c>
    </row>
    <row r="105" spans="1:7" s="114" customFormat="1" ht="27" customHeight="1" x14ac:dyDescent="0.15">
      <c r="A105" s="110" t="s">
        <v>901</v>
      </c>
      <c r="B105" s="44" t="s">
        <v>905</v>
      </c>
      <c r="C105" s="42" t="s">
        <v>906</v>
      </c>
      <c r="D105" s="122">
        <v>12061</v>
      </c>
      <c r="E105" s="121">
        <v>400000</v>
      </c>
      <c r="F105" s="115" t="s">
        <v>907</v>
      </c>
      <c r="G105" s="112" t="s">
        <v>849</v>
      </c>
    </row>
    <row r="106" spans="1:7" s="114" customFormat="1" ht="27" customHeight="1" x14ac:dyDescent="0.15">
      <c r="A106" s="110" t="s">
        <v>151</v>
      </c>
      <c r="B106" s="44" t="s">
        <v>908</v>
      </c>
      <c r="C106" s="42" t="s">
        <v>909</v>
      </c>
      <c r="D106" s="122">
        <v>12009</v>
      </c>
      <c r="E106" s="121">
        <v>150000</v>
      </c>
      <c r="F106" s="115" t="s">
        <v>904</v>
      </c>
      <c r="G106" s="112" t="s">
        <v>849</v>
      </c>
    </row>
    <row r="107" spans="1:7" s="114" customFormat="1" ht="27" customHeight="1" x14ac:dyDescent="0.15">
      <c r="A107" s="110" t="s">
        <v>151</v>
      </c>
      <c r="B107" s="44" t="s">
        <v>20</v>
      </c>
      <c r="C107" s="42" t="s">
        <v>910</v>
      </c>
      <c r="D107" s="122">
        <v>11006</v>
      </c>
      <c r="E107" s="121">
        <v>200000</v>
      </c>
      <c r="F107" s="115" t="s">
        <v>904</v>
      </c>
      <c r="G107" s="112" t="s">
        <v>849</v>
      </c>
    </row>
    <row r="108" spans="1:7" s="114" customFormat="1" ht="27" customHeight="1" x14ac:dyDescent="0.15">
      <c r="A108" s="110" t="s">
        <v>151</v>
      </c>
      <c r="B108" s="44" t="s">
        <v>911</v>
      </c>
      <c r="C108" s="42" t="s">
        <v>912</v>
      </c>
      <c r="D108" s="122">
        <v>11008</v>
      </c>
      <c r="E108" s="121">
        <v>200000</v>
      </c>
      <c r="F108" s="115" t="s">
        <v>904</v>
      </c>
      <c r="G108" s="112" t="s">
        <v>849</v>
      </c>
    </row>
    <row r="109" spans="1:7" s="114" customFormat="1" ht="27" customHeight="1" x14ac:dyDescent="0.15">
      <c r="A109" s="110" t="s">
        <v>151</v>
      </c>
      <c r="B109" s="44" t="s">
        <v>913</v>
      </c>
      <c r="C109" s="44" t="s">
        <v>914</v>
      </c>
      <c r="D109" s="122">
        <v>11021</v>
      </c>
      <c r="E109" s="121">
        <v>160000</v>
      </c>
      <c r="F109" s="115" t="s">
        <v>904</v>
      </c>
      <c r="G109" s="112" t="s">
        <v>849</v>
      </c>
    </row>
    <row r="110" spans="1:7" s="114" customFormat="1" ht="27" customHeight="1" x14ac:dyDescent="0.15">
      <c r="A110" s="110" t="s">
        <v>151</v>
      </c>
      <c r="B110" s="40" t="s">
        <v>855</v>
      </c>
      <c r="C110" s="89" t="s">
        <v>915</v>
      </c>
      <c r="D110" s="122">
        <v>12049</v>
      </c>
      <c r="E110" s="121">
        <v>120000</v>
      </c>
      <c r="F110" s="115" t="s">
        <v>916</v>
      </c>
      <c r="G110" s="112" t="s">
        <v>849</v>
      </c>
    </row>
    <row r="111" spans="1:7" s="114" customFormat="1" ht="27" customHeight="1" x14ac:dyDescent="0.15">
      <c r="A111" s="110" t="s">
        <v>151</v>
      </c>
      <c r="B111" s="136" t="s">
        <v>917</v>
      </c>
      <c r="C111" s="90" t="s">
        <v>918</v>
      </c>
      <c r="D111" s="122">
        <v>13024</v>
      </c>
      <c r="E111" s="121">
        <v>18000</v>
      </c>
      <c r="F111" s="115" t="s">
        <v>919</v>
      </c>
      <c r="G111" s="112" t="s">
        <v>920</v>
      </c>
    </row>
    <row r="112" spans="1:7" s="114" customFormat="1" ht="27" customHeight="1" x14ac:dyDescent="0.15">
      <c r="A112" s="110" t="s">
        <v>151</v>
      </c>
      <c r="B112" s="65" t="s">
        <v>3</v>
      </c>
      <c r="C112" s="42" t="s">
        <v>921</v>
      </c>
      <c r="D112" s="122">
        <v>11010</v>
      </c>
      <c r="E112" s="121">
        <v>90000</v>
      </c>
      <c r="F112" s="115" t="s">
        <v>922</v>
      </c>
      <c r="G112" s="112" t="s">
        <v>923</v>
      </c>
    </row>
    <row r="113" spans="1:7" s="114" customFormat="1" ht="27" customHeight="1" x14ac:dyDescent="0.15">
      <c r="A113" s="110" t="s">
        <v>151</v>
      </c>
      <c r="B113" s="65" t="s">
        <v>0</v>
      </c>
      <c r="C113" s="42" t="s">
        <v>924</v>
      </c>
      <c r="D113" s="122">
        <v>11011</v>
      </c>
      <c r="E113" s="121">
        <v>90000</v>
      </c>
      <c r="F113" s="115" t="s">
        <v>922</v>
      </c>
      <c r="G113" s="112" t="s">
        <v>923</v>
      </c>
    </row>
    <row r="114" spans="1:7" s="114" customFormat="1" ht="27" customHeight="1" x14ac:dyDescent="0.15">
      <c r="A114" s="110" t="s">
        <v>151</v>
      </c>
      <c r="B114" s="65" t="s">
        <v>3</v>
      </c>
      <c r="C114" s="42" t="s">
        <v>925</v>
      </c>
      <c r="D114" s="122">
        <v>11012</v>
      </c>
      <c r="E114" s="121">
        <v>90000</v>
      </c>
      <c r="F114" s="115" t="s">
        <v>922</v>
      </c>
      <c r="G114" s="112" t="s">
        <v>923</v>
      </c>
    </row>
    <row r="115" spans="1:7" s="114" customFormat="1" ht="27" customHeight="1" x14ac:dyDescent="0.15">
      <c r="A115" s="110" t="s">
        <v>151</v>
      </c>
      <c r="B115" s="44" t="s">
        <v>926</v>
      </c>
      <c r="C115" s="42" t="s">
        <v>927</v>
      </c>
      <c r="D115" s="122">
        <v>11036</v>
      </c>
      <c r="E115" s="121">
        <v>90000</v>
      </c>
      <c r="F115" s="115" t="s">
        <v>922</v>
      </c>
      <c r="G115" s="112" t="s">
        <v>923</v>
      </c>
    </row>
    <row r="116" spans="1:7" s="114" customFormat="1" ht="27" customHeight="1" x14ac:dyDescent="0.15">
      <c r="A116" s="110" t="s">
        <v>151</v>
      </c>
      <c r="B116" s="44" t="s">
        <v>928</v>
      </c>
      <c r="C116" s="42" t="s">
        <v>929</v>
      </c>
      <c r="D116" s="122">
        <v>11037</v>
      </c>
      <c r="E116" s="121">
        <v>90000</v>
      </c>
      <c r="F116" s="115" t="s">
        <v>922</v>
      </c>
      <c r="G116" s="112" t="s">
        <v>923</v>
      </c>
    </row>
    <row r="117" spans="1:7" s="114" customFormat="1" ht="27" customHeight="1" x14ac:dyDescent="0.15">
      <c r="A117" s="110" t="s">
        <v>151</v>
      </c>
      <c r="B117" s="40" t="s">
        <v>930</v>
      </c>
      <c r="C117" s="42" t="s">
        <v>931</v>
      </c>
      <c r="D117" s="122">
        <v>13020</v>
      </c>
      <c r="E117" s="121">
        <v>140000</v>
      </c>
      <c r="F117" s="115" t="s">
        <v>932</v>
      </c>
      <c r="G117" s="112" t="s">
        <v>920</v>
      </c>
    </row>
    <row r="118" spans="1:7" s="114" customFormat="1" ht="27" customHeight="1" x14ac:dyDescent="0.15">
      <c r="A118" s="110" t="s">
        <v>147</v>
      </c>
      <c r="B118" s="44" t="s">
        <v>44</v>
      </c>
      <c r="C118" s="42" t="s">
        <v>933</v>
      </c>
      <c r="D118" s="122">
        <v>12062</v>
      </c>
      <c r="E118" s="121">
        <v>400000</v>
      </c>
      <c r="F118" s="115" t="s">
        <v>907</v>
      </c>
      <c r="G118" s="112" t="s">
        <v>849</v>
      </c>
    </row>
    <row r="119" spans="1:7" s="114" customFormat="1" ht="27" customHeight="1" x14ac:dyDescent="0.15">
      <c r="A119" s="110" t="s">
        <v>147</v>
      </c>
      <c r="B119" s="44" t="s">
        <v>14</v>
      </c>
      <c r="C119" s="42" t="s">
        <v>934</v>
      </c>
      <c r="D119" s="122">
        <v>11003</v>
      </c>
      <c r="E119" s="121">
        <v>200000</v>
      </c>
      <c r="F119" s="115" t="s">
        <v>904</v>
      </c>
      <c r="G119" s="112" t="s">
        <v>849</v>
      </c>
    </row>
    <row r="120" spans="1:7" s="114" customFormat="1" ht="27" customHeight="1" x14ac:dyDescent="0.15">
      <c r="A120" s="110" t="s">
        <v>935</v>
      </c>
      <c r="B120" s="89" t="s">
        <v>851</v>
      </c>
      <c r="C120" s="89" t="s">
        <v>852</v>
      </c>
      <c r="D120" s="122">
        <v>13001</v>
      </c>
      <c r="E120" s="121">
        <v>168000</v>
      </c>
      <c r="F120" s="115" t="s">
        <v>936</v>
      </c>
      <c r="G120" s="115" t="s">
        <v>854</v>
      </c>
    </row>
    <row r="121" spans="1:7" s="114" customFormat="1" ht="27" customHeight="1" x14ac:dyDescent="0.15">
      <c r="A121" s="1188" t="s">
        <v>937</v>
      </c>
      <c r="B121" s="1189"/>
      <c r="C121" s="1189"/>
      <c r="D121" s="1190"/>
      <c r="E121" s="130">
        <f>SUM(E3:E120)</f>
        <v>24320629.600000001</v>
      </c>
      <c r="F121" s="112"/>
      <c r="G121" s="112"/>
    </row>
    <row r="122" spans="1:7" ht="27" customHeight="1" x14ac:dyDescent="0.15">
      <c r="E122" s="131"/>
      <c r="F122" s="126" t="s">
        <v>938</v>
      </c>
    </row>
  </sheetData>
  <mergeCells count="2">
    <mergeCell ref="A1:G1"/>
    <mergeCell ref="A121:D121"/>
  </mergeCells>
  <phoneticPr fontId="11" type="noConversion"/>
  <pageMargins left="0.7" right="0.7" top="0.75" bottom="0.75" header="0.3" footer="0.3"/>
  <pageSetup paperSize="9" orientation="portrait" verticalDpi="18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6"/>
  <sheetViews>
    <sheetView workbookViewId="0">
      <selection sqref="A1:F1"/>
    </sheetView>
  </sheetViews>
  <sheetFormatPr defaultColWidth="13.625" defaultRowHeight="21" customHeight="1" x14ac:dyDescent="0.15"/>
  <cols>
    <col min="1" max="1" width="10.25" style="103" bestFit="1" customWidth="1"/>
    <col min="2" max="2" width="31.125" style="103" customWidth="1"/>
    <col min="3" max="3" width="11" style="103" customWidth="1"/>
    <col min="4" max="4" width="7.75" style="103" customWidth="1"/>
    <col min="5" max="5" width="16" style="125" customWidth="1"/>
    <col min="6" max="6" width="24.125" style="103" bestFit="1" customWidth="1"/>
    <col min="7" max="16384" width="13.625" style="103"/>
  </cols>
  <sheetData>
    <row r="1" spans="1:6" ht="24.75" customHeight="1" x14ac:dyDescent="0.15">
      <c r="A1" s="1191" t="s">
        <v>939</v>
      </c>
      <c r="B1" s="1191"/>
      <c r="C1" s="1191"/>
      <c r="D1" s="1191"/>
      <c r="E1" s="1191"/>
      <c r="F1" s="1191"/>
    </row>
    <row r="2" spans="1:6" s="107" customFormat="1" ht="21" customHeight="1" x14ac:dyDescent="0.15">
      <c r="A2" s="104" t="s">
        <v>646</v>
      </c>
      <c r="B2" s="104" t="s">
        <v>647</v>
      </c>
      <c r="C2" s="104" t="s">
        <v>648</v>
      </c>
      <c r="D2" s="104" t="s">
        <v>649</v>
      </c>
      <c r="E2" s="105" t="s">
        <v>650</v>
      </c>
      <c r="F2" s="104" t="s">
        <v>651</v>
      </c>
    </row>
    <row r="3" spans="1:6" s="107" customFormat="1" ht="21" customHeight="1" x14ac:dyDescent="0.15">
      <c r="A3" s="108" t="s">
        <v>940</v>
      </c>
      <c r="B3" s="106" t="s">
        <v>30</v>
      </c>
      <c r="C3" s="106" t="s">
        <v>31</v>
      </c>
      <c r="D3" s="106">
        <v>11015</v>
      </c>
      <c r="E3" s="109">
        <v>295000</v>
      </c>
      <c r="F3" s="106" t="s">
        <v>941</v>
      </c>
    </row>
    <row r="4" spans="1:6" s="107" customFormat="1" ht="21" customHeight="1" x14ac:dyDescent="0.15">
      <c r="A4" s="108" t="s">
        <v>940</v>
      </c>
      <c r="B4" s="106" t="s">
        <v>545</v>
      </c>
      <c r="C4" s="106" t="s">
        <v>942</v>
      </c>
      <c r="D4" s="106">
        <v>11010</v>
      </c>
      <c r="E4" s="109">
        <v>90000</v>
      </c>
      <c r="F4" s="106" t="s">
        <v>943</v>
      </c>
    </row>
    <row r="5" spans="1:6" s="107" customFormat="1" ht="21" customHeight="1" x14ac:dyDescent="0.15">
      <c r="A5" s="108" t="s">
        <v>940</v>
      </c>
      <c r="B5" s="106" t="s">
        <v>944</v>
      </c>
      <c r="C5" s="106" t="s">
        <v>945</v>
      </c>
      <c r="D5" s="106">
        <v>11012</v>
      </c>
      <c r="E5" s="109">
        <v>90000</v>
      </c>
      <c r="F5" s="106" t="s">
        <v>943</v>
      </c>
    </row>
    <row r="6" spans="1:6" s="107" customFormat="1" ht="21" customHeight="1" x14ac:dyDescent="0.15">
      <c r="A6" s="108" t="s">
        <v>940</v>
      </c>
      <c r="B6" s="106" t="s">
        <v>946</v>
      </c>
      <c r="C6" s="137" t="s">
        <v>845</v>
      </c>
      <c r="D6" s="106">
        <v>11036</v>
      </c>
      <c r="E6" s="109">
        <v>90000</v>
      </c>
      <c r="F6" s="106" t="s">
        <v>943</v>
      </c>
    </row>
    <row r="7" spans="1:6" s="107" customFormat="1" ht="21" customHeight="1" x14ac:dyDescent="0.15">
      <c r="A7" s="108" t="s">
        <v>940</v>
      </c>
      <c r="B7" s="106" t="s">
        <v>612</v>
      </c>
      <c r="C7" s="106" t="s">
        <v>844</v>
      </c>
      <c r="D7" s="106">
        <v>11011</v>
      </c>
      <c r="E7" s="109">
        <v>90000</v>
      </c>
      <c r="F7" s="106" t="s">
        <v>943</v>
      </c>
    </row>
    <row r="8" spans="1:6" s="107" customFormat="1" ht="21" customHeight="1" x14ac:dyDescent="0.15">
      <c r="A8" s="108" t="s">
        <v>940</v>
      </c>
      <c r="B8" s="106" t="s">
        <v>947</v>
      </c>
      <c r="C8" s="137" t="s">
        <v>846</v>
      </c>
      <c r="D8" s="106">
        <v>11037</v>
      </c>
      <c r="E8" s="109">
        <v>90000</v>
      </c>
      <c r="F8" s="106" t="s">
        <v>943</v>
      </c>
    </row>
    <row r="9" spans="1:6" s="107" customFormat="1" ht="21" customHeight="1" x14ac:dyDescent="0.15">
      <c r="A9" s="108" t="s">
        <v>948</v>
      </c>
      <c r="B9" s="106" t="s">
        <v>637</v>
      </c>
      <c r="C9" s="106" t="s">
        <v>50</v>
      </c>
      <c r="D9" s="106">
        <v>11039</v>
      </c>
      <c r="E9" s="109">
        <v>130000</v>
      </c>
      <c r="F9" s="106" t="s">
        <v>949</v>
      </c>
    </row>
    <row r="10" spans="1:6" s="107" customFormat="1" ht="21" customHeight="1" x14ac:dyDescent="0.15">
      <c r="A10" s="108" t="s">
        <v>950</v>
      </c>
      <c r="B10" s="106" t="s">
        <v>951</v>
      </c>
      <c r="C10" s="106" t="s">
        <v>952</v>
      </c>
      <c r="D10" s="106">
        <v>11048</v>
      </c>
      <c r="E10" s="109">
        <v>62500</v>
      </c>
      <c r="F10" s="1192" t="s">
        <v>953</v>
      </c>
    </row>
    <row r="11" spans="1:6" s="107" customFormat="1" ht="21" customHeight="1" x14ac:dyDescent="0.15">
      <c r="A11" s="108" t="s">
        <v>950</v>
      </c>
      <c r="B11" s="106" t="s">
        <v>954</v>
      </c>
      <c r="C11" s="106" t="s">
        <v>952</v>
      </c>
      <c r="D11" s="106">
        <v>11048</v>
      </c>
      <c r="E11" s="109">
        <v>62500</v>
      </c>
      <c r="F11" s="1193"/>
    </row>
    <row r="12" spans="1:6" s="107" customFormat="1" ht="21" customHeight="1" x14ac:dyDescent="0.15">
      <c r="A12" s="108" t="s">
        <v>955</v>
      </c>
      <c r="B12" s="106" t="s">
        <v>59</v>
      </c>
      <c r="C12" s="106" t="s">
        <v>60</v>
      </c>
      <c r="D12" s="106">
        <v>12001</v>
      </c>
      <c r="E12" s="109">
        <v>820000</v>
      </c>
      <c r="F12" s="106" t="s">
        <v>956</v>
      </c>
    </row>
    <row r="13" spans="1:6" s="107" customFormat="1" ht="21" customHeight="1" x14ac:dyDescent="0.15">
      <c r="A13" s="108" t="s">
        <v>957</v>
      </c>
      <c r="B13" s="106" t="s">
        <v>59</v>
      </c>
      <c r="C13" s="106" t="s">
        <v>63</v>
      </c>
      <c r="D13" s="106">
        <v>12003</v>
      </c>
      <c r="E13" s="109">
        <v>177200</v>
      </c>
      <c r="F13" s="106" t="s">
        <v>958</v>
      </c>
    </row>
    <row r="14" spans="1:6" s="107" customFormat="1" ht="21" customHeight="1" x14ac:dyDescent="0.15">
      <c r="A14" s="108" t="s">
        <v>959</v>
      </c>
      <c r="B14" s="106" t="s">
        <v>140</v>
      </c>
      <c r="C14" s="106" t="s">
        <v>58</v>
      </c>
      <c r="D14" s="106">
        <v>11049</v>
      </c>
      <c r="E14" s="109">
        <v>655800</v>
      </c>
      <c r="F14" s="106" t="s">
        <v>960</v>
      </c>
    </row>
    <row r="15" spans="1:6" s="107" customFormat="1" ht="21" customHeight="1" x14ac:dyDescent="0.15">
      <c r="A15" s="108" t="s">
        <v>961</v>
      </c>
      <c r="B15" s="106" t="s">
        <v>30</v>
      </c>
      <c r="C15" s="106" t="s">
        <v>31</v>
      </c>
      <c r="D15" s="106">
        <v>11014</v>
      </c>
      <c r="E15" s="109">
        <v>298000</v>
      </c>
      <c r="F15" s="106" t="s">
        <v>941</v>
      </c>
    </row>
    <row r="16" spans="1:6" s="107" customFormat="1" ht="21" customHeight="1" x14ac:dyDescent="0.15">
      <c r="A16" s="108" t="s">
        <v>961</v>
      </c>
      <c r="B16" s="106" t="s">
        <v>16</v>
      </c>
      <c r="C16" s="106" t="s">
        <v>17</v>
      </c>
      <c r="D16" s="106">
        <v>11004</v>
      </c>
      <c r="E16" s="109">
        <v>200000</v>
      </c>
      <c r="F16" s="106" t="s">
        <v>962</v>
      </c>
    </row>
    <row r="17" spans="1:6" s="107" customFormat="1" ht="21" customHeight="1" x14ac:dyDescent="0.15">
      <c r="A17" s="108" t="s">
        <v>961</v>
      </c>
      <c r="B17" s="106" t="s">
        <v>963</v>
      </c>
      <c r="C17" s="138" t="s">
        <v>964</v>
      </c>
      <c r="D17" s="106">
        <v>10007</v>
      </c>
      <c r="E17" s="109">
        <v>200000</v>
      </c>
      <c r="F17" s="106" t="s">
        <v>962</v>
      </c>
    </row>
    <row r="18" spans="1:6" s="107" customFormat="1" ht="21" customHeight="1" x14ac:dyDescent="0.15">
      <c r="A18" s="108" t="s">
        <v>965</v>
      </c>
      <c r="B18" s="139" t="s">
        <v>966</v>
      </c>
      <c r="C18" s="138" t="s">
        <v>967</v>
      </c>
      <c r="D18" s="106">
        <v>11008</v>
      </c>
      <c r="E18" s="109">
        <v>200000</v>
      </c>
      <c r="F18" s="106" t="s">
        <v>962</v>
      </c>
    </row>
    <row r="19" spans="1:6" s="107" customFormat="1" ht="21" customHeight="1" x14ac:dyDescent="0.15">
      <c r="A19" s="108" t="s">
        <v>965</v>
      </c>
      <c r="B19" s="139" t="s">
        <v>968</v>
      </c>
      <c r="C19" s="138" t="s">
        <v>27</v>
      </c>
      <c r="D19" s="106">
        <v>11009</v>
      </c>
      <c r="E19" s="109">
        <v>200000</v>
      </c>
      <c r="F19" s="106" t="s">
        <v>962</v>
      </c>
    </row>
    <row r="20" spans="1:6" s="107" customFormat="1" ht="21" customHeight="1" x14ac:dyDescent="0.15">
      <c r="A20" s="108" t="s">
        <v>969</v>
      </c>
      <c r="B20" s="106" t="s">
        <v>970</v>
      </c>
      <c r="C20" s="137" t="s">
        <v>971</v>
      </c>
      <c r="D20" s="106">
        <v>10006</v>
      </c>
      <c r="E20" s="109">
        <v>200000</v>
      </c>
      <c r="F20" s="106" t="s">
        <v>962</v>
      </c>
    </row>
    <row r="21" spans="1:6" s="107" customFormat="1" ht="21" customHeight="1" x14ac:dyDescent="0.15">
      <c r="A21" s="106" t="s">
        <v>972</v>
      </c>
      <c r="B21" s="106" t="s">
        <v>53</v>
      </c>
      <c r="C21" s="106" t="s">
        <v>973</v>
      </c>
      <c r="D21" s="106">
        <v>11047</v>
      </c>
      <c r="E21" s="109">
        <v>52600</v>
      </c>
      <c r="F21" s="118" t="s">
        <v>958</v>
      </c>
    </row>
    <row r="22" spans="1:6" s="107" customFormat="1" ht="21" customHeight="1" x14ac:dyDescent="0.15">
      <c r="A22" s="108" t="s">
        <v>974</v>
      </c>
      <c r="B22" s="106" t="s">
        <v>18</v>
      </c>
      <c r="C22" s="138" t="s">
        <v>19</v>
      </c>
      <c r="D22" s="106">
        <v>11005</v>
      </c>
      <c r="E22" s="109">
        <v>200000</v>
      </c>
      <c r="F22" s="106" t="s">
        <v>962</v>
      </c>
    </row>
    <row r="23" spans="1:6" s="107" customFormat="1" ht="21" customHeight="1" x14ac:dyDescent="0.15">
      <c r="A23" s="108" t="s">
        <v>975</v>
      </c>
      <c r="B23" s="106" t="s">
        <v>22</v>
      </c>
      <c r="C23" s="138" t="s">
        <v>976</v>
      </c>
      <c r="D23" s="106">
        <v>11007</v>
      </c>
      <c r="E23" s="109">
        <v>200000</v>
      </c>
      <c r="F23" s="106" t="s">
        <v>962</v>
      </c>
    </row>
    <row r="24" spans="1:6" s="107" customFormat="1" ht="21" customHeight="1" x14ac:dyDescent="0.15">
      <c r="A24" s="108" t="s">
        <v>136</v>
      </c>
      <c r="B24" s="106" t="s">
        <v>696</v>
      </c>
      <c r="C24" s="106" t="s">
        <v>43</v>
      </c>
      <c r="D24" s="106">
        <v>11023</v>
      </c>
      <c r="E24" s="109">
        <v>357000</v>
      </c>
      <c r="F24" s="118" t="s">
        <v>977</v>
      </c>
    </row>
    <row r="25" spans="1:6" s="107" customFormat="1" ht="21" customHeight="1" x14ac:dyDescent="0.15">
      <c r="A25" s="106" t="s">
        <v>978</v>
      </c>
      <c r="B25" s="106" t="s">
        <v>612</v>
      </c>
      <c r="C25" s="137" t="s">
        <v>844</v>
      </c>
      <c r="D25" s="140">
        <v>11043</v>
      </c>
      <c r="E25" s="109">
        <v>140000</v>
      </c>
      <c r="F25" s="118" t="s">
        <v>979</v>
      </c>
    </row>
    <row r="26" spans="1:6" s="107" customFormat="1" ht="21" customHeight="1" x14ac:dyDescent="0.15">
      <c r="A26" s="106" t="s">
        <v>978</v>
      </c>
      <c r="B26" s="106" t="s">
        <v>616</v>
      </c>
      <c r="C26" s="137" t="s">
        <v>13</v>
      </c>
      <c r="D26" s="140">
        <v>11044</v>
      </c>
      <c r="E26" s="109">
        <v>112000</v>
      </c>
      <c r="F26" s="118" t="s">
        <v>979</v>
      </c>
    </row>
    <row r="27" spans="1:6" s="107" customFormat="1" ht="21" customHeight="1" x14ac:dyDescent="0.15">
      <c r="A27" s="106" t="s">
        <v>980</v>
      </c>
      <c r="B27" s="106" t="s">
        <v>682</v>
      </c>
      <c r="C27" s="137" t="s">
        <v>846</v>
      </c>
      <c r="D27" s="140">
        <v>11045</v>
      </c>
      <c r="E27" s="109">
        <v>83400</v>
      </c>
      <c r="F27" s="118" t="s">
        <v>979</v>
      </c>
    </row>
    <row r="28" spans="1:6" s="107" customFormat="1" ht="21" customHeight="1" x14ac:dyDescent="0.15">
      <c r="A28" s="106" t="s">
        <v>981</v>
      </c>
      <c r="B28" s="106" t="s">
        <v>545</v>
      </c>
      <c r="C28" s="137" t="s">
        <v>945</v>
      </c>
      <c r="D28" s="140">
        <v>11041</v>
      </c>
      <c r="E28" s="109">
        <v>116000</v>
      </c>
      <c r="F28" s="118" t="s">
        <v>979</v>
      </c>
    </row>
    <row r="29" spans="1:6" s="107" customFormat="1" ht="21" customHeight="1" x14ac:dyDescent="0.15">
      <c r="A29" s="106" t="s">
        <v>982</v>
      </c>
      <c r="B29" s="106" t="s">
        <v>545</v>
      </c>
      <c r="C29" s="137" t="s">
        <v>942</v>
      </c>
      <c r="D29" s="140">
        <v>11042</v>
      </c>
      <c r="E29" s="109">
        <v>112000</v>
      </c>
      <c r="F29" s="118" t="s">
        <v>979</v>
      </c>
    </row>
    <row r="30" spans="1:6" s="107" customFormat="1" ht="21" customHeight="1" x14ac:dyDescent="0.15">
      <c r="A30" s="106" t="s">
        <v>983</v>
      </c>
      <c r="B30" s="141" t="s">
        <v>622</v>
      </c>
      <c r="C30" s="137" t="s">
        <v>984</v>
      </c>
      <c r="D30" s="140">
        <v>12011</v>
      </c>
      <c r="E30" s="109">
        <v>72500</v>
      </c>
      <c r="F30" s="118" t="s">
        <v>985</v>
      </c>
    </row>
    <row r="31" spans="1:6" s="107" customFormat="1" ht="21" customHeight="1" x14ac:dyDescent="0.15">
      <c r="A31" s="106" t="s">
        <v>983</v>
      </c>
      <c r="B31" s="141" t="s">
        <v>523</v>
      </c>
      <c r="C31" s="137" t="s">
        <v>986</v>
      </c>
      <c r="D31" s="140">
        <v>12012</v>
      </c>
      <c r="E31" s="109">
        <v>72500</v>
      </c>
      <c r="F31" s="118" t="s">
        <v>985</v>
      </c>
    </row>
    <row r="32" spans="1:6" s="107" customFormat="1" ht="21" customHeight="1" x14ac:dyDescent="0.15">
      <c r="A32" s="106" t="s">
        <v>983</v>
      </c>
      <c r="B32" s="50" t="s">
        <v>700</v>
      </c>
      <c r="C32" s="137" t="s">
        <v>987</v>
      </c>
      <c r="D32" s="140">
        <v>10005</v>
      </c>
      <c r="E32" s="109">
        <v>160000</v>
      </c>
      <c r="F32" s="118" t="s">
        <v>988</v>
      </c>
    </row>
    <row r="33" spans="1:6" s="107" customFormat="1" ht="21" customHeight="1" x14ac:dyDescent="0.15">
      <c r="A33" s="106" t="s">
        <v>989</v>
      </c>
      <c r="B33" s="141" t="s">
        <v>36</v>
      </c>
      <c r="C33" s="142" t="s">
        <v>596</v>
      </c>
      <c r="D33" s="123">
        <v>11019</v>
      </c>
      <c r="E33" s="109">
        <v>100000</v>
      </c>
      <c r="F33" s="118" t="s">
        <v>990</v>
      </c>
    </row>
    <row r="34" spans="1:6" s="107" customFormat="1" ht="21" customHeight="1" x14ac:dyDescent="0.15">
      <c r="A34" s="106" t="s">
        <v>991</v>
      </c>
      <c r="B34" s="141" t="s">
        <v>992</v>
      </c>
      <c r="C34" s="137" t="s">
        <v>993</v>
      </c>
      <c r="D34" s="140">
        <v>12014</v>
      </c>
      <c r="E34" s="109">
        <v>89990</v>
      </c>
      <c r="F34" s="118" t="s">
        <v>994</v>
      </c>
    </row>
    <row r="35" spans="1:6" s="107" customFormat="1" ht="21" customHeight="1" x14ac:dyDescent="0.15">
      <c r="A35" s="106" t="s">
        <v>995</v>
      </c>
      <c r="B35" s="141" t="s">
        <v>91</v>
      </c>
      <c r="C35" s="53" t="s">
        <v>996</v>
      </c>
      <c r="D35" s="123">
        <v>120001</v>
      </c>
      <c r="E35" s="109">
        <v>238000</v>
      </c>
      <c r="F35" s="118" t="s">
        <v>988</v>
      </c>
    </row>
    <row r="36" spans="1:6" s="107" customFormat="1" ht="21" customHeight="1" x14ac:dyDescent="0.15">
      <c r="A36" s="106" t="s">
        <v>997</v>
      </c>
      <c r="B36" s="141" t="s">
        <v>32</v>
      </c>
      <c r="C36" s="53" t="s">
        <v>998</v>
      </c>
      <c r="D36" s="123">
        <v>11039</v>
      </c>
      <c r="E36" s="109">
        <v>70000</v>
      </c>
      <c r="F36" s="118" t="s">
        <v>988</v>
      </c>
    </row>
    <row r="37" spans="1:6" s="107" customFormat="1" ht="21" customHeight="1" x14ac:dyDescent="0.15">
      <c r="A37" s="106" t="s">
        <v>999</v>
      </c>
      <c r="B37" s="141" t="s">
        <v>1000</v>
      </c>
      <c r="C37" s="53" t="s">
        <v>1001</v>
      </c>
      <c r="D37" s="123">
        <v>12006</v>
      </c>
      <c r="E37" s="109">
        <v>594000</v>
      </c>
      <c r="F37" s="118" t="s">
        <v>1002</v>
      </c>
    </row>
    <row r="38" spans="1:6" s="107" customFormat="1" ht="21" customHeight="1" x14ac:dyDescent="0.15">
      <c r="A38" s="106" t="s">
        <v>999</v>
      </c>
      <c r="B38" s="50" t="s">
        <v>1003</v>
      </c>
      <c r="C38" s="53" t="s">
        <v>1004</v>
      </c>
      <c r="D38" s="123">
        <v>12007</v>
      </c>
      <c r="E38" s="109">
        <v>594000</v>
      </c>
      <c r="F38" s="118" t="s">
        <v>1002</v>
      </c>
    </row>
    <row r="39" spans="1:6" s="107" customFormat="1" ht="21" customHeight="1" x14ac:dyDescent="0.15">
      <c r="A39" s="106" t="s">
        <v>1005</v>
      </c>
      <c r="B39" s="50" t="s">
        <v>42</v>
      </c>
      <c r="C39" s="143" t="s">
        <v>697</v>
      </c>
      <c r="D39" s="123">
        <v>11023</v>
      </c>
      <c r="E39" s="109">
        <v>102000</v>
      </c>
      <c r="F39" s="118" t="s">
        <v>988</v>
      </c>
    </row>
    <row r="40" spans="1:6" s="107" customFormat="1" ht="21" customHeight="1" x14ac:dyDescent="0.15">
      <c r="A40" s="106" t="s">
        <v>1006</v>
      </c>
      <c r="B40" s="144" t="s">
        <v>631</v>
      </c>
      <c r="C40" s="143" t="s">
        <v>831</v>
      </c>
      <c r="D40" s="123">
        <v>12013</v>
      </c>
      <c r="E40" s="109">
        <v>190000</v>
      </c>
      <c r="F40" s="118" t="s">
        <v>988</v>
      </c>
    </row>
    <row r="41" spans="1:6" s="107" customFormat="1" ht="21" customHeight="1" x14ac:dyDescent="0.15">
      <c r="A41" s="106" t="s">
        <v>1007</v>
      </c>
      <c r="B41" s="50" t="s">
        <v>35</v>
      </c>
      <c r="C41" s="53" t="s">
        <v>1008</v>
      </c>
      <c r="D41" s="123">
        <v>11018</v>
      </c>
      <c r="E41" s="109">
        <v>388944</v>
      </c>
      <c r="F41" s="118" t="s">
        <v>990</v>
      </c>
    </row>
    <row r="42" spans="1:6" s="107" customFormat="1" ht="21" customHeight="1" x14ac:dyDescent="0.15">
      <c r="A42" s="106" t="s">
        <v>1009</v>
      </c>
      <c r="B42" s="50" t="s">
        <v>832</v>
      </c>
      <c r="C42" s="53" t="s">
        <v>76</v>
      </c>
      <c r="D42" s="123">
        <v>12017</v>
      </c>
      <c r="E42" s="109">
        <v>80000</v>
      </c>
      <c r="F42" s="118" t="s">
        <v>1010</v>
      </c>
    </row>
    <row r="43" spans="1:6" s="107" customFormat="1" ht="25.5" customHeight="1" x14ac:dyDescent="0.15">
      <c r="A43" s="106" t="s">
        <v>1011</v>
      </c>
      <c r="B43" s="141" t="s">
        <v>1012</v>
      </c>
      <c r="C43" s="53" t="s">
        <v>56</v>
      </c>
      <c r="D43" s="123">
        <v>11048</v>
      </c>
      <c r="E43" s="109">
        <v>100000</v>
      </c>
      <c r="F43" s="118" t="s">
        <v>990</v>
      </c>
    </row>
    <row r="44" spans="1:6" s="107" customFormat="1" ht="21" customHeight="1" x14ac:dyDescent="0.15">
      <c r="A44" s="106" t="s">
        <v>1013</v>
      </c>
      <c r="B44" s="141" t="s">
        <v>1014</v>
      </c>
      <c r="C44" s="53" t="s">
        <v>52</v>
      </c>
      <c r="D44" s="123">
        <v>11040</v>
      </c>
      <c r="E44" s="109">
        <v>215000</v>
      </c>
      <c r="F44" s="118" t="s">
        <v>988</v>
      </c>
    </row>
    <row r="45" spans="1:6" s="107" customFormat="1" ht="21" customHeight="1" x14ac:dyDescent="0.15">
      <c r="A45" s="106" t="s">
        <v>1015</v>
      </c>
      <c r="B45" s="141" t="s">
        <v>817</v>
      </c>
      <c r="C45" s="137" t="s">
        <v>987</v>
      </c>
      <c r="D45" s="123">
        <v>12019</v>
      </c>
      <c r="E45" s="109">
        <v>90000</v>
      </c>
      <c r="F45" s="118" t="s">
        <v>988</v>
      </c>
    </row>
    <row r="46" spans="1:6" s="107" customFormat="1" ht="21" customHeight="1" x14ac:dyDescent="0.15">
      <c r="A46" s="106" t="s">
        <v>1015</v>
      </c>
      <c r="B46" s="141" t="s">
        <v>817</v>
      </c>
      <c r="C46" s="137" t="s">
        <v>987</v>
      </c>
      <c r="D46" s="123">
        <v>12018</v>
      </c>
      <c r="E46" s="109">
        <v>240000</v>
      </c>
      <c r="F46" s="118" t="s">
        <v>988</v>
      </c>
    </row>
    <row r="47" spans="1:6" s="107" customFormat="1" ht="21" customHeight="1" x14ac:dyDescent="0.15">
      <c r="A47" s="106" t="s">
        <v>1015</v>
      </c>
      <c r="B47" s="141" t="s">
        <v>817</v>
      </c>
      <c r="C47" s="137" t="s">
        <v>987</v>
      </c>
      <c r="D47" s="123">
        <v>10005</v>
      </c>
      <c r="E47" s="109">
        <v>64000</v>
      </c>
      <c r="F47" s="118" t="s">
        <v>988</v>
      </c>
    </row>
    <row r="48" spans="1:6" s="107" customFormat="1" ht="21" customHeight="1" x14ac:dyDescent="0.15">
      <c r="A48" s="106" t="s">
        <v>1016</v>
      </c>
      <c r="B48" s="141" t="s">
        <v>1017</v>
      </c>
      <c r="C48" s="53" t="s">
        <v>41</v>
      </c>
      <c r="D48" s="123">
        <v>11022</v>
      </c>
      <c r="E48" s="109">
        <v>244800</v>
      </c>
      <c r="F48" s="118" t="s">
        <v>988</v>
      </c>
    </row>
    <row r="49" spans="1:6" s="107" customFormat="1" ht="21" customHeight="1" x14ac:dyDescent="0.15">
      <c r="A49" s="106" t="s">
        <v>1018</v>
      </c>
      <c r="B49" s="141" t="s">
        <v>1019</v>
      </c>
      <c r="C49" s="53" t="s">
        <v>1020</v>
      </c>
      <c r="D49" s="123">
        <v>12015</v>
      </c>
      <c r="E49" s="109">
        <v>660000</v>
      </c>
      <c r="F49" s="118" t="s">
        <v>1021</v>
      </c>
    </row>
    <row r="50" spans="1:6" s="107" customFormat="1" ht="21" customHeight="1" x14ac:dyDescent="0.15">
      <c r="A50" s="106" t="s">
        <v>1022</v>
      </c>
      <c r="B50" s="141" t="s">
        <v>637</v>
      </c>
      <c r="C50" s="53" t="s">
        <v>33</v>
      </c>
      <c r="D50" s="123">
        <v>11016</v>
      </c>
      <c r="E50" s="109">
        <v>63840</v>
      </c>
      <c r="F50" s="118" t="s">
        <v>1023</v>
      </c>
    </row>
    <row r="51" spans="1:6" s="107" customFormat="1" ht="21" customHeight="1" x14ac:dyDescent="0.15">
      <c r="A51" s="106" t="s">
        <v>1024</v>
      </c>
      <c r="B51" s="141" t="s">
        <v>20</v>
      </c>
      <c r="C51" s="143" t="s">
        <v>842</v>
      </c>
      <c r="D51" s="123">
        <v>11006</v>
      </c>
      <c r="E51" s="109">
        <v>400000</v>
      </c>
      <c r="F51" s="118" t="s">
        <v>990</v>
      </c>
    </row>
    <row r="52" spans="1:6" s="107" customFormat="1" ht="21" customHeight="1" x14ac:dyDescent="0.15">
      <c r="A52" s="106" t="s">
        <v>670</v>
      </c>
      <c r="B52" s="141" t="s">
        <v>79</v>
      </c>
      <c r="C52" s="143" t="s">
        <v>667</v>
      </c>
      <c r="D52" s="123">
        <v>12024</v>
      </c>
      <c r="E52" s="109">
        <v>42530</v>
      </c>
      <c r="F52" s="118" t="s">
        <v>1021</v>
      </c>
    </row>
    <row r="53" spans="1:6" s="107" customFormat="1" ht="21" customHeight="1" x14ac:dyDescent="0.15">
      <c r="A53" s="106" t="s">
        <v>1025</v>
      </c>
      <c r="B53" s="50" t="s">
        <v>663</v>
      </c>
      <c r="C53" s="143" t="s">
        <v>664</v>
      </c>
      <c r="D53" s="123">
        <v>12002</v>
      </c>
      <c r="E53" s="109">
        <v>267300</v>
      </c>
      <c r="F53" s="118" t="s">
        <v>990</v>
      </c>
    </row>
    <row r="54" spans="1:6" s="107" customFormat="1" ht="21" customHeight="1" x14ac:dyDescent="0.15">
      <c r="A54" s="106" t="s">
        <v>1025</v>
      </c>
      <c r="B54" s="141" t="s">
        <v>659</v>
      </c>
      <c r="C54" s="143" t="s">
        <v>660</v>
      </c>
      <c r="D54" s="123">
        <v>12023</v>
      </c>
      <c r="E54" s="109">
        <v>267300</v>
      </c>
      <c r="F54" s="118" t="s">
        <v>990</v>
      </c>
    </row>
    <row r="55" spans="1:6" s="107" customFormat="1" ht="21" customHeight="1" x14ac:dyDescent="0.15">
      <c r="A55" s="106" t="s">
        <v>1026</v>
      </c>
      <c r="B55" s="50" t="s">
        <v>1027</v>
      </c>
      <c r="C55" s="143" t="s">
        <v>1028</v>
      </c>
      <c r="D55" s="123">
        <v>11047</v>
      </c>
      <c r="E55" s="109">
        <v>270800</v>
      </c>
      <c r="F55" s="118" t="s">
        <v>988</v>
      </c>
    </row>
    <row r="56" spans="1:6" s="107" customFormat="1" ht="21" customHeight="1" x14ac:dyDescent="0.15">
      <c r="A56" s="106" t="s">
        <v>1029</v>
      </c>
      <c r="B56" s="141" t="s">
        <v>1030</v>
      </c>
      <c r="C56" s="141" t="s">
        <v>839</v>
      </c>
      <c r="D56" s="123">
        <v>12014</v>
      </c>
      <c r="E56" s="109">
        <v>179980</v>
      </c>
      <c r="F56" s="118" t="s">
        <v>990</v>
      </c>
    </row>
    <row r="57" spans="1:6" s="107" customFormat="1" ht="21" customHeight="1" x14ac:dyDescent="0.15">
      <c r="A57" s="106" t="s">
        <v>1031</v>
      </c>
      <c r="B57" s="144" t="s">
        <v>553</v>
      </c>
      <c r="C57" s="143" t="s">
        <v>15</v>
      </c>
      <c r="D57" s="123">
        <v>11003</v>
      </c>
      <c r="E57" s="109">
        <v>200000</v>
      </c>
      <c r="F57" s="118" t="s">
        <v>990</v>
      </c>
    </row>
    <row r="58" spans="1:6" s="107" customFormat="1" ht="21" customHeight="1" x14ac:dyDescent="0.15">
      <c r="A58" s="106" t="s">
        <v>1031</v>
      </c>
      <c r="B58" s="144" t="s">
        <v>1032</v>
      </c>
      <c r="C58" s="143" t="s">
        <v>842</v>
      </c>
      <c r="D58" s="123">
        <v>11006</v>
      </c>
      <c r="E58" s="109">
        <v>200000</v>
      </c>
      <c r="F58" s="118" t="s">
        <v>990</v>
      </c>
    </row>
    <row r="59" spans="1:6" s="107" customFormat="1" ht="25.5" customHeight="1" x14ac:dyDescent="0.15">
      <c r="A59" s="106" t="s">
        <v>1031</v>
      </c>
      <c r="B59" s="144" t="s">
        <v>628</v>
      </c>
      <c r="C59" s="145" t="s">
        <v>724</v>
      </c>
      <c r="D59" s="123">
        <v>11024</v>
      </c>
      <c r="E59" s="109">
        <v>450000</v>
      </c>
      <c r="F59" s="118" t="s">
        <v>990</v>
      </c>
    </row>
    <row r="60" spans="1:6" s="107" customFormat="1" ht="21" customHeight="1" x14ac:dyDescent="0.15">
      <c r="A60" s="106" t="s">
        <v>1031</v>
      </c>
      <c r="B60" s="144" t="s">
        <v>630</v>
      </c>
      <c r="C60" s="143" t="s">
        <v>741</v>
      </c>
      <c r="D60" s="123">
        <v>11025</v>
      </c>
      <c r="E60" s="109">
        <v>150000</v>
      </c>
      <c r="F60" s="118" t="s">
        <v>990</v>
      </c>
    </row>
    <row r="61" spans="1:6" s="107" customFormat="1" ht="21" customHeight="1" x14ac:dyDescent="0.15">
      <c r="A61" s="106" t="s">
        <v>1031</v>
      </c>
      <c r="B61" s="144" t="s">
        <v>1033</v>
      </c>
      <c r="C61" s="143" t="s">
        <v>738</v>
      </c>
      <c r="D61" s="123">
        <v>11026</v>
      </c>
      <c r="E61" s="109">
        <v>150000</v>
      </c>
      <c r="F61" s="118" t="s">
        <v>990</v>
      </c>
    </row>
    <row r="62" spans="1:6" s="107" customFormat="1" ht="21" customHeight="1" x14ac:dyDescent="0.15">
      <c r="A62" s="106" t="s">
        <v>1031</v>
      </c>
      <c r="B62" s="144" t="s">
        <v>635</v>
      </c>
      <c r="C62" s="143" t="s">
        <v>699</v>
      </c>
      <c r="D62" s="123">
        <v>11017</v>
      </c>
      <c r="E62" s="109">
        <v>51000</v>
      </c>
      <c r="F62" s="118" t="s">
        <v>990</v>
      </c>
    </row>
    <row r="63" spans="1:6" s="107" customFormat="1" ht="21" customHeight="1" x14ac:dyDescent="0.15">
      <c r="A63" s="106" t="s">
        <v>1034</v>
      </c>
      <c r="B63" s="141" t="s">
        <v>3</v>
      </c>
      <c r="C63" s="146" t="s">
        <v>687</v>
      </c>
      <c r="D63" s="123">
        <v>11010</v>
      </c>
      <c r="E63" s="109">
        <v>90000</v>
      </c>
      <c r="F63" s="118" t="s">
        <v>990</v>
      </c>
    </row>
    <row r="64" spans="1:6" s="107" customFormat="1" ht="21" customHeight="1" x14ac:dyDescent="0.15">
      <c r="A64" s="106" t="s">
        <v>1034</v>
      </c>
      <c r="B64" s="147" t="s">
        <v>0</v>
      </c>
      <c r="C64" s="143" t="s">
        <v>684</v>
      </c>
      <c r="D64" s="123">
        <v>11011</v>
      </c>
      <c r="E64" s="109">
        <v>90000</v>
      </c>
      <c r="F64" s="118" t="s">
        <v>990</v>
      </c>
    </row>
    <row r="65" spans="1:6" s="107" customFormat="1" ht="21" customHeight="1" x14ac:dyDescent="0.15">
      <c r="A65" s="106" t="s">
        <v>1035</v>
      </c>
      <c r="B65" s="141" t="s">
        <v>3</v>
      </c>
      <c r="C65" s="146" t="s">
        <v>680</v>
      </c>
      <c r="D65" s="123">
        <v>11012</v>
      </c>
      <c r="E65" s="109">
        <v>90000</v>
      </c>
      <c r="F65" s="118" t="s">
        <v>990</v>
      </c>
    </row>
    <row r="66" spans="1:6" s="107" customFormat="1" ht="21" customHeight="1" x14ac:dyDescent="0.15">
      <c r="A66" s="106" t="s">
        <v>1035</v>
      </c>
      <c r="B66" s="144" t="s">
        <v>616</v>
      </c>
      <c r="C66" s="143" t="s">
        <v>685</v>
      </c>
      <c r="D66" s="123">
        <v>11036</v>
      </c>
      <c r="E66" s="109">
        <v>90000</v>
      </c>
      <c r="F66" s="118" t="s">
        <v>990</v>
      </c>
    </row>
    <row r="67" spans="1:6" s="107" customFormat="1" ht="21" customHeight="1" x14ac:dyDescent="0.15">
      <c r="A67" s="106" t="s">
        <v>1035</v>
      </c>
      <c r="B67" s="144" t="s">
        <v>682</v>
      </c>
      <c r="C67" s="143" t="s">
        <v>683</v>
      </c>
      <c r="D67" s="123">
        <v>11037</v>
      </c>
      <c r="E67" s="109">
        <v>90000</v>
      </c>
      <c r="F67" s="118" t="s">
        <v>990</v>
      </c>
    </row>
    <row r="68" spans="1:6" s="107" customFormat="1" ht="21" customHeight="1" x14ac:dyDescent="0.15">
      <c r="A68" s="106" t="s">
        <v>1036</v>
      </c>
      <c r="B68" s="141" t="s">
        <v>659</v>
      </c>
      <c r="C68" s="143" t="s">
        <v>660</v>
      </c>
      <c r="D68" s="123">
        <v>12028</v>
      </c>
      <c r="E68" s="109">
        <v>533700</v>
      </c>
      <c r="F68" s="118" t="s">
        <v>990</v>
      </c>
    </row>
    <row r="69" spans="1:6" s="107" customFormat="1" ht="21" customHeight="1" x14ac:dyDescent="0.15">
      <c r="A69" s="106" t="s">
        <v>1036</v>
      </c>
      <c r="B69" s="50" t="s">
        <v>663</v>
      </c>
      <c r="C69" s="141" t="s">
        <v>664</v>
      </c>
      <c r="D69" s="123">
        <v>12027</v>
      </c>
      <c r="E69" s="109">
        <v>511200</v>
      </c>
      <c r="F69" s="118" t="s">
        <v>990</v>
      </c>
    </row>
    <row r="70" spans="1:6" s="107" customFormat="1" ht="21" customHeight="1" x14ac:dyDescent="0.15">
      <c r="A70" s="106" t="s">
        <v>1036</v>
      </c>
      <c r="B70" s="141" t="s">
        <v>711</v>
      </c>
      <c r="C70" s="143" t="s">
        <v>712</v>
      </c>
      <c r="D70" s="123">
        <v>12021</v>
      </c>
      <c r="E70" s="109">
        <v>536900</v>
      </c>
      <c r="F70" s="118" t="s">
        <v>990</v>
      </c>
    </row>
    <row r="71" spans="1:6" s="107" customFormat="1" ht="21" customHeight="1" x14ac:dyDescent="0.15">
      <c r="A71" s="106" t="s">
        <v>138</v>
      </c>
      <c r="B71" s="50" t="s">
        <v>1037</v>
      </c>
      <c r="C71" s="143" t="s">
        <v>841</v>
      </c>
      <c r="D71" s="123">
        <v>12009</v>
      </c>
      <c r="E71" s="109">
        <v>550000</v>
      </c>
      <c r="F71" s="118" t="s">
        <v>990</v>
      </c>
    </row>
    <row r="72" spans="1:6" s="107" customFormat="1" ht="21" customHeight="1" x14ac:dyDescent="0.15">
      <c r="A72" s="106" t="s">
        <v>1038</v>
      </c>
      <c r="B72" s="50" t="s">
        <v>619</v>
      </c>
      <c r="C72" s="141" t="s">
        <v>840</v>
      </c>
      <c r="D72" s="123">
        <v>12008</v>
      </c>
      <c r="E72" s="109">
        <v>550000</v>
      </c>
      <c r="F72" s="118" t="s">
        <v>990</v>
      </c>
    </row>
    <row r="73" spans="1:6" s="107" customFormat="1" ht="21" customHeight="1" x14ac:dyDescent="0.15">
      <c r="A73" s="106" t="s">
        <v>1039</v>
      </c>
      <c r="B73" s="141" t="s">
        <v>69</v>
      </c>
      <c r="C73" s="141" t="s">
        <v>1040</v>
      </c>
      <c r="D73" s="123">
        <v>12011</v>
      </c>
      <c r="E73" s="109">
        <v>72500</v>
      </c>
      <c r="F73" s="118" t="s">
        <v>990</v>
      </c>
    </row>
    <row r="74" spans="1:6" s="107" customFormat="1" ht="21" customHeight="1" x14ac:dyDescent="0.15">
      <c r="A74" s="106" t="s">
        <v>1041</v>
      </c>
      <c r="B74" s="144" t="s">
        <v>1042</v>
      </c>
      <c r="C74" s="143" t="s">
        <v>1043</v>
      </c>
      <c r="D74" s="123">
        <v>12026</v>
      </c>
      <c r="E74" s="109">
        <v>189300</v>
      </c>
      <c r="F74" s="118" t="s">
        <v>1044</v>
      </c>
    </row>
    <row r="75" spans="1:6" s="107" customFormat="1" ht="21" customHeight="1" x14ac:dyDescent="0.15">
      <c r="A75" s="106" t="s">
        <v>1045</v>
      </c>
      <c r="B75" s="144" t="s">
        <v>568</v>
      </c>
      <c r="C75" s="143" t="s">
        <v>843</v>
      </c>
      <c r="D75" s="123">
        <v>12025</v>
      </c>
      <c r="E75" s="109">
        <v>143820</v>
      </c>
      <c r="F75" s="118" t="s">
        <v>990</v>
      </c>
    </row>
    <row r="76" spans="1:6" s="107" customFormat="1" ht="21" customHeight="1" x14ac:dyDescent="0.15">
      <c r="A76" s="106" t="s">
        <v>1046</v>
      </c>
      <c r="B76" s="141" t="s">
        <v>711</v>
      </c>
      <c r="C76" s="143" t="s">
        <v>1047</v>
      </c>
      <c r="D76" s="123">
        <v>12012</v>
      </c>
      <c r="E76" s="109">
        <v>72500</v>
      </c>
      <c r="F76" s="118" t="s">
        <v>990</v>
      </c>
    </row>
    <row r="77" spans="1:6" s="107" customFormat="1" ht="21" customHeight="1" x14ac:dyDescent="0.15">
      <c r="A77" s="106" t="s">
        <v>1048</v>
      </c>
      <c r="B77" s="141" t="s">
        <v>832</v>
      </c>
      <c r="C77" s="143" t="s">
        <v>833</v>
      </c>
      <c r="D77" s="123">
        <v>12017</v>
      </c>
      <c r="E77" s="109">
        <v>139588</v>
      </c>
      <c r="F77" s="118" t="s">
        <v>1044</v>
      </c>
    </row>
    <row r="78" spans="1:6" s="107" customFormat="1" ht="21" customHeight="1" x14ac:dyDescent="0.15">
      <c r="A78" s="106" t="s">
        <v>1049</v>
      </c>
      <c r="B78" s="141" t="s">
        <v>1019</v>
      </c>
      <c r="C78" s="143" t="s">
        <v>1020</v>
      </c>
      <c r="D78" s="123">
        <v>12015</v>
      </c>
      <c r="E78" s="109">
        <v>1320000</v>
      </c>
      <c r="F78" s="118" t="s">
        <v>1050</v>
      </c>
    </row>
    <row r="79" spans="1:6" s="107" customFormat="1" ht="21" customHeight="1" x14ac:dyDescent="0.15">
      <c r="A79" s="106" t="s">
        <v>1051</v>
      </c>
      <c r="B79" s="50" t="s">
        <v>663</v>
      </c>
      <c r="C79" s="143" t="s">
        <v>664</v>
      </c>
      <c r="D79" s="123">
        <v>12046</v>
      </c>
      <c r="E79" s="109">
        <v>15000</v>
      </c>
      <c r="F79" s="118" t="s">
        <v>990</v>
      </c>
    </row>
    <row r="80" spans="1:6" s="107" customFormat="1" ht="21" customHeight="1" x14ac:dyDescent="0.15">
      <c r="A80" s="106" t="s">
        <v>1051</v>
      </c>
      <c r="B80" s="141" t="s">
        <v>837</v>
      </c>
      <c r="C80" s="143" t="s">
        <v>838</v>
      </c>
      <c r="D80" s="123">
        <v>12016</v>
      </c>
      <c r="E80" s="109">
        <v>204000</v>
      </c>
      <c r="F80" s="118" t="s">
        <v>1044</v>
      </c>
    </row>
    <row r="81" spans="1:6" s="107" customFormat="1" ht="21" customHeight="1" x14ac:dyDescent="0.15">
      <c r="A81" s="106" t="s">
        <v>1052</v>
      </c>
      <c r="B81" s="68" t="s">
        <v>1053</v>
      </c>
      <c r="C81" s="148" t="s">
        <v>727</v>
      </c>
      <c r="D81" s="123">
        <v>12036</v>
      </c>
      <c r="E81" s="109">
        <v>248400</v>
      </c>
      <c r="F81" s="118" t="s">
        <v>990</v>
      </c>
    </row>
    <row r="82" spans="1:6" s="107" customFormat="1" ht="21" customHeight="1" x14ac:dyDescent="0.15">
      <c r="A82" s="106" t="s">
        <v>1052</v>
      </c>
      <c r="B82" s="50" t="s">
        <v>1054</v>
      </c>
      <c r="C82" s="143" t="s">
        <v>744</v>
      </c>
      <c r="D82" s="52">
        <v>12039</v>
      </c>
      <c r="E82" s="109">
        <v>248400</v>
      </c>
      <c r="F82" s="118" t="s">
        <v>990</v>
      </c>
    </row>
    <row r="83" spans="1:6" s="107" customFormat="1" ht="21" customHeight="1" x14ac:dyDescent="0.15">
      <c r="A83" s="106" t="s">
        <v>1052</v>
      </c>
      <c r="B83" s="50" t="s">
        <v>1032</v>
      </c>
      <c r="C83" s="143" t="s">
        <v>1055</v>
      </c>
      <c r="D83" s="52">
        <v>12040</v>
      </c>
      <c r="E83" s="109">
        <v>252400</v>
      </c>
      <c r="F83" s="118" t="s">
        <v>990</v>
      </c>
    </row>
    <row r="84" spans="1:6" s="107" customFormat="1" ht="21" customHeight="1" x14ac:dyDescent="0.15">
      <c r="A84" s="106" t="s">
        <v>1052</v>
      </c>
      <c r="B84" s="50" t="s">
        <v>1056</v>
      </c>
      <c r="C84" s="143" t="s">
        <v>1057</v>
      </c>
      <c r="D84" s="52">
        <v>12041</v>
      </c>
      <c r="E84" s="109">
        <v>116000</v>
      </c>
      <c r="F84" s="118" t="s">
        <v>990</v>
      </c>
    </row>
    <row r="85" spans="1:6" s="107" customFormat="1" ht="21" customHeight="1" x14ac:dyDescent="0.15">
      <c r="A85" s="106" t="s">
        <v>1052</v>
      </c>
      <c r="B85" s="50" t="s">
        <v>970</v>
      </c>
      <c r="C85" s="143" t="s">
        <v>1058</v>
      </c>
      <c r="D85" s="47">
        <v>12042</v>
      </c>
      <c r="E85" s="109">
        <v>170000</v>
      </c>
      <c r="F85" s="118" t="s">
        <v>990</v>
      </c>
    </row>
    <row r="86" spans="1:6" s="107" customFormat="1" ht="21" customHeight="1" x14ac:dyDescent="0.15">
      <c r="A86" s="106" t="s">
        <v>1052</v>
      </c>
      <c r="B86" s="50" t="s">
        <v>1033</v>
      </c>
      <c r="C86" s="143" t="s">
        <v>738</v>
      </c>
      <c r="D86" s="47">
        <v>12043</v>
      </c>
      <c r="E86" s="109">
        <v>78400</v>
      </c>
      <c r="F86" s="118" t="s">
        <v>990</v>
      </c>
    </row>
    <row r="87" spans="1:6" s="107" customFormat="1" ht="21" customHeight="1" x14ac:dyDescent="0.15">
      <c r="A87" s="106" t="s">
        <v>1052</v>
      </c>
      <c r="B87" s="50" t="s">
        <v>630</v>
      </c>
      <c r="C87" s="143" t="s">
        <v>741</v>
      </c>
      <c r="D87" s="47">
        <v>12044</v>
      </c>
      <c r="E87" s="109">
        <v>78400</v>
      </c>
      <c r="F87" s="118" t="s">
        <v>990</v>
      </c>
    </row>
    <row r="88" spans="1:6" s="107" customFormat="1" ht="25.5" customHeight="1" x14ac:dyDescent="0.15">
      <c r="A88" s="106" t="s">
        <v>1052</v>
      </c>
      <c r="B88" s="50" t="s">
        <v>628</v>
      </c>
      <c r="C88" s="147" t="s">
        <v>724</v>
      </c>
      <c r="D88" s="47">
        <v>12045</v>
      </c>
      <c r="E88" s="109">
        <v>238000</v>
      </c>
      <c r="F88" s="118" t="s">
        <v>990</v>
      </c>
    </row>
    <row r="89" spans="1:6" s="107" customFormat="1" ht="21" customHeight="1" x14ac:dyDescent="0.15">
      <c r="A89" s="106" t="s">
        <v>1059</v>
      </c>
      <c r="B89" s="68" t="s">
        <v>631</v>
      </c>
      <c r="C89" s="143" t="s">
        <v>831</v>
      </c>
      <c r="D89" s="123">
        <v>12049</v>
      </c>
      <c r="E89" s="109">
        <v>1080000</v>
      </c>
      <c r="F89" s="118" t="s">
        <v>990</v>
      </c>
    </row>
    <row r="90" spans="1:6" s="107" customFormat="1" ht="21" customHeight="1" x14ac:dyDescent="0.15">
      <c r="A90" s="106" t="s">
        <v>1059</v>
      </c>
      <c r="B90" s="144" t="s">
        <v>568</v>
      </c>
      <c r="C90" s="143" t="s">
        <v>843</v>
      </c>
      <c r="D90" s="123">
        <v>11021</v>
      </c>
      <c r="E90" s="109">
        <v>160000</v>
      </c>
      <c r="F90" s="118" t="s">
        <v>990</v>
      </c>
    </row>
    <row r="91" spans="1:6" s="107" customFormat="1" ht="21" customHeight="1" x14ac:dyDescent="0.15">
      <c r="A91" s="106" t="s">
        <v>1060</v>
      </c>
      <c r="B91" s="144" t="s">
        <v>631</v>
      </c>
      <c r="C91" s="143" t="s">
        <v>831</v>
      </c>
      <c r="D91" s="123">
        <v>11013</v>
      </c>
      <c r="E91" s="109">
        <v>190000</v>
      </c>
      <c r="F91" s="118" t="s">
        <v>990</v>
      </c>
    </row>
    <row r="92" spans="1:6" s="107" customFormat="1" ht="21" customHeight="1" x14ac:dyDescent="0.15">
      <c r="A92" s="106" t="s">
        <v>1059</v>
      </c>
      <c r="B92" s="144" t="s">
        <v>55</v>
      </c>
      <c r="C92" s="143" t="s">
        <v>761</v>
      </c>
      <c r="D92" s="123">
        <v>11048</v>
      </c>
      <c r="E92" s="109">
        <v>30000</v>
      </c>
      <c r="F92" s="118" t="s">
        <v>990</v>
      </c>
    </row>
    <row r="93" spans="1:6" s="107" customFormat="1" ht="21" customHeight="1" x14ac:dyDescent="0.15">
      <c r="A93" s="106" t="s">
        <v>1061</v>
      </c>
      <c r="B93" s="141" t="s">
        <v>57</v>
      </c>
      <c r="C93" s="143" t="s">
        <v>761</v>
      </c>
      <c r="D93" s="123">
        <v>11048</v>
      </c>
      <c r="E93" s="109">
        <v>30000</v>
      </c>
      <c r="F93" s="118" t="s">
        <v>990</v>
      </c>
    </row>
    <row r="94" spans="1:6" s="107" customFormat="1" ht="21" customHeight="1" x14ac:dyDescent="0.15">
      <c r="A94" s="106" t="s">
        <v>1062</v>
      </c>
      <c r="B94" s="94" t="s">
        <v>748</v>
      </c>
      <c r="C94" s="143" t="s">
        <v>749</v>
      </c>
      <c r="D94" s="123">
        <v>12029</v>
      </c>
      <c r="E94" s="109">
        <v>990000</v>
      </c>
      <c r="F94" s="118" t="s">
        <v>1063</v>
      </c>
    </row>
    <row r="95" spans="1:6" s="107" customFormat="1" ht="21" customHeight="1" x14ac:dyDescent="0.15">
      <c r="A95" s="106" t="s">
        <v>1064</v>
      </c>
      <c r="B95" s="144" t="s">
        <v>553</v>
      </c>
      <c r="C95" s="143" t="s">
        <v>1065</v>
      </c>
      <c r="D95" s="52">
        <v>12033</v>
      </c>
      <c r="E95" s="109">
        <v>83000</v>
      </c>
      <c r="F95" s="118" t="s">
        <v>990</v>
      </c>
    </row>
    <row r="96" spans="1:6" s="107" customFormat="1" ht="21" customHeight="1" x14ac:dyDescent="0.15">
      <c r="A96" s="106" t="s">
        <v>1064</v>
      </c>
      <c r="B96" s="144" t="s">
        <v>1066</v>
      </c>
      <c r="C96" s="143" t="s">
        <v>746</v>
      </c>
      <c r="D96" s="52">
        <v>12034</v>
      </c>
      <c r="E96" s="109">
        <v>248400</v>
      </c>
      <c r="F96" s="118" t="s">
        <v>990</v>
      </c>
    </row>
    <row r="97" spans="1:6" s="107" customFormat="1" ht="21" customHeight="1" x14ac:dyDescent="0.15">
      <c r="A97" s="106" t="s">
        <v>1064</v>
      </c>
      <c r="B97" s="144" t="s">
        <v>968</v>
      </c>
      <c r="C97" s="143" t="s">
        <v>27</v>
      </c>
      <c r="D97" s="52">
        <v>12035</v>
      </c>
      <c r="E97" s="109">
        <v>253000</v>
      </c>
      <c r="F97" s="118" t="s">
        <v>990</v>
      </c>
    </row>
    <row r="98" spans="1:6" s="107" customFormat="1" ht="21" customHeight="1" x14ac:dyDescent="0.15">
      <c r="A98" s="106" t="s">
        <v>1064</v>
      </c>
      <c r="B98" s="144" t="s">
        <v>966</v>
      </c>
      <c r="C98" s="143" t="s">
        <v>25</v>
      </c>
      <c r="D98" s="52">
        <v>12037</v>
      </c>
      <c r="E98" s="109">
        <v>248400</v>
      </c>
      <c r="F98" s="118" t="s">
        <v>990</v>
      </c>
    </row>
    <row r="99" spans="1:6" s="107" customFormat="1" ht="21" customHeight="1" x14ac:dyDescent="0.15">
      <c r="A99" s="106" t="s">
        <v>1064</v>
      </c>
      <c r="B99" s="50" t="s">
        <v>963</v>
      </c>
      <c r="C99" s="143" t="s">
        <v>9</v>
      </c>
      <c r="D99" s="52">
        <v>12038</v>
      </c>
      <c r="E99" s="109">
        <v>253000</v>
      </c>
      <c r="F99" s="118" t="s">
        <v>990</v>
      </c>
    </row>
    <row r="100" spans="1:6" s="107" customFormat="1" ht="21" customHeight="1" x14ac:dyDescent="0.15">
      <c r="A100" s="106" t="s">
        <v>1067</v>
      </c>
      <c r="B100" s="144" t="s">
        <v>1068</v>
      </c>
      <c r="C100" s="143" t="s">
        <v>1065</v>
      </c>
      <c r="D100" s="52">
        <v>12032</v>
      </c>
      <c r="E100" s="109">
        <v>203000</v>
      </c>
      <c r="F100" s="118" t="s">
        <v>990</v>
      </c>
    </row>
    <row r="101" spans="1:6" s="107" customFormat="1" ht="21" customHeight="1" x14ac:dyDescent="0.15">
      <c r="A101" s="106" t="s">
        <v>1067</v>
      </c>
      <c r="B101" s="144" t="s">
        <v>793</v>
      </c>
      <c r="C101" s="147" t="s">
        <v>794</v>
      </c>
      <c r="D101" s="123">
        <v>12054</v>
      </c>
      <c r="E101" s="109">
        <v>94500</v>
      </c>
      <c r="F101" s="118" t="s">
        <v>1044</v>
      </c>
    </row>
    <row r="102" spans="1:6" s="107" customFormat="1" ht="21" customHeight="1" x14ac:dyDescent="0.15">
      <c r="A102" s="106" t="s">
        <v>1069</v>
      </c>
      <c r="B102" s="144" t="s">
        <v>772</v>
      </c>
      <c r="C102" s="143" t="s">
        <v>789</v>
      </c>
      <c r="D102" s="123">
        <v>11022</v>
      </c>
      <c r="E102" s="109">
        <v>122400</v>
      </c>
      <c r="F102" s="118" t="s">
        <v>990</v>
      </c>
    </row>
    <row r="103" spans="1:6" s="107" customFormat="1" ht="21" customHeight="1" x14ac:dyDescent="0.15">
      <c r="A103" s="106" t="s">
        <v>1070</v>
      </c>
      <c r="B103" s="144" t="s">
        <v>715</v>
      </c>
      <c r="C103" s="148" t="s">
        <v>716</v>
      </c>
      <c r="D103" s="123">
        <v>12047</v>
      </c>
      <c r="E103" s="109">
        <v>117000</v>
      </c>
      <c r="F103" s="118" t="s">
        <v>1044</v>
      </c>
    </row>
    <row r="104" spans="1:6" s="107" customFormat="1" ht="21" customHeight="1" x14ac:dyDescent="0.15">
      <c r="A104" s="106" t="s">
        <v>1071</v>
      </c>
      <c r="B104" s="141" t="s">
        <v>80</v>
      </c>
      <c r="C104" s="143" t="s">
        <v>1072</v>
      </c>
      <c r="D104" s="123">
        <v>12026</v>
      </c>
      <c r="E104" s="109">
        <v>378600</v>
      </c>
      <c r="F104" s="118" t="s">
        <v>990</v>
      </c>
    </row>
    <row r="105" spans="1:6" s="107" customFormat="1" ht="21" customHeight="1" x14ac:dyDescent="0.15">
      <c r="A105" s="1194" t="s">
        <v>1073</v>
      </c>
      <c r="B105" s="1195"/>
      <c r="C105" s="1195"/>
      <c r="D105" s="1196"/>
      <c r="E105" s="149">
        <f>SUM(E3:E104)</f>
        <v>23582292</v>
      </c>
      <c r="F105" s="106"/>
    </row>
    <row r="106" spans="1:6" ht="21" customHeight="1" x14ac:dyDescent="0.15">
      <c r="E106" s="124"/>
      <c r="F106" s="103" t="s">
        <v>847</v>
      </c>
    </row>
  </sheetData>
  <mergeCells count="3">
    <mergeCell ref="A1:F1"/>
    <mergeCell ref="F10:F11"/>
    <mergeCell ref="A105:D105"/>
  </mergeCells>
  <phoneticPr fontId="1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"/>
  <sheetViews>
    <sheetView workbookViewId="0"/>
  </sheetViews>
  <sheetFormatPr defaultRowHeight="13.5" x14ac:dyDescent="0.15"/>
  <sheetData>
    <row r="1" spans="1:9" ht="33.75" x14ac:dyDescent="0.15">
      <c r="A1" s="151" t="s">
        <v>2311</v>
      </c>
      <c r="B1" s="11" t="s">
        <v>2312</v>
      </c>
      <c r="C1" s="30" t="s">
        <v>2313</v>
      </c>
      <c r="D1" s="157">
        <v>17050</v>
      </c>
      <c r="E1" s="157">
        <v>0</v>
      </c>
      <c r="F1" s="172">
        <v>171500</v>
      </c>
      <c r="G1" s="159">
        <v>0.7</v>
      </c>
      <c r="H1" s="159" t="s">
        <v>1199</v>
      </c>
      <c r="I1" s="157" t="s">
        <v>229</v>
      </c>
    </row>
    <row r="2" spans="1:9" ht="33.75" x14ac:dyDescent="0.15">
      <c r="A2" s="151" t="s">
        <v>2311</v>
      </c>
      <c r="B2" s="20" t="s">
        <v>2312</v>
      </c>
      <c r="C2" s="30" t="s">
        <v>2313</v>
      </c>
      <c r="D2" s="157">
        <v>17049</v>
      </c>
      <c r="E2" s="157">
        <v>0</v>
      </c>
      <c r="F2" s="172">
        <v>315000</v>
      </c>
      <c r="G2" s="159">
        <v>0.7</v>
      </c>
      <c r="H2" s="159" t="s">
        <v>1199</v>
      </c>
      <c r="I2" s="157" t="s">
        <v>229</v>
      </c>
    </row>
    <row r="3" spans="1:9" ht="33.75" x14ac:dyDescent="0.15">
      <c r="A3" s="151" t="s">
        <v>2311</v>
      </c>
      <c r="B3" s="11" t="s">
        <v>2312</v>
      </c>
      <c r="C3" s="30" t="s">
        <v>2313</v>
      </c>
      <c r="D3" s="152">
        <v>17048</v>
      </c>
      <c r="E3" s="157">
        <v>0</v>
      </c>
      <c r="F3" s="171">
        <v>245000</v>
      </c>
      <c r="G3" s="159">
        <v>0.7</v>
      </c>
      <c r="H3" s="159" t="s">
        <v>1199</v>
      </c>
      <c r="I3" s="157" t="s">
        <v>229</v>
      </c>
    </row>
    <row r="4" spans="1:9" ht="33.75" x14ac:dyDescent="0.15">
      <c r="A4" s="151" t="s">
        <v>2315</v>
      </c>
      <c r="B4" s="11" t="s">
        <v>2314</v>
      </c>
      <c r="C4" s="30" t="s">
        <v>2316</v>
      </c>
      <c r="D4" s="152">
        <v>13012</v>
      </c>
      <c r="E4" s="157">
        <v>0</v>
      </c>
      <c r="F4" s="171">
        <v>239550</v>
      </c>
      <c r="G4" s="154">
        <v>0.3</v>
      </c>
      <c r="H4" s="154" t="s">
        <v>2317</v>
      </c>
      <c r="I4" s="152" t="s">
        <v>2318</v>
      </c>
    </row>
    <row r="5" spans="1:9" ht="33.75" x14ac:dyDescent="0.15">
      <c r="A5" s="151" t="s">
        <v>2315</v>
      </c>
      <c r="B5" s="11" t="s">
        <v>2314</v>
      </c>
      <c r="C5" s="30" t="s">
        <v>2316</v>
      </c>
      <c r="D5" s="152">
        <v>16045</v>
      </c>
      <c r="E5" s="157">
        <v>0</v>
      </c>
      <c r="F5" s="171">
        <v>53100</v>
      </c>
      <c r="G5" s="154">
        <v>0.9</v>
      </c>
      <c r="H5" s="154" t="s">
        <v>2317</v>
      </c>
      <c r="I5" s="152" t="s">
        <v>2318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2026年回款</vt:lpstr>
      <vt:lpstr>2025年回款</vt:lpstr>
      <vt:lpstr>2024年回款</vt:lpstr>
      <vt:lpstr>2023年回款</vt:lpstr>
      <vt:lpstr>2022年回款</vt:lpstr>
      <vt:lpstr>2021年回款  </vt:lpstr>
      <vt:lpstr>2020年回款 </vt:lpstr>
      <vt:lpstr>2019年回款</vt:lpstr>
      <vt:lpstr>2018年回款</vt:lpstr>
      <vt:lpstr>2017年回款</vt:lpstr>
      <vt:lpstr>2016年回款</vt:lpstr>
      <vt:lpstr>2015年回款</vt:lpstr>
      <vt:lpstr>2014年</vt:lpstr>
      <vt:lpstr>2013年</vt:lpstr>
      <vt:lpstr>2012年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wzl</dc:creator>
  <cp:lastModifiedBy>Administrator</cp:lastModifiedBy>
  <cp:lastPrinted>2017-12-04T06:00:16Z</cp:lastPrinted>
  <dcterms:created xsi:type="dcterms:W3CDTF">2014-03-12T16:09:21Z</dcterms:created>
  <dcterms:modified xsi:type="dcterms:W3CDTF">2026-05-13T02:50:46Z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2052-9.1.0.4429</vt:lpwstr>
  </property>
</Properties>
</file>